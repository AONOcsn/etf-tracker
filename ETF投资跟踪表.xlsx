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I_Investment\"/>
    </mc:Choice>
  </mc:AlternateContent>
  <xr:revisionPtr revIDLastSave="0" documentId="11_F11C6A27832318BCE56696BA585D0073858FE2BD" xr6:coauthVersionLast="47" xr6:coauthVersionMax="47" xr10:uidLastSave="{00000000-0000-0000-0000-000000000000}"/>
  <bookViews>
    <workbookView xWindow="-98" yWindow="-98" windowWidth="23236" windowHeight="13875" tabRatio="500" xr2:uid="{00000000-000D-0000-FFFF-FFFF00000000}"/>
  </bookViews>
  <sheets>
    <sheet name="总览" sheetId="1" r:id="rId1"/>
    <sheet name="回撤计划" sheetId="2" r:id="rId2"/>
    <sheet name="月度计划" sheetId="3" r:id="rId3"/>
    <sheet name="交易记录" sheetId="4" r:id="rId4"/>
    <sheet name="换汇记录" sheetId="5" r:id="rId5"/>
    <sheet name="入金记录" sheetId="6" r:id="rId6"/>
    <sheet name="分红记录" sheetId="7" r:id="rId7"/>
    <sheet name="使用说明" sheetId="8" r:id="rId8"/>
    <sheet name="原入金记录" sheetId="9" state="hidden" r:id="rId9"/>
  </sheets>
  <definedNames>
    <definedName name="_xlnm._FilterDatabase" localSheetId="6" hidden="1">分红记录!$A$5:$G$245</definedName>
    <definedName name="_xlnm._FilterDatabase" localSheetId="4" hidden="1">换汇记录!$A$5:$N$246</definedName>
    <definedName name="_xlnm._FilterDatabase" localSheetId="1" hidden="1">回撤计划!$A$8:$S$128</definedName>
    <definedName name="_xlnm._FilterDatabase" localSheetId="3" hidden="1">交易记录!$A$5:$P$605</definedName>
    <definedName name="_xlnm._FilterDatabase" localSheetId="5" hidden="1">入金记录!$A$5:$M$245</definedName>
    <definedName name="_xlnm._FilterDatabase" localSheetId="8" hidden="1">原入金记录!$A$5:$T$245</definedName>
    <definedName name="_xlnm._FilterDatabase" localSheetId="2" hidden="1">月度计划!$A$5:$K$125</definedName>
    <definedName name="_xlnm.Print_Area" localSheetId="6">分红记录!$A$1:$G$20</definedName>
    <definedName name="_xlnm.Print_Area" localSheetId="4">换汇记录!$A$1:$N$21</definedName>
    <definedName name="_xlnm.Print_Area" localSheetId="1">回撤计划!$A$1:$S$23</definedName>
    <definedName name="_xlnm.Print_Area" localSheetId="3">交易记录!$A$1:$P$20</definedName>
    <definedName name="_xlnm.Print_Area" localSheetId="5">入金记录!$A$1:$M$20</definedName>
    <definedName name="_xlnm.Print_Area" localSheetId="7">使用说明!$A$1:$H$52</definedName>
    <definedName name="_xlnm.Print_Area" localSheetId="8">原入金记录!$A$1:$T$14</definedName>
    <definedName name="_xlnm.Print_Area" localSheetId="2">月度计划!$A$1:$K$20</definedName>
    <definedName name="_xlnm.Print_Area" localSheetId="0">总览!$A$1:$N$30</definedName>
    <definedName name="_xlnm.Print_Titles" localSheetId="6">分红记录!$1:$5</definedName>
    <definedName name="_xlnm.Print_Titles" localSheetId="4">换汇记录!$1:$5</definedName>
    <definedName name="_xlnm.Print_Titles" localSheetId="1">回撤计划!$1:$8</definedName>
    <definedName name="_xlnm.Print_Titles" localSheetId="3">交易记录!$1:$5</definedName>
    <definedName name="_xlnm.Print_Titles" localSheetId="5">入金记录!$1:$5</definedName>
    <definedName name="_xlnm.Print_Titles" localSheetId="7">使用说明!$1:$5</definedName>
    <definedName name="_xlnm.Print_Titles" localSheetId="8">原入金记录!$1:$5</definedName>
    <definedName name="_xlnm.Print_Titles" localSheetId="2">月度计划!$1:$5</definedName>
    <definedName name="_xlnm.Print_Titles" localSheetId="0">总览!$1:$5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45" i="9" l="1"/>
  <c r="Q245" i="9"/>
  <c r="R245" i="9" s="1"/>
  <c r="P245" i="9"/>
  <c r="O245" i="9"/>
  <c r="N245" i="9"/>
  <c r="M245" i="9"/>
  <c r="L245" i="9"/>
  <c r="S244" i="9"/>
  <c r="Q244" i="9"/>
  <c r="R244" i="9" s="1"/>
  <c r="P244" i="9"/>
  <c r="O244" i="9"/>
  <c r="N244" i="9"/>
  <c r="M244" i="9"/>
  <c r="L244" i="9"/>
  <c r="S243" i="9"/>
  <c r="Q243" i="9"/>
  <c r="R243" i="9" s="1"/>
  <c r="P243" i="9"/>
  <c r="O243" i="9"/>
  <c r="N243" i="9"/>
  <c r="M243" i="9"/>
  <c r="L243" i="9"/>
  <c r="S242" i="9"/>
  <c r="Q242" i="9"/>
  <c r="R242" i="9" s="1"/>
  <c r="P242" i="9"/>
  <c r="O242" i="9"/>
  <c r="N242" i="9"/>
  <c r="M242" i="9"/>
  <c r="L242" i="9"/>
  <c r="S241" i="9"/>
  <c r="Q241" i="9"/>
  <c r="R241" i="9" s="1"/>
  <c r="P241" i="9"/>
  <c r="O241" i="9"/>
  <c r="N241" i="9"/>
  <c r="M241" i="9"/>
  <c r="L241" i="9"/>
  <c r="S240" i="9"/>
  <c r="Q240" i="9"/>
  <c r="R240" i="9" s="1"/>
  <c r="P240" i="9"/>
  <c r="O240" i="9"/>
  <c r="N240" i="9"/>
  <c r="M240" i="9"/>
  <c r="L240" i="9"/>
  <c r="S239" i="9"/>
  <c r="Q239" i="9"/>
  <c r="R239" i="9" s="1"/>
  <c r="P239" i="9"/>
  <c r="O239" i="9"/>
  <c r="N239" i="9"/>
  <c r="M239" i="9"/>
  <c r="L239" i="9"/>
  <c r="S238" i="9"/>
  <c r="Q238" i="9"/>
  <c r="R238" i="9" s="1"/>
  <c r="P238" i="9"/>
  <c r="O238" i="9"/>
  <c r="N238" i="9"/>
  <c r="M238" i="9"/>
  <c r="L238" i="9"/>
  <c r="S237" i="9"/>
  <c r="Q237" i="9"/>
  <c r="R237" i="9" s="1"/>
  <c r="P237" i="9"/>
  <c r="O237" i="9"/>
  <c r="N237" i="9"/>
  <c r="M237" i="9"/>
  <c r="L237" i="9"/>
  <c r="S236" i="9"/>
  <c r="Q236" i="9"/>
  <c r="R236" i="9" s="1"/>
  <c r="P236" i="9"/>
  <c r="O236" i="9"/>
  <c r="N236" i="9"/>
  <c r="M236" i="9"/>
  <c r="L236" i="9"/>
  <c r="S235" i="9"/>
  <c r="Q235" i="9"/>
  <c r="R235" i="9" s="1"/>
  <c r="P235" i="9"/>
  <c r="O235" i="9"/>
  <c r="N235" i="9"/>
  <c r="M235" i="9"/>
  <c r="L235" i="9"/>
  <c r="S234" i="9"/>
  <c r="Q234" i="9"/>
  <c r="R234" i="9" s="1"/>
  <c r="P234" i="9"/>
  <c r="O234" i="9"/>
  <c r="N234" i="9"/>
  <c r="M234" i="9"/>
  <c r="L234" i="9"/>
  <c r="S233" i="9"/>
  <c r="Q233" i="9"/>
  <c r="R233" i="9" s="1"/>
  <c r="P233" i="9"/>
  <c r="O233" i="9"/>
  <c r="N233" i="9"/>
  <c r="M233" i="9"/>
  <c r="L233" i="9"/>
  <c r="S232" i="9"/>
  <c r="Q232" i="9"/>
  <c r="R232" i="9" s="1"/>
  <c r="P232" i="9"/>
  <c r="O232" i="9"/>
  <c r="N232" i="9"/>
  <c r="M232" i="9"/>
  <c r="L232" i="9"/>
  <c r="S231" i="9"/>
  <c r="Q231" i="9"/>
  <c r="R231" i="9" s="1"/>
  <c r="P231" i="9"/>
  <c r="O231" i="9"/>
  <c r="N231" i="9"/>
  <c r="M231" i="9"/>
  <c r="L231" i="9"/>
  <c r="S230" i="9"/>
  <c r="Q230" i="9"/>
  <c r="R230" i="9" s="1"/>
  <c r="P230" i="9"/>
  <c r="O230" i="9"/>
  <c r="N230" i="9"/>
  <c r="M230" i="9"/>
  <c r="L230" i="9"/>
  <c r="S229" i="9"/>
  <c r="Q229" i="9"/>
  <c r="R229" i="9" s="1"/>
  <c r="P229" i="9"/>
  <c r="O229" i="9"/>
  <c r="N229" i="9"/>
  <c r="M229" i="9"/>
  <c r="L229" i="9"/>
  <c r="S228" i="9"/>
  <c r="Q228" i="9"/>
  <c r="R228" i="9" s="1"/>
  <c r="P228" i="9"/>
  <c r="O228" i="9"/>
  <c r="N228" i="9"/>
  <c r="M228" i="9"/>
  <c r="L228" i="9"/>
  <c r="S227" i="9"/>
  <c r="Q227" i="9"/>
  <c r="R227" i="9" s="1"/>
  <c r="P227" i="9"/>
  <c r="O227" i="9"/>
  <c r="N227" i="9"/>
  <c r="M227" i="9"/>
  <c r="L227" i="9"/>
  <c r="S226" i="9"/>
  <c r="Q226" i="9"/>
  <c r="R226" i="9" s="1"/>
  <c r="P226" i="9"/>
  <c r="O226" i="9"/>
  <c r="N226" i="9"/>
  <c r="M226" i="9"/>
  <c r="L226" i="9"/>
  <c r="S225" i="9"/>
  <c r="Q225" i="9"/>
  <c r="R225" i="9" s="1"/>
  <c r="P225" i="9"/>
  <c r="O225" i="9"/>
  <c r="N225" i="9"/>
  <c r="M225" i="9"/>
  <c r="L225" i="9"/>
  <c r="S224" i="9"/>
  <c r="Q224" i="9"/>
  <c r="R224" i="9" s="1"/>
  <c r="P224" i="9"/>
  <c r="O224" i="9"/>
  <c r="N224" i="9"/>
  <c r="M224" i="9"/>
  <c r="L224" i="9"/>
  <c r="S223" i="9"/>
  <c r="Q223" i="9"/>
  <c r="R223" i="9" s="1"/>
  <c r="P223" i="9"/>
  <c r="O223" i="9"/>
  <c r="N223" i="9"/>
  <c r="M223" i="9"/>
  <c r="L223" i="9"/>
  <c r="S222" i="9"/>
  <c r="Q222" i="9"/>
  <c r="R222" i="9" s="1"/>
  <c r="P222" i="9"/>
  <c r="O222" i="9"/>
  <c r="N222" i="9"/>
  <c r="M222" i="9"/>
  <c r="L222" i="9"/>
  <c r="S221" i="9"/>
  <c r="Q221" i="9"/>
  <c r="R221" i="9" s="1"/>
  <c r="P221" i="9"/>
  <c r="O221" i="9"/>
  <c r="N221" i="9"/>
  <c r="M221" i="9"/>
  <c r="L221" i="9"/>
  <c r="S220" i="9"/>
  <c r="Q220" i="9"/>
  <c r="R220" i="9" s="1"/>
  <c r="P220" i="9"/>
  <c r="O220" i="9"/>
  <c r="N220" i="9"/>
  <c r="M220" i="9"/>
  <c r="L220" i="9"/>
  <c r="S219" i="9"/>
  <c r="Q219" i="9"/>
  <c r="R219" i="9" s="1"/>
  <c r="P219" i="9"/>
  <c r="O219" i="9"/>
  <c r="N219" i="9"/>
  <c r="M219" i="9"/>
  <c r="L219" i="9"/>
  <c r="S218" i="9"/>
  <c r="Q218" i="9"/>
  <c r="R218" i="9" s="1"/>
  <c r="P218" i="9"/>
  <c r="O218" i="9"/>
  <c r="N218" i="9"/>
  <c r="M218" i="9"/>
  <c r="L218" i="9"/>
  <c r="S217" i="9"/>
  <c r="Q217" i="9"/>
  <c r="R217" i="9" s="1"/>
  <c r="P217" i="9"/>
  <c r="O217" i="9"/>
  <c r="N217" i="9"/>
  <c r="M217" i="9"/>
  <c r="L217" i="9"/>
  <c r="S216" i="9"/>
  <c r="Q216" i="9"/>
  <c r="R216" i="9" s="1"/>
  <c r="P216" i="9"/>
  <c r="O216" i="9"/>
  <c r="N216" i="9"/>
  <c r="M216" i="9"/>
  <c r="L216" i="9"/>
  <c r="S215" i="9"/>
  <c r="Q215" i="9"/>
  <c r="R215" i="9" s="1"/>
  <c r="P215" i="9"/>
  <c r="O215" i="9"/>
  <c r="N215" i="9"/>
  <c r="M215" i="9"/>
  <c r="L215" i="9"/>
  <c r="S214" i="9"/>
  <c r="Q214" i="9"/>
  <c r="R214" i="9" s="1"/>
  <c r="P214" i="9"/>
  <c r="O214" i="9"/>
  <c r="N214" i="9"/>
  <c r="M214" i="9"/>
  <c r="L214" i="9"/>
  <c r="S213" i="9"/>
  <c r="Q213" i="9"/>
  <c r="R213" i="9" s="1"/>
  <c r="P213" i="9"/>
  <c r="O213" i="9"/>
  <c r="N213" i="9"/>
  <c r="M213" i="9"/>
  <c r="L213" i="9"/>
  <c r="S212" i="9"/>
  <c r="Q212" i="9"/>
  <c r="R212" i="9" s="1"/>
  <c r="P212" i="9"/>
  <c r="O212" i="9"/>
  <c r="N212" i="9"/>
  <c r="M212" i="9"/>
  <c r="L212" i="9"/>
  <c r="S211" i="9"/>
  <c r="Q211" i="9"/>
  <c r="R211" i="9" s="1"/>
  <c r="P211" i="9"/>
  <c r="O211" i="9"/>
  <c r="N211" i="9"/>
  <c r="M211" i="9"/>
  <c r="L211" i="9"/>
  <c r="S210" i="9"/>
  <c r="Q210" i="9"/>
  <c r="R210" i="9" s="1"/>
  <c r="P210" i="9"/>
  <c r="O210" i="9"/>
  <c r="N210" i="9"/>
  <c r="M210" i="9"/>
  <c r="L210" i="9"/>
  <c r="S209" i="9"/>
  <c r="Q209" i="9"/>
  <c r="R209" i="9" s="1"/>
  <c r="P209" i="9"/>
  <c r="O209" i="9"/>
  <c r="N209" i="9"/>
  <c r="M209" i="9"/>
  <c r="L209" i="9"/>
  <c r="S208" i="9"/>
  <c r="Q208" i="9"/>
  <c r="R208" i="9" s="1"/>
  <c r="P208" i="9"/>
  <c r="O208" i="9"/>
  <c r="N208" i="9"/>
  <c r="M208" i="9"/>
  <c r="L208" i="9"/>
  <c r="S207" i="9"/>
  <c r="Q207" i="9"/>
  <c r="R207" i="9" s="1"/>
  <c r="P207" i="9"/>
  <c r="O207" i="9"/>
  <c r="N207" i="9"/>
  <c r="M207" i="9"/>
  <c r="L207" i="9"/>
  <c r="S206" i="9"/>
  <c r="Q206" i="9"/>
  <c r="R206" i="9" s="1"/>
  <c r="P206" i="9"/>
  <c r="O206" i="9"/>
  <c r="N206" i="9"/>
  <c r="M206" i="9"/>
  <c r="L206" i="9"/>
  <c r="S205" i="9"/>
  <c r="Q205" i="9"/>
  <c r="R205" i="9" s="1"/>
  <c r="P205" i="9"/>
  <c r="O205" i="9"/>
  <c r="N205" i="9"/>
  <c r="M205" i="9"/>
  <c r="L205" i="9"/>
  <c r="S204" i="9"/>
  <c r="Q204" i="9"/>
  <c r="R204" i="9" s="1"/>
  <c r="P204" i="9"/>
  <c r="O204" i="9"/>
  <c r="N204" i="9"/>
  <c r="M204" i="9"/>
  <c r="L204" i="9"/>
  <c r="S203" i="9"/>
  <c r="Q203" i="9"/>
  <c r="R203" i="9" s="1"/>
  <c r="P203" i="9"/>
  <c r="O203" i="9"/>
  <c r="N203" i="9"/>
  <c r="M203" i="9"/>
  <c r="L203" i="9"/>
  <c r="S202" i="9"/>
  <c r="Q202" i="9"/>
  <c r="R202" i="9" s="1"/>
  <c r="P202" i="9"/>
  <c r="O202" i="9"/>
  <c r="N202" i="9"/>
  <c r="M202" i="9"/>
  <c r="L202" i="9"/>
  <c r="S201" i="9"/>
  <c r="Q201" i="9"/>
  <c r="R201" i="9" s="1"/>
  <c r="P201" i="9"/>
  <c r="O201" i="9"/>
  <c r="N201" i="9"/>
  <c r="M201" i="9"/>
  <c r="L201" i="9"/>
  <c r="S200" i="9"/>
  <c r="Q200" i="9"/>
  <c r="R200" i="9" s="1"/>
  <c r="P200" i="9"/>
  <c r="O200" i="9"/>
  <c r="N200" i="9"/>
  <c r="M200" i="9"/>
  <c r="L200" i="9"/>
  <c r="S199" i="9"/>
  <c r="Q199" i="9"/>
  <c r="R199" i="9" s="1"/>
  <c r="P199" i="9"/>
  <c r="O199" i="9"/>
  <c r="N199" i="9"/>
  <c r="M199" i="9"/>
  <c r="L199" i="9"/>
  <c r="S198" i="9"/>
  <c r="Q198" i="9"/>
  <c r="R198" i="9" s="1"/>
  <c r="P198" i="9"/>
  <c r="O198" i="9"/>
  <c r="N198" i="9"/>
  <c r="M198" i="9"/>
  <c r="L198" i="9"/>
  <c r="S197" i="9"/>
  <c r="Q197" i="9"/>
  <c r="R197" i="9" s="1"/>
  <c r="P197" i="9"/>
  <c r="O197" i="9"/>
  <c r="N197" i="9"/>
  <c r="M197" i="9"/>
  <c r="L197" i="9"/>
  <c r="S196" i="9"/>
  <c r="Q196" i="9"/>
  <c r="R196" i="9" s="1"/>
  <c r="P196" i="9"/>
  <c r="O196" i="9"/>
  <c r="N196" i="9"/>
  <c r="M196" i="9"/>
  <c r="L196" i="9"/>
  <c r="S195" i="9"/>
  <c r="Q195" i="9"/>
  <c r="R195" i="9" s="1"/>
  <c r="P195" i="9"/>
  <c r="O195" i="9"/>
  <c r="N195" i="9"/>
  <c r="M195" i="9"/>
  <c r="L195" i="9"/>
  <c r="S194" i="9"/>
  <c r="Q194" i="9"/>
  <c r="R194" i="9" s="1"/>
  <c r="P194" i="9"/>
  <c r="O194" i="9"/>
  <c r="N194" i="9"/>
  <c r="M194" i="9"/>
  <c r="L194" i="9"/>
  <c r="S193" i="9"/>
  <c r="Q193" i="9"/>
  <c r="R193" i="9" s="1"/>
  <c r="P193" i="9"/>
  <c r="O193" i="9"/>
  <c r="N193" i="9"/>
  <c r="M193" i="9"/>
  <c r="L193" i="9"/>
  <c r="S192" i="9"/>
  <c r="Q192" i="9"/>
  <c r="R192" i="9" s="1"/>
  <c r="P192" i="9"/>
  <c r="O192" i="9"/>
  <c r="N192" i="9"/>
  <c r="M192" i="9"/>
  <c r="L192" i="9"/>
  <c r="S191" i="9"/>
  <c r="Q191" i="9"/>
  <c r="R191" i="9" s="1"/>
  <c r="P191" i="9"/>
  <c r="O191" i="9"/>
  <c r="N191" i="9"/>
  <c r="M191" i="9"/>
  <c r="L191" i="9"/>
  <c r="S190" i="9"/>
  <c r="Q190" i="9"/>
  <c r="R190" i="9" s="1"/>
  <c r="P190" i="9"/>
  <c r="O190" i="9"/>
  <c r="N190" i="9"/>
  <c r="M190" i="9"/>
  <c r="L190" i="9"/>
  <c r="S189" i="9"/>
  <c r="Q189" i="9"/>
  <c r="R189" i="9" s="1"/>
  <c r="P189" i="9"/>
  <c r="O189" i="9"/>
  <c r="N189" i="9"/>
  <c r="M189" i="9"/>
  <c r="L189" i="9"/>
  <c r="S188" i="9"/>
  <c r="Q188" i="9"/>
  <c r="R188" i="9" s="1"/>
  <c r="P188" i="9"/>
  <c r="O188" i="9"/>
  <c r="N188" i="9"/>
  <c r="M188" i="9"/>
  <c r="L188" i="9"/>
  <c r="S187" i="9"/>
  <c r="Q187" i="9"/>
  <c r="R187" i="9" s="1"/>
  <c r="P187" i="9"/>
  <c r="O187" i="9"/>
  <c r="N187" i="9"/>
  <c r="M187" i="9"/>
  <c r="L187" i="9"/>
  <c r="S186" i="9"/>
  <c r="Q186" i="9"/>
  <c r="R186" i="9" s="1"/>
  <c r="P186" i="9"/>
  <c r="O186" i="9"/>
  <c r="N186" i="9"/>
  <c r="M186" i="9"/>
  <c r="L186" i="9"/>
  <c r="S185" i="9"/>
  <c r="Q185" i="9"/>
  <c r="R185" i="9" s="1"/>
  <c r="P185" i="9"/>
  <c r="O185" i="9"/>
  <c r="N185" i="9"/>
  <c r="M185" i="9"/>
  <c r="L185" i="9"/>
  <c r="S184" i="9"/>
  <c r="Q184" i="9"/>
  <c r="R184" i="9" s="1"/>
  <c r="P184" i="9"/>
  <c r="O184" i="9"/>
  <c r="N184" i="9"/>
  <c r="M184" i="9"/>
  <c r="L184" i="9"/>
  <c r="S183" i="9"/>
  <c r="Q183" i="9"/>
  <c r="R183" i="9" s="1"/>
  <c r="P183" i="9"/>
  <c r="O183" i="9"/>
  <c r="N183" i="9"/>
  <c r="M183" i="9"/>
  <c r="L183" i="9"/>
  <c r="S182" i="9"/>
  <c r="Q182" i="9"/>
  <c r="R182" i="9" s="1"/>
  <c r="P182" i="9"/>
  <c r="O182" i="9"/>
  <c r="N182" i="9"/>
  <c r="M182" i="9"/>
  <c r="L182" i="9"/>
  <c r="S181" i="9"/>
  <c r="Q181" i="9"/>
  <c r="R181" i="9" s="1"/>
  <c r="P181" i="9"/>
  <c r="O181" i="9"/>
  <c r="N181" i="9"/>
  <c r="M181" i="9"/>
  <c r="L181" i="9"/>
  <c r="S180" i="9"/>
  <c r="Q180" i="9"/>
  <c r="R180" i="9" s="1"/>
  <c r="P180" i="9"/>
  <c r="O180" i="9"/>
  <c r="N180" i="9"/>
  <c r="M180" i="9"/>
  <c r="L180" i="9"/>
  <c r="S179" i="9"/>
  <c r="Q179" i="9"/>
  <c r="R179" i="9" s="1"/>
  <c r="P179" i="9"/>
  <c r="O179" i="9"/>
  <c r="N179" i="9"/>
  <c r="M179" i="9"/>
  <c r="L179" i="9"/>
  <c r="S178" i="9"/>
  <c r="Q178" i="9"/>
  <c r="R178" i="9" s="1"/>
  <c r="P178" i="9"/>
  <c r="O178" i="9"/>
  <c r="N178" i="9"/>
  <c r="M178" i="9"/>
  <c r="L178" i="9"/>
  <c r="S177" i="9"/>
  <c r="Q177" i="9"/>
  <c r="R177" i="9" s="1"/>
  <c r="P177" i="9"/>
  <c r="O177" i="9"/>
  <c r="N177" i="9"/>
  <c r="M177" i="9"/>
  <c r="L177" i="9"/>
  <c r="S176" i="9"/>
  <c r="Q176" i="9"/>
  <c r="R176" i="9" s="1"/>
  <c r="P176" i="9"/>
  <c r="O176" i="9"/>
  <c r="N176" i="9"/>
  <c r="M176" i="9"/>
  <c r="L176" i="9"/>
  <c r="S175" i="9"/>
  <c r="Q175" i="9"/>
  <c r="R175" i="9" s="1"/>
  <c r="P175" i="9"/>
  <c r="O175" i="9"/>
  <c r="N175" i="9"/>
  <c r="M175" i="9"/>
  <c r="L175" i="9"/>
  <c r="S174" i="9"/>
  <c r="Q174" i="9"/>
  <c r="R174" i="9" s="1"/>
  <c r="P174" i="9"/>
  <c r="O174" i="9"/>
  <c r="N174" i="9"/>
  <c r="M174" i="9"/>
  <c r="L174" i="9"/>
  <c r="S173" i="9"/>
  <c r="Q173" i="9"/>
  <c r="R173" i="9" s="1"/>
  <c r="P173" i="9"/>
  <c r="O173" i="9"/>
  <c r="N173" i="9"/>
  <c r="M173" i="9"/>
  <c r="L173" i="9"/>
  <c r="S172" i="9"/>
  <c r="Q172" i="9"/>
  <c r="R172" i="9" s="1"/>
  <c r="P172" i="9"/>
  <c r="O172" i="9"/>
  <c r="N172" i="9"/>
  <c r="M172" i="9"/>
  <c r="L172" i="9"/>
  <c r="S171" i="9"/>
  <c r="Q171" i="9"/>
  <c r="R171" i="9" s="1"/>
  <c r="P171" i="9"/>
  <c r="O171" i="9"/>
  <c r="N171" i="9"/>
  <c r="M171" i="9"/>
  <c r="L171" i="9"/>
  <c r="S170" i="9"/>
  <c r="Q170" i="9"/>
  <c r="R170" i="9" s="1"/>
  <c r="P170" i="9"/>
  <c r="O170" i="9"/>
  <c r="N170" i="9"/>
  <c r="M170" i="9"/>
  <c r="L170" i="9"/>
  <c r="S169" i="9"/>
  <c r="Q169" i="9"/>
  <c r="R169" i="9" s="1"/>
  <c r="P169" i="9"/>
  <c r="O169" i="9"/>
  <c r="N169" i="9"/>
  <c r="M169" i="9"/>
  <c r="L169" i="9"/>
  <c r="S168" i="9"/>
  <c r="Q168" i="9"/>
  <c r="R168" i="9" s="1"/>
  <c r="P168" i="9"/>
  <c r="O168" i="9"/>
  <c r="N168" i="9"/>
  <c r="M168" i="9"/>
  <c r="L168" i="9"/>
  <c r="S167" i="9"/>
  <c r="Q167" i="9"/>
  <c r="R167" i="9" s="1"/>
  <c r="P167" i="9"/>
  <c r="O167" i="9"/>
  <c r="N167" i="9"/>
  <c r="M167" i="9"/>
  <c r="L167" i="9"/>
  <c r="S166" i="9"/>
  <c r="Q166" i="9"/>
  <c r="R166" i="9" s="1"/>
  <c r="P166" i="9"/>
  <c r="O166" i="9"/>
  <c r="N166" i="9"/>
  <c r="M166" i="9"/>
  <c r="L166" i="9"/>
  <c r="S165" i="9"/>
  <c r="Q165" i="9"/>
  <c r="R165" i="9" s="1"/>
  <c r="P165" i="9"/>
  <c r="O165" i="9"/>
  <c r="N165" i="9"/>
  <c r="M165" i="9"/>
  <c r="L165" i="9"/>
  <c r="S164" i="9"/>
  <c r="Q164" i="9"/>
  <c r="R164" i="9" s="1"/>
  <c r="P164" i="9"/>
  <c r="O164" i="9"/>
  <c r="N164" i="9"/>
  <c r="M164" i="9"/>
  <c r="L164" i="9"/>
  <c r="S163" i="9"/>
  <c r="Q163" i="9"/>
  <c r="R163" i="9" s="1"/>
  <c r="P163" i="9"/>
  <c r="O163" i="9"/>
  <c r="N163" i="9"/>
  <c r="M163" i="9"/>
  <c r="L163" i="9"/>
  <c r="S162" i="9"/>
  <c r="Q162" i="9"/>
  <c r="R162" i="9" s="1"/>
  <c r="P162" i="9"/>
  <c r="O162" i="9"/>
  <c r="N162" i="9"/>
  <c r="M162" i="9"/>
  <c r="L162" i="9"/>
  <c r="S161" i="9"/>
  <c r="Q161" i="9"/>
  <c r="R161" i="9" s="1"/>
  <c r="P161" i="9"/>
  <c r="O161" i="9"/>
  <c r="N161" i="9"/>
  <c r="M161" i="9"/>
  <c r="L161" i="9"/>
  <c r="S160" i="9"/>
  <c r="Q160" i="9"/>
  <c r="R160" i="9" s="1"/>
  <c r="P160" i="9"/>
  <c r="O160" i="9"/>
  <c r="N160" i="9"/>
  <c r="M160" i="9"/>
  <c r="L160" i="9"/>
  <c r="S159" i="9"/>
  <c r="Q159" i="9"/>
  <c r="R159" i="9" s="1"/>
  <c r="P159" i="9"/>
  <c r="O159" i="9"/>
  <c r="N159" i="9"/>
  <c r="M159" i="9"/>
  <c r="L159" i="9"/>
  <c r="S158" i="9"/>
  <c r="Q158" i="9"/>
  <c r="R158" i="9" s="1"/>
  <c r="P158" i="9"/>
  <c r="O158" i="9"/>
  <c r="N158" i="9"/>
  <c r="M158" i="9"/>
  <c r="L158" i="9"/>
  <c r="S157" i="9"/>
  <c r="Q157" i="9"/>
  <c r="R157" i="9" s="1"/>
  <c r="P157" i="9"/>
  <c r="O157" i="9"/>
  <c r="N157" i="9"/>
  <c r="M157" i="9"/>
  <c r="L157" i="9"/>
  <c r="S156" i="9"/>
  <c r="Q156" i="9"/>
  <c r="R156" i="9" s="1"/>
  <c r="P156" i="9"/>
  <c r="O156" i="9"/>
  <c r="N156" i="9"/>
  <c r="M156" i="9"/>
  <c r="L156" i="9"/>
  <c r="S155" i="9"/>
  <c r="Q155" i="9"/>
  <c r="R155" i="9" s="1"/>
  <c r="P155" i="9"/>
  <c r="O155" i="9"/>
  <c r="N155" i="9"/>
  <c r="M155" i="9"/>
  <c r="L155" i="9"/>
  <c r="S154" i="9"/>
  <c r="Q154" i="9"/>
  <c r="R154" i="9" s="1"/>
  <c r="P154" i="9"/>
  <c r="O154" i="9"/>
  <c r="N154" i="9"/>
  <c r="M154" i="9"/>
  <c r="L154" i="9"/>
  <c r="S153" i="9"/>
  <c r="Q153" i="9"/>
  <c r="R153" i="9" s="1"/>
  <c r="P153" i="9"/>
  <c r="O153" i="9"/>
  <c r="N153" i="9"/>
  <c r="M153" i="9"/>
  <c r="L153" i="9"/>
  <c r="S152" i="9"/>
  <c r="Q152" i="9"/>
  <c r="R152" i="9" s="1"/>
  <c r="P152" i="9"/>
  <c r="O152" i="9"/>
  <c r="N152" i="9"/>
  <c r="M152" i="9"/>
  <c r="L152" i="9"/>
  <c r="S151" i="9"/>
  <c r="Q151" i="9"/>
  <c r="R151" i="9" s="1"/>
  <c r="P151" i="9"/>
  <c r="O151" i="9"/>
  <c r="N151" i="9"/>
  <c r="M151" i="9"/>
  <c r="L151" i="9"/>
  <c r="S150" i="9"/>
  <c r="Q150" i="9"/>
  <c r="R150" i="9" s="1"/>
  <c r="P150" i="9"/>
  <c r="O150" i="9"/>
  <c r="N150" i="9"/>
  <c r="M150" i="9"/>
  <c r="L150" i="9"/>
  <c r="S149" i="9"/>
  <c r="Q149" i="9"/>
  <c r="R149" i="9" s="1"/>
  <c r="P149" i="9"/>
  <c r="O149" i="9"/>
  <c r="N149" i="9"/>
  <c r="M149" i="9"/>
  <c r="L149" i="9"/>
  <c r="S148" i="9"/>
  <c r="Q148" i="9"/>
  <c r="R148" i="9" s="1"/>
  <c r="P148" i="9"/>
  <c r="O148" i="9"/>
  <c r="N148" i="9"/>
  <c r="M148" i="9"/>
  <c r="L148" i="9"/>
  <c r="S147" i="9"/>
  <c r="Q147" i="9"/>
  <c r="R147" i="9" s="1"/>
  <c r="P147" i="9"/>
  <c r="O147" i="9"/>
  <c r="N147" i="9"/>
  <c r="M147" i="9"/>
  <c r="L147" i="9"/>
  <c r="S146" i="9"/>
  <c r="Q146" i="9"/>
  <c r="R146" i="9" s="1"/>
  <c r="P146" i="9"/>
  <c r="O146" i="9"/>
  <c r="N146" i="9"/>
  <c r="M146" i="9"/>
  <c r="L146" i="9"/>
  <c r="S145" i="9"/>
  <c r="Q145" i="9"/>
  <c r="R145" i="9" s="1"/>
  <c r="P145" i="9"/>
  <c r="O145" i="9"/>
  <c r="N145" i="9"/>
  <c r="M145" i="9"/>
  <c r="L145" i="9"/>
  <c r="S144" i="9"/>
  <c r="Q144" i="9"/>
  <c r="R144" i="9" s="1"/>
  <c r="P144" i="9"/>
  <c r="O144" i="9"/>
  <c r="N144" i="9"/>
  <c r="M144" i="9"/>
  <c r="L144" i="9"/>
  <c r="S143" i="9"/>
  <c r="Q143" i="9"/>
  <c r="R143" i="9" s="1"/>
  <c r="P143" i="9"/>
  <c r="O143" i="9"/>
  <c r="N143" i="9"/>
  <c r="M143" i="9"/>
  <c r="L143" i="9"/>
  <c r="S142" i="9"/>
  <c r="Q142" i="9"/>
  <c r="R142" i="9" s="1"/>
  <c r="P142" i="9"/>
  <c r="O142" i="9"/>
  <c r="N142" i="9"/>
  <c r="M142" i="9"/>
  <c r="L142" i="9"/>
  <c r="S141" i="9"/>
  <c r="Q141" i="9"/>
  <c r="R141" i="9" s="1"/>
  <c r="P141" i="9"/>
  <c r="O141" i="9"/>
  <c r="N141" i="9"/>
  <c r="M141" i="9"/>
  <c r="L141" i="9"/>
  <c r="S140" i="9"/>
  <c r="Q140" i="9"/>
  <c r="R140" i="9" s="1"/>
  <c r="P140" i="9"/>
  <c r="O140" i="9"/>
  <c r="N140" i="9"/>
  <c r="M140" i="9"/>
  <c r="L140" i="9"/>
  <c r="S139" i="9"/>
  <c r="Q139" i="9"/>
  <c r="R139" i="9" s="1"/>
  <c r="P139" i="9"/>
  <c r="O139" i="9"/>
  <c r="N139" i="9"/>
  <c r="M139" i="9"/>
  <c r="L139" i="9"/>
  <c r="S138" i="9"/>
  <c r="Q138" i="9"/>
  <c r="R138" i="9" s="1"/>
  <c r="P138" i="9"/>
  <c r="O138" i="9"/>
  <c r="N138" i="9"/>
  <c r="M138" i="9"/>
  <c r="L138" i="9"/>
  <c r="S137" i="9"/>
  <c r="Q137" i="9"/>
  <c r="R137" i="9" s="1"/>
  <c r="P137" i="9"/>
  <c r="O137" i="9"/>
  <c r="N137" i="9"/>
  <c r="M137" i="9"/>
  <c r="L137" i="9"/>
  <c r="S136" i="9"/>
  <c r="Q136" i="9"/>
  <c r="R136" i="9" s="1"/>
  <c r="P136" i="9"/>
  <c r="O136" i="9"/>
  <c r="N136" i="9"/>
  <c r="M136" i="9"/>
  <c r="L136" i="9"/>
  <c r="S135" i="9"/>
  <c r="Q135" i="9"/>
  <c r="R135" i="9" s="1"/>
  <c r="P135" i="9"/>
  <c r="O135" i="9"/>
  <c r="N135" i="9"/>
  <c r="M135" i="9"/>
  <c r="L135" i="9"/>
  <c r="S134" i="9"/>
  <c r="Q134" i="9"/>
  <c r="R134" i="9" s="1"/>
  <c r="P134" i="9"/>
  <c r="O134" i="9"/>
  <c r="N134" i="9"/>
  <c r="M134" i="9"/>
  <c r="L134" i="9"/>
  <c r="S133" i="9"/>
  <c r="Q133" i="9"/>
  <c r="R133" i="9" s="1"/>
  <c r="P133" i="9"/>
  <c r="O133" i="9"/>
  <c r="N133" i="9"/>
  <c r="M133" i="9"/>
  <c r="L133" i="9"/>
  <c r="S132" i="9"/>
  <c r="Q132" i="9"/>
  <c r="R132" i="9" s="1"/>
  <c r="P132" i="9"/>
  <c r="O132" i="9"/>
  <c r="N132" i="9"/>
  <c r="M132" i="9"/>
  <c r="L132" i="9"/>
  <c r="S131" i="9"/>
  <c r="Q131" i="9"/>
  <c r="R131" i="9" s="1"/>
  <c r="P131" i="9"/>
  <c r="O131" i="9"/>
  <c r="N131" i="9"/>
  <c r="M131" i="9"/>
  <c r="L131" i="9"/>
  <c r="S130" i="9"/>
  <c r="Q130" i="9"/>
  <c r="R130" i="9" s="1"/>
  <c r="P130" i="9"/>
  <c r="O130" i="9"/>
  <c r="N130" i="9"/>
  <c r="M130" i="9"/>
  <c r="L130" i="9"/>
  <c r="S129" i="9"/>
  <c r="Q129" i="9"/>
  <c r="R129" i="9" s="1"/>
  <c r="P129" i="9"/>
  <c r="O129" i="9"/>
  <c r="N129" i="9"/>
  <c r="M129" i="9"/>
  <c r="L129" i="9"/>
  <c r="S128" i="9"/>
  <c r="Q128" i="9"/>
  <c r="R128" i="9" s="1"/>
  <c r="P128" i="9"/>
  <c r="O128" i="9"/>
  <c r="N128" i="9"/>
  <c r="M128" i="9"/>
  <c r="L128" i="9"/>
  <c r="S127" i="9"/>
  <c r="Q127" i="9"/>
  <c r="R127" i="9" s="1"/>
  <c r="P127" i="9"/>
  <c r="O127" i="9"/>
  <c r="N127" i="9"/>
  <c r="M127" i="9"/>
  <c r="L127" i="9"/>
  <c r="S126" i="9"/>
  <c r="Q126" i="9"/>
  <c r="R126" i="9" s="1"/>
  <c r="P126" i="9"/>
  <c r="O126" i="9"/>
  <c r="N126" i="9"/>
  <c r="M126" i="9"/>
  <c r="L126" i="9"/>
  <c r="S125" i="9"/>
  <c r="Q125" i="9"/>
  <c r="R125" i="9" s="1"/>
  <c r="P125" i="9"/>
  <c r="O125" i="9"/>
  <c r="N125" i="9"/>
  <c r="M125" i="9"/>
  <c r="L125" i="9"/>
  <c r="S124" i="9"/>
  <c r="Q124" i="9"/>
  <c r="R124" i="9" s="1"/>
  <c r="P124" i="9"/>
  <c r="O124" i="9"/>
  <c r="N124" i="9"/>
  <c r="M124" i="9"/>
  <c r="L124" i="9"/>
  <c r="S123" i="9"/>
  <c r="Q123" i="9"/>
  <c r="R123" i="9" s="1"/>
  <c r="P123" i="9"/>
  <c r="O123" i="9"/>
  <c r="N123" i="9"/>
  <c r="M123" i="9"/>
  <c r="L123" i="9"/>
  <c r="S122" i="9"/>
  <c r="Q122" i="9"/>
  <c r="R122" i="9" s="1"/>
  <c r="P122" i="9"/>
  <c r="O122" i="9"/>
  <c r="N122" i="9"/>
  <c r="M122" i="9"/>
  <c r="L122" i="9"/>
  <c r="S121" i="9"/>
  <c r="Q121" i="9"/>
  <c r="R121" i="9" s="1"/>
  <c r="P121" i="9"/>
  <c r="O121" i="9"/>
  <c r="N121" i="9"/>
  <c r="M121" i="9"/>
  <c r="L121" i="9"/>
  <c r="S120" i="9"/>
  <c r="Q120" i="9"/>
  <c r="R120" i="9" s="1"/>
  <c r="P120" i="9"/>
  <c r="O120" i="9"/>
  <c r="N120" i="9"/>
  <c r="M120" i="9"/>
  <c r="L120" i="9"/>
  <c r="S119" i="9"/>
  <c r="Q119" i="9"/>
  <c r="R119" i="9" s="1"/>
  <c r="P119" i="9"/>
  <c r="O119" i="9"/>
  <c r="N119" i="9"/>
  <c r="M119" i="9"/>
  <c r="L119" i="9"/>
  <c r="S118" i="9"/>
  <c r="Q118" i="9"/>
  <c r="R118" i="9" s="1"/>
  <c r="P118" i="9"/>
  <c r="O118" i="9"/>
  <c r="N118" i="9"/>
  <c r="M118" i="9"/>
  <c r="L118" i="9"/>
  <c r="S117" i="9"/>
  <c r="Q117" i="9"/>
  <c r="R117" i="9" s="1"/>
  <c r="P117" i="9"/>
  <c r="O117" i="9"/>
  <c r="N117" i="9"/>
  <c r="M117" i="9"/>
  <c r="L117" i="9"/>
  <c r="S116" i="9"/>
  <c r="Q116" i="9"/>
  <c r="R116" i="9" s="1"/>
  <c r="P116" i="9"/>
  <c r="O116" i="9"/>
  <c r="N116" i="9"/>
  <c r="M116" i="9"/>
  <c r="L116" i="9"/>
  <c r="S115" i="9"/>
  <c r="Q115" i="9"/>
  <c r="R115" i="9" s="1"/>
  <c r="P115" i="9"/>
  <c r="O115" i="9"/>
  <c r="N115" i="9"/>
  <c r="M115" i="9"/>
  <c r="L115" i="9"/>
  <c r="S114" i="9"/>
  <c r="Q114" i="9"/>
  <c r="R114" i="9" s="1"/>
  <c r="P114" i="9"/>
  <c r="O114" i="9"/>
  <c r="N114" i="9"/>
  <c r="M114" i="9"/>
  <c r="L114" i="9"/>
  <c r="S113" i="9"/>
  <c r="Q113" i="9"/>
  <c r="R113" i="9" s="1"/>
  <c r="P113" i="9"/>
  <c r="O113" i="9"/>
  <c r="N113" i="9"/>
  <c r="M113" i="9"/>
  <c r="L113" i="9"/>
  <c r="S112" i="9"/>
  <c r="Q112" i="9"/>
  <c r="R112" i="9" s="1"/>
  <c r="P112" i="9"/>
  <c r="O112" i="9"/>
  <c r="N112" i="9"/>
  <c r="M112" i="9"/>
  <c r="L112" i="9"/>
  <c r="S111" i="9"/>
  <c r="Q111" i="9"/>
  <c r="R111" i="9" s="1"/>
  <c r="P111" i="9"/>
  <c r="O111" i="9"/>
  <c r="N111" i="9"/>
  <c r="M111" i="9"/>
  <c r="L111" i="9"/>
  <c r="S110" i="9"/>
  <c r="Q110" i="9"/>
  <c r="R110" i="9" s="1"/>
  <c r="P110" i="9"/>
  <c r="O110" i="9"/>
  <c r="N110" i="9"/>
  <c r="M110" i="9"/>
  <c r="L110" i="9"/>
  <c r="S109" i="9"/>
  <c r="Q109" i="9"/>
  <c r="R109" i="9" s="1"/>
  <c r="P109" i="9"/>
  <c r="O109" i="9"/>
  <c r="N109" i="9"/>
  <c r="M109" i="9"/>
  <c r="L109" i="9"/>
  <c r="S108" i="9"/>
  <c r="Q108" i="9"/>
  <c r="R108" i="9" s="1"/>
  <c r="P108" i="9"/>
  <c r="O108" i="9"/>
  <c r="N108" i="9"/>
  <c r="M108" i="9"/>
  <c r="L108" i="9"/>
  <c r="S107" i="9"/>
  <c r="Q107" i="9"/>
  <c r="R107" i="9" s="1"/>
  <c r="P107" i="9"/>
  <c r="O107" i="9"/>
  <c r="N107" i="9"/>
  <c r="M107" i="9"/>
  <c r="L107" i="9"/>
  <c r="S106" i="9"/>
  <c r="Q106" i="9"/>
  <c r="R106" i="9" s="1"/>
  <c r="P106" i="9"/>
  <c r="O106" i="9"/>
  <c r="N106" i="9"/>
  <c r="M106" i="9"/>
  <c r="L106" i="9"/>
  <c r="S105" i="9"/>
  <c r="Q105" i="9"/>
  <c r="R105" i="9" s="1"/>
  <c r="P105" i="9"/>
  <c r="O105" i="9"/>
  <c r="N105" i="9"/>
  <c r="M105" i="9"/>
  <c r="L105" i="9"/>
  <c r="S104" i="9"/>
  <c r="Q104" i="9"/>
  <c r="R104" i="9" s="1"/>
  <c r="P104" i="9"/>
  <c r="O104" i="9"/>
  <c r="N104" i="9"/>
  <c r="M104" i="9"/>
  <c r="L104" i="9"/>
  <c r="S103" i="9"/>
  <c r="Q103" i="9"/>
  <c r="R103" i="9" s="1"/>
  <c r="P103" i="9"/>
  <c r="O103" i="9"/>
  <c r="N103" i="9"/>
  <c r="M103" i="9"/>
  <c r="L103" i="9"/>
  <c r="S102" i="9"/>
  <c r="Q102" i="9"/>
  <c r="R102" i="9" s="1"/>
  <c r="P102" i="9"/>
  <c r="O102" i="9"/>
  <c r="N102" i="9"/>
  <c r="M102" i="9"/>
  <c r="L102" i="9"/>
  <c r="S101" i="9"/>
  <c r="Q101" i="9"/>
  <c r="R101" i="9" s="1"/>
  <c r="P101" i="9"/>
  <c r="O101" i="9"/>
  <c r="N101" i="9"/>
  <c r="M101" i="9"/>
  <c r="L101" i="9"/>
  <c r="S100" i="9"/>
  <c r="Q100" i="9"/>
  <c r="R100" i="9" s="1"/>
  <c r="P100" i="9"/>
  <c r="O100" i="9"/>
  <c r="N100" i="9"/>
  <c r="M100" i="9"/>
  <c r="L100" i="9"/>
  <c r="S99" i="9"/>
  <c r="Q99" i="9"/>
  <c r="R99" i="9" s="1"/>
  <c r="P99" i="9"/>
  <c r="O99" i="9"/>
  <c r="N99" i="9"/>
  <c r="M99" i="9"/>
  <c r="L99" i="9"/>
  <c r="S98" i="9"/>
  <c r="Q98" i="9"/>
  <c r="R98" i="9" s="1"/>
  <c r="P98" i="9"/>
  <c r="O98" i="9"/>
  <c r="N98" i="9"/>
  <c r="M98" i="9"/>
  <c r="L98" i="9"/>
  <c r="S97" i="9"/>
  <c r="Q97" i="9"/>
  <c r="R97" i="9" s="1"/>
  <c r="P97" i="9"/>
  <c r="O97" i="9"/>
  <c r="N97" i="9"/>
  <c r="M97" i="9"/>
  <c r="L97" i="9"/>
  <c r="S96" i="9"/>
  <c r="Q96" i="9"/>
  <c r="R96" i="9" s="1"/>
  <c r="P96" i="9"/>
  <c r="O96" i="9"/>
  <c r="N96" i="9"/>
  <c r="M96" i="9"/>
  <c r="L96" i="9"/>
  <c r="S95" i="9"/>
  <c r="Q95" i="9"/>
  <c r="R95" i="9" s="1"/>
  <c r="P95" i="9"/>
  <c r="O95" i="9"/>
  <c r="N95" i="9"/>
  <c r="M95" i="9"/>
  <c r="L95" i="9"/>
  <c r="S94" i="9"/>
  <c r="Q94" i="9"/>
  <c r="R94" i="9" s="1"/>
  <c r="P94" i="9"/>
  <c r="O94" i="9"/>
  <c r="N94" i="9"/>
  <c r="M94" i="9"/>
  <c r="L94" i="9"/>
  <c r="S93" i="9"/>
  <c r="Q93" i="9"/>
  <c r="R93" i="9" s="1"/>
  <c r="P93" i="9"/>
  <c r="O93" i="9"/>
  <c r="N93" i="9"/>
  <c r="M93" i="9"/>
  <c r="L93" i="9"/>
  <c r="S92" i="9"/>
  <c r="Q92" i="9"/>
  <c r="R92" i="9" s="1"/>
  <c r="P92" i="9"/>
  <c r="O92" i="9"/>
  <c r="N92" i="9"/>
  <c r="M92" i="9"/>
  <c r="L92" i="9"/>
  <c r="S91" i="9"/>
  <c r="Q91" i="9"/>
  <c r="R91" i="9" s="1"/>
  <c r="P91" i="9"/>
  <c r="O91" i="9"/>
  <c r="N91" i="9"/>
  <c r="M91" i="9"/>
  <c r="L91" i="9"/>
  <c r="S90" i="9"/>
  <c r="Q90" i="9"/>
  <c r="R90" i="9" s="1"/>
  <c r="P90" i="9"/>
  <c r="O90" i="9"/>
  <c r="N90" i="9"/>
  <c r="M90" i="9"/>
  <c r="L90" i="9"/>
  <c r="S89" i="9"/>
  <c r="Q89" i="9"/>
  <c r="R89" i="9" s="1"/>
  <c r="P89" i="9"/>
  <c r="O89" i="9"/>
  <c r="N89" i="9"/>
  <c r="M89" i="9"/>
  <c r="L89" i="9"/>
  <c r="S88" i="9"/>
  <c r="Q88" i="9"/>
  <c r="R88" i="9" s="1"/>
  <c r="P88" i="9"/>
  <c r="O88" i="9"/>
  <c r="N88" i="9"/>
  <c r="M88" i="9"/>
  <c r="L88" i="9"/>
  <c r="S87" i="9"/>
  <c r="Q87" i="9"/>
  <c r="R87" i="9" s="1"/>
  <c r="P87" i="9"/>
  <c r="O87" i="9"/>
  <c r="N87" i="9"/>
  <c r="M87" i="9"/>
  <c r="L87" i="9"/>
  <c r="S86" i="9"/>
  <c r="Q86" i="9"/>
  <c r="R86" i="9" s="1"/>
  <c r="P86" i="9"/>
  <c r="O86" i="9"/>
  <c r="N86" i="9"/>
  <c r="M86" i="9"/>
  <c r="L86" i="9"/>
  <c r="S85" i="9"/>
  <c r="Q85" i="9"/>
  <c r="R85" i="9" s="1"/>
  <c r="P85" i="9"/>
  <c r="O85" i="9"/>
  <c r="N85" i="9"/>
  <c r="M85" i="9"/>
  <c r="L85" i="9"/>
  <c r="S84" i="9"/>
  <c r="Q84" i="9"/>
  <c r="R84" i="9" s="1"/>
  <c r="P84" i="9"/>
  <c r="O84" i="9"/>
  <c r="N84" i="9"/>
  <c r="M84" i="9"/>
  <c r="L84" i="9"/>
  <c r="S83" i="9"/>
  <c r="Q83" i="9"/>
  <c r="R83" i="9" s="1"/>
  <c r="P83" i="9"/>
  <c r="O83" i="9"/>
  <c r="N83" i="9"/>
  <c r="M83" i="9"/>
  <c r="L83" i="9"/>
  <c r="S82" i="9"/>
  <c r="Q82" i="9"/>
  <c r="R82" i="9" s="1"/>
  <c r="P82" i="9"/>
  <c r="O82" i="9"/>
  <c r="N82" i="9"/>
  <c r="M82" i="9"/>
  <c r="L82" i="9"/>
  <c r="S81" i="9"/>
  <c r="Q81" i="9"/>
  <c r="R81" i="9" s="1"/>
  <c r="P81" i="9"/>
  <c r="O81" i="9"/>
  <c r="N81" i="9"/>
  <c r="M81" i="9"/>
  <c r="L81" i="9"/>
  <c r="S80" i="9"/>
  <c r="Q80" i="9"/>
  <c r="R80" i="9" s="1"/>
  <c r="P80" i="9"/>
  <c r="O80" i="9"/>
  <c r="N80" i="9"/>
  <c r="M80" i="9"/>
  <c r="L80" i="9"/>
  <c r="S79" i="9"/>
  <c r="Q79" i="9"/>
  <c r="R79" i="9" s="1"/>
  <c r="P79" i="9"/>
  <c r="O79" i="9"/>
  <c r="N79" i="9"/>
  <c r="M79" i="9"/>
  <c r="L79" i="9"/>
  <c r="S78" i="9"/>
  <c r="Q78" i="9"/>
  <c r="R78" i="9" s="1"/>
  <c r="P78" i="9"/>
  <c r="O78" i="9"/>
  <c r="N78" i="9"/>
  <c r="M78" i="9"/>
  <c r="L78" i="9"/>
  <c r="S77" i="9"/>
  <c r="Q77" i="9"/>
  <c r="R77" i="9" s="1"/>
  <c r="P77" i="9"/>
  <c r="O77" i="9"/>
  <c r="N77" i="9"/>
  <c r="M77" i="9"/>
  <c r="L77" i="9"/>
  <c r="S76" i="9"/>
  <c r="Q76" i="9"/>
  <c r="R76" i="9" s="1"/>
  <c r="P76" i="9"/>
  <c r="O76" i="9"/>
  <c r="N76" i="9"/>
  <c r="M76" i="9"/>
  <c r="L76" i="9"/>
  <c r="S75" i="9"/>
  <c r="Q75" i="9"/>
  <c r="R75" i="9" s="1"/>
  <c r="P75" i="9"/>
  <c r="O75" i="9"/>
  <c r="N75" i="9"/>
  <c r="M75" i="9"/>
  <c r="L75" i="9"/>
  <c r="S74" i="9"/>
  <c r="Q74" i="9"/>
  <c r="R74" i="9" s="1"/>
  <c r="P74" i="9"/>
  <c r="O74" i="9"/>
  <c r="N74" i="9"/>
  <c r="M74" i="9"/>
  <c r="L74" i="9"/>
  <c r="S73" i="9"/>
  <c r="Q73" i="9"/>
  <c r="R73" i="9" s="1"/>
  <c r="P73" i="9"/>
  <c r="O73" i="9"/>
  <c r="N73" i="9"/>
  <c r="M73" i="9"/>
  <c r="L73" i="9"/>
  <c r="S72" i="9"/>
  <c r="Q72" i="9"/>
  <c r="R72" i="9" s="1"/>
  <c r="P72" i="9"/>
  <c r="O72" i="9"/>
  <c r="N72" i="9"/>
  <c r="M72" i="9"/>
  <c r="L72" i="9"/>
  <c r="S71" i="9"/>
  <c r="Q71" i="9"/>
  <c r="R71" i="9" s="1"/>
  <c r="P71" i="9"/>
  <c r="O71" i="9"/>
  <c r="N71" i="9"/>
  <c r="M71" i="9"/>
  <c r="L71" i="9"/>
  <c r="S70" i="9"/>
  <c r="Q70" i="9"/>
  <c r="R70" i="9" s="1"/>
  <c r="P70" i="9"/>
  <c r="O70" i="9"/>
  <c r="N70" i="9"/>
  <c r="M70" i="9"/>
  <c r="L70" i="9"/>
  <c r="S69" i="9"/>
  <c r="Q69" i="9"/>
  <c r="R69" i="9" s="1"/>
  <c r="P69" i="9"/>
  <c r="O69" i="9"/>
  <c r="N69" i="9"/>
  <c r="M69" i="9"/>
  <c r="L69" i="9"/>
  <c r="S68" i="9"/>
  <c r="Q68" i="9"/>
  <c r="R68" i="9" s="1"/>
  <c r="P68" i="9"/>
  <c r="O68" i="9"/>
  <c r="N68" i="9"/>
  <c r="M68" i="9"/>
  <c r="L68" i="9"/>
  <c r="S67" i="9"/>
  <c r="Q67" i="9"/>
  <c r="R67" i="9" s="1"/>
  <c r="P67" i="9"/>
  <c r="O67" i="9"/>
  <c r="N67" i="9"/>
  <c r="M67" i="9"/>
  <c r="L67" i="9"/>
  <c r="S66" i="9"/>
  <c r="Q66" i="9"/>
  <c r="R66" i="9" s="1"/>
  <c r="P66" i="9"/>
  <c r="O66" i="9"/>
  <c r="N66" i="9"/>
  <c r="M66" i="9"/>
  <c r="L66" i="9"/>
  <c r="S65" i="9"/>
  <c r="Q65" i="9"/>
  <c r="R65" i="9" s="1"/>
  <c r="P65" i="9"/>
  <c r="O65" i="9"/>
  <c r="N65" i="9"/>
  <c r="M65" i="9"/>
  <c r="L65" i="9"/>
  <c r="S64" i="9"/>
  <c r="Q64" i="9"/>
  <c r="R64" i="9" s="1"/>
  <c r="P64" i="9"/>
  <c r="O64" i="9"/>
  <c r="N64" i="9"/>
  <c r="M64" i="9"/>
  <c r="L64" i="9"/>
  <c r="S63" i="9"/>
  <c r="Q63" i="9"/>
  <c r="R63" i="9" s="1"/>
  <c r="P63" i="9"/>
  <c r="O63" i="9"/>
  <c r="N63" i="9"/>
  <c r="M63" i="9"/>
  <c r="L63" i="9"/>
  <c r="S62" i="9"/>
  <c r="Q62" i="9"/>
  <c r="R62" i="9" s="1"/>
  <c r="P62" i="9"/>
  <c r="O62" i="9"/>
  <c r="N62" i="9"/>
  <c r="M62" i="9"/>
  <c r="L62" i="9"/>
  <c r="S61" i="9"/>
  <c r="Q61" i="9"/>
  <c r="R61" i="9" s="1"/>
  <c r="P61" i="9"/>
  <c r="O61" i="9"/>
  <c r="N61" i="9"/>
  <c r="M61" i="9"/>
  <c r="L61" i="9"/>
  <c r="S60" i="9"/>
  <c r="Q60" i="9"/>
  <c r="R60" i="9" s="1"/>
  <c r="P60" i="9"/>
  <c r="O60" i="9"/>
  <c r="N60" i="9"/>
  <c r="M60" i="9"/>
  <c r="L60" i="9"/>
  <c r="S59" i="9"/>
  <c r="Q59" i="9"/>
  <c r="R59" i="9" s="1"/>
  <c r="P59" i="9"/>
  <c r="O59" i="9"/>
  <c r="N59" i="9"/>
  <c r="M59" i="9"/>
  <c r="L59" i="9"/>
  <c r="S58" i="9"/>
  <c r="Q58" i="9"/>
  <c r="R58" i="9" s="1"/>
  <c r="P58" i="9"/>
  <c r="O58" i="9"/>
  <c r="N58" i="9"/>
  <c r="M58" i="9"/>
  <c r="L58" i="9"/>
  <c r="S57" i="9"/>
  <c r="Q57" i="9"/>
  <c r="R57" i="9" s="1"/>
  <c r="P57" i="9"/>
  <c r="O57" i="9"/>
  <c r="N57" i="9"/>
  <c r="M57" i="9"/>
  <c r="L57" i="9"/>
  <c r="S56" i="9"/>
  <c r="Q56" i="9"/>
  <c r="R56" i="9" s="1"/>
  <c r="P56" i="9"/>
  <c r="O56" i="9"/>
  <c r="N56" i="9"/>
  <c r="M56" i="9"/>
  <c r="L56" i="9"/>
  <c r="S55" i="9"/>
  <c r="Q55" i="9"/>
  <c r="R55" i="9" s="1"/>
  <c r="P55" i="9"/>
  <c r="O55" i="9"/>
  <c r="N55" i="9"/>
  <c r="M55" i="9"/>
  <c r="L55" i="9"/>
  <c r="S54" i="9"/>
  <c r="Q54" i="9"/>
  <c r="R54" i="9" s="1"/>
  <c r="P54" i="9"/>
  <c r="O54" i="9"/>
  <c r="N54" i="9"/>
  <c r="M54" i="9"/>
  <c r="L54" i="9"/>
  <c r="S53" i="9"/>
  <c r="Q53" i="9"/>
  <c r="R53" i="9" s="1"/>
  <c r="P53" i="9"/>
  <c r="O53" i="9"/>
  <c r="N53" i="9"/>
  <c r="M53" i="9"/>
  <c r="L53" i="9"/>
  <c r="S52" i="9"/>
  <c r="Q52" i="9"/>
  <c r="R52" i="9" s="1"/>
  <c r="P52" i="9"/>
  <c r="O52" i="9"/>
  <c r="N52" i="9"/>
  <c r="M52" i="9"/>
  <c r="L52" i="9"/>
  <c r="S51" i="9"/>
  <c r="Q51" i="9"/>
  <c r="R51" i="9" s="1"/>
  <c r="P51" i="9"/>
  <c r="O51" i="9"/>
  <c r="N51" i="9"/>
  <c r="M51" i="9"/>
  <c r="L51" i="9"/>
  <c r="S50" i="9"/>
  <c r="Q50" i="9"/>
  <c r="R50" i="9" s="1"/>
  <c r="P50" i="9"/>
  <c r="O50" i="9"/>
  <c r="N50" i="9"/>
  <c r="M50" i="9"/>
  <c r="L50" i="9"/>
  <c r="S49" i="9"/>
  <c r="Q49" i="9"/>
  <c r="R49" i="9" s="1"/>
  <c r="P49" i="9"/>
  <c r="O49" i="9"/>
  <c r="N49" i="9"/>
  <c r="M49" i="9"/>
  <c r="L49" i="9"/>
  <c r="S48" i="9"/>
  <c r="Q48" i="9"/>
  <c r="R48" i="9" s="1"/>
  <c r="P48" i="9"/>
  <c r="O48" i="9"/>
  <c r="N48" i="9"/>
  <c r="M48" i="9"/>
  <c r="L48" i="9"/>
  <c r="S47" i="9"/>
  <c r="Q47" i="9"/>
  <c r="R47" i="9" s="1"/>
  <c r="P47" i="9"/>
  <c r="O47" i="9"/>
  <c r="N47" i="9"/>
  <c r="M47" i="9"/>
  <c r="L47" i="9"/>
  <c r="S46" i="9"/>
  <c r="Q46" i="9"/>
  <c r="R46" i="9" s="1"/>
  <c r="P46" i="9"/>
  <c r="O46" i="9"/>
  <c r="N46" i="9"/>
  <c r="M46" i="9"/>
  <c r="L46" i="9"/>
  <c r="S45" i="9"/>
  <c r="Q45" i="9"/>
  <c r="R45" i="9" s="1"/>
  <c r="P45" i="9"/>
  <c r="O45" i="9"/>
  <c r="N45" i="9"/>
  <c r="M45" i="9"/>
  <c r="L45" i="9"/>
  <c r="S44" i="9"/>
  <c r="Q44" i="9"/>
  <c r="R44" i="9" s="1"/>
  <c r="P44" i="9"/>
  <c r="O44" i="9"/>
  <c r="N44" i="9"/>
  <c r="M44" i="9"/>
  <c r="L44" i="9"/>
  <c r="S43" i="9"/>
  <c r="Q43" i="9"/>
  <c r="R43" i="9" s="1"/>
  <c r="P43" i="9"/>
  <c r="O43" i="9"/>
  <c r="N43" i="9"/>
  <c r="M43" i="9"/>
  <c r="L43" i="9"/>
  <c r="S42" i="9"/>
  <c r="Q42" i="9"/>
  <c r="R42" i="9" s="1"/>
  <c r="P42" i="9"/>
  <c r="O42" i="9"/>
  <c r="N42" i="9"/>
  <c r="M42" i="9"/>
  <c r="L42" i="9"/>
  <c r="S41" i="9"/>
  <c r="Q41" i="9"/>
  <c r="R41" i="9" s="1"/>
  <c r="P41" i="9"/>
  <c r="O41" i="9"/>
  <c r="N41" i="9"/>
  <c r="M41" i="9"/>
  <c r="L41" i="9"/>
  <c r="S40" i="9"/>
  <c r="Q40" i="9"/>
  <c r="R40" i="9" s="1"/>
  <c r="P40" i="9"/>
  <c r="O40" i="9"/>
  <c r="N40" i="9"/>
  <c r="M40" i="9"/>
  <c r="L40" i="9"/>
  <c r="S39" i="9"/>
  <c r="Q39" i="9"/>
  <c r="R39" i="9" s="1"/>
  <c r="P39" i="9"/>
  <c r="O39" i="9"/>
  <c r="N39" i="9"/>
  <c r="M39" i="9"/>
  <c r="L39" i="9"/>
  <c r="S38" i="9"/>
  <c r="Q38" i="9"/>
  <c r="R38" i="9" s="1"/>
  <c r="P38" i="9"/>
  <c r="O38" i="9"/>
  <c r="N38" i="9"/>
  <c r="M38" i="9"/>
  <c r="L38" i="9"/>
  <c r="S37" i="9"/>
  <c r="Q37" i="9"/>
  <c r="R37" i="9" s="1"/>
  <c r="P37" i="9"/>
  <c r="O37" i="9"/>
  <c r="N37" i="9"/>
  <c r="M37" i="9"/>
  <c r="L37" i="9"/>
  <c r="S36" i="9"/>
  <c r="Q36" i="9"/>
  <c r="R36" i="9" s="1"/>
  <c r="P36" i="9"/>
  <c r="O36" i="9"/>
  <c r="N36" i="9"/>
  <c r="M36" i="9"/>
  <c r="L36" i="9"/>
  <c r="S35" i="9"/>
  <c r="Q35" i="9"/>
  <c r="R35" i="9" s="1"/>
  <c r="P35" i="9"/>
  <c r="O35" i="9"/>
  <c r="N35" i="9"/>
  <c r="M35" i="9"/>
  <c r="L35" i="9"/>
  <c r="S34" i="9"/>
  <c r="Q34" i="9"/>
  <c r="R34" i="9" s="1"/>
  <c r="P34" i="9"/>
  <c r="O34" i="9"/>
  <c r="N34" i="9"/>
  <c r="M34" i="9"/>
  <c r="L34" i="9"/>
  <c r="S33" i="9"/>
  <c r="Q33" i="9"/>
  <c r="R33" i="9" s="1"/>
  <c r="P33" i="9"/>
  <c r="O33" i="9"/>
  <c r="N33" i="9"/>
  <c r="M33" i="9"/>
  <c r="L33" i="9"/>
  <c r="S32" i="9"/>
  <c r="Q32" i="9"/>
  <c r="R32" i="9" s="1"/>
  <c r="P32" i="9"/>
  <c r="O32" i="9"/>
  <c r="N32" i="9"/>
  <c r="M32" i="9"/>
  <c r="L32" i="9"/>
  <c r="S31" i="9"/>
  <c r="Q31" i="9"/>
  <c r="R31" i="9" s="1"/>
  <c r="P31" i="9"/>
  <c r="O31" i="9"/>
  <c r="N31" i="9"/>
  <c r="M31" i="9"/>
  <c r="L31" i="9"/>
  <c r="S30" i="9"/>
  <c r="Q30" i="9"/>
  <c r="R30" i="9" s="1"/>
  <c r="P30" i="9"/>
  <c r="O30" i="9"/>
  <c r="N30" i="9"/>
  <c r="M30" i="9"/>
  <c r="L30" i="9"/>
  <c r="S29" i="9"/>
  <c r="Q29" i="9"/>
  <c r="R29" i="9" s="1"/>
  <c r="P29" i="9"/>
  <c r="O29" i="9"/>
  <c r="N29" i="9"/>
  <c r="M29" i="9"/>
  <c r="L29" i="9"/>
  <c r="S28" i="9"/>
  <c r="Q28" i="9"/>
  <c r="R28" i="9" s="1"/>
  <c r="P28" i="9"/>
  <c r="O28" i="9"/>
  <c r="N28" i="9"/>
  <c r="M28" i="9"/>
  <c r="L28" i="9"/>
  <c r="S27" i="9"/>
  <c r="Q27" i="9"/>
  <c r="R27" i="9" s="1"/>
  <c r="P27" i="9"/>
  <c r="O27" i="9"/>
  <c r="N27" i="9"/>
  <c r="M27" i="9"/>
  <c r="L27" i="9"/>
  <c r="S26" i="9"/>
  <c r="Q26" i="9"/>
  <c r="R26" i="9" s="1"/>
  <c r="P26" i="9"/>
  <c r="O26" i="9"/>
  <c r="N26" i="9"/>
  <c r="M26" i="9"/>
  <c r="L26" i="9"/>
  <c r="S25" i="9"/>
  <c r="Q25" i="9"/>
  <c r="R25" i="9" s="1"/>
  <c r="P25" i="9"/>
  <c r="O25" i="9"/>
  <c r="N25" i="9"/>
  <c r="M25" i="9"/>
  <c r="L25" i="9"/>
  <c r="S24" i="9"/>
  <c r="Q24" i="9"/>
  <c r="R24" i="9" s="1"/>
  <c r="P24" i="9"/>
  <c r="O24" i="9"/>
  <c r="N24" i="9"/>
  <c r="M24" i="9"/>
  <c r="L24" i="9"/>
  <c r="S23" i="9"/>
  <c r="Q23" i="9"/>
  <c r="R23" i="9" s="1"/>
  <c r="P23" i="9"/>
  <c r="O23" i="9"/>
  <c r="N23" i="9"/>
  <c r="M23" i="9"/>
  <c r="L23" i="9"/>
  <c r="S22" i="9"/>
  <c r="Q22" i="9"/>
  <c r="R22" i="9" s="1"/>
  <c r="P22" i="9"/>
  <c r="O22" i="9"/>
  <c r="N22" i="9"/>
  <c r="M22" i="9"/>
  <c r="L22" i="9"/>
  <c r="S21" i="9"/>
  <c r="Q21" i="9"/>
  <c r="R21" i="9" s="1"/>
  <c r="P21" i="9"/>
  <c r="O21" i="9"/>
  <c r="N21" i="9"/>
  <c r="M21" i="9"/>
  <c r="L21" i="9"/>
  <c r="S20" i="9"/>
  <c r="Q20" i="9"/>
  <c r="R20" i="9" s="1"/>
  <c r="P20" i="9"/>
  <c r="O20" i="9"/>
  <c r="N20" i="9"/>
  <c r="M20" i="9"/>
  <c r="L20" i="9"/>
  <c r="S19" i="9"/>
  <c r="Q19" i="9"/>
  <c r="R19" i="9" s="1"/>
  <c r="P19" i="9"/>
  <c r="O19" i="9"/>
  <c r="N19" i="9"/>
  <c r="M19" i="9"/>
  <c r="L19" i="9"/>
  <c r="S18" i="9"/>
  <c r="Q18" i="9"/>
  <c r="R18" i="9" s="1"/>
  <c r="P18" i="9"/>
  <c r="O18" i="9"/>
  <c r="N18" i="9"/>
  <c r="M18" i="9"/>
  <c r="L18" i="9"/>
  <c r="S17" i="9"/>
  <c r="Q17" i="9"/>
  <c r="R17" i="9" s="1"/>
  <c r="P17" i="9"/>
  <c r="O17" i="9"/>
  <c r="N17" i="9"/>
  <c r="M17" i="9"/>
  <c r="L17" i="9"/>
  <c r="S16" i="9"/>
  <c r="Q16" i="9"/>
  <c r="R16" i="9" s="1"/>
  <c r="P16" i="9"/>
  <c r="O16" i="9"/>
  <c r="N16" i="9"/>
  <c r="M16" i="9"/>
  <c r="L16" i="9"/>
  <c r="S15" i="9"/>
  <c r="Q15" i="9"/>
  <c r="R15" i="9" s="1"/>
  <c r="P15" i="9"/>
  <c r="O15" i="9"/>
  <c r="N15" i="9"/>
  <c r="M15" i="9"/>
  <c r="L15" i="9"/>
  <c r="S14" i="9"/>
  <c r="Q14" i="9"/>
  <c r="R14" i="9" s="1"/>
  <c r="P14" i="9"/>
  <c r="O14" i="9"/>
  <c r="N14" i="9"/>
  <c r="M14" i="9"/>
  <c r="L14" i="9"/>
  <c r="S13" i="9"/>
  <c r="Q13" i="9"/>
  <c r="R13" i="9" s="1"/>
  <c r="P13" i="9"/>
  <c r="O13" i="9"/>
  <c r="N13" i="9"/>
  <c r="M13" i="9"/>
  <c r="L13" i="9"/>
  <c r="S12" i="9"/>
  <c r="Q12" i="9"/>
  <c r="R12" i="9" s="1"/>
  <c r="P12" i="9"/>
  <c r="O12" i="9"/>
  <c r="N12" i="9"/>
  <c r="M12" i="9"/>
  <c r="L12" i="9"/>
  <c r="S11" i="9"/>
  <c r="Q11" i="9"/>
  <c r="R11" i="9" s="1"/>
  <c r="P11" i="9"/>
  <c r="O11" i="9"/>
  <c r="N11" i="9"/>
  <c r="M11" i="9"/>
  <c r="L11" i="9"/>
  <c r="S10" i="9"/>
  <c r="Q10" i="9"/>
  <c r="R10" i="9" s="1"/>
  <c r="P10" i="9"/>
  <c r="O10" i="9"/>
  <c r="N10" i="9"/>
  <c r="M10" i="9"/>
  <c r="L10" i="9"/>
  <c r="S9" i="9"/>
  <c r="Q9" i="9"/>
  <c r="R9" i="9" s="1"/>
  <c r="P9" i="9"/>
  <c r="O9" i="9"/>
  <c r="N9" i="9"/>
  <c r="M9" i="9"/>
  <c r="L9" i="9"/>
  <c r="S8" i="9"/>
  <c r="Q8" i="9"/>
  <c r="R8" i="9" s="1"/>
  <c r="P8" i="9"/>
  <c r="O8" i="9"/>
  <c r="N8" i="9"/>
  <c r="M8" i="9"/>
  <c r="L8" i="9"/>
  <c r="S7" i="9"/>
  <c r="Q7" i="9"/>
  <c r="R7" i="9" s="1"/>
  <c r="P7" i="9"/>
  <c r="O7" i="9"/>
  <c r="N7" i="9"/>
  <c r="M7" i="9"/>
  <c r="L7" i="9"/>
  <c r="S6" i="9"/>
  <c r="Q6" i="9"/>
  <c r="R6" i="9" s="1"/>
  <c r="P6" i="9"/>
  <c r="O6" i="9"/>
  <c r="N6" i="9"/>
  <c r="M6" i="9"/>
  <c r="L6" i="9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L245" i="6"/>
  <c r="K245" i="6"/>
  <c r="L244" i="6"/>
  <c r="K244" i="6"/>
  <c r="L243" i="6"/>
  <c r="K243" i="6"/>
  <c r="L242" i="6"/>
  <c r="K242" i="6"/>
  <c r="L241" i="6"/>
  <c r="K241" i="6"/>
  <c r="L240" i="6"/>
  <c r="K240" i="6"/>
  <c r="L239" i="6"/>
  <c r="K239" i="6"/>
  <c r="L238" i="6"/>
  <c r="K238" i="6"/>
  <c r="L237" i="6"/>
  <c r="K237" i="6"/>
  <c r="L236" i="6"/>
  <c r="K236" i="6"/>
  <c r="L235" i="6"/>
  <c r="K235" i="6"/>
  <c r="L234" i="6"/>
  <c r="K234" i="6"/>
  <c r="L233" i="6"/>
  <c r="K233" i="6"/>
  <c r="L232" i="6"/>
  <c r="K232" i="6"/>
  <c r="L231" i="6"/>
  <c r="K231" i="6"/>
  <c r="L230" i="6"/>
  <c r="K230" i="6"/>
  <c r="L229" i="6"/>
  <c r="K229" i="6"/>
  <c r="L228" i="6"/>
  <c r="K228" i="6"/>
  <c r="L227" i="6"/>
  <c r="K227" i="6"/>
  <c r="L226" i="6"/>
  <c r="K226" i="6"/>
  <c r="L225" i="6"/>
  <c r="K225" i="6"/>
  <c r="L224" i="6"/>
  <c r="K224" i="6"/>
  <c r="L223" i="6"/>
  <c r="K223" i="6"/>
  <c r="L222" i="6"/>
  <c r="K222" i="6"/>
  <c r="L221" i="6"/>
  <c r="K221" i="6"/>
  <c r="L220" i="6"/>
  <c r="K220" i="6"/>
  <c r="L219" i="6"/>
  <c r="K219" i="6"/>
  <c r="L218" i="6"/>
  <c r="K218" i="6"/>
  <c r="L217" i="6"/>
  <c r="K217" i="6"/>
  <c r="L216" i="6"/>
  <c r="K216" i="6"/>
  <c r="L215" i="6"/>
  <c r="K215" i="6"/>
  <c r="L214" i="6"/>
  <c r="K214" i="6"/>
  <c r="L213" i="6"/>
  <c r="K213" i="6"/>
  <c r="L212" i="6"/>
  <c r="K212" i="6"/>
  <c r="L211" i="6"/>
  <c r="K211" i="6"/>
  <c r="L210" i="6"/>
  <c r="K210" i="6"/>
  <c r="L209" i="6"/>
  <c r="K209" i="6"/>
  <c r="L208" i="6"/>
  <c r="K208" i="6"/>
  <c r="L207" i="6"/>
  <c r="K207" i="6"/>
  <c r="L206" i="6"/>
  <c r="K206" i="6"/>
  <c r="L205" i="6"/>
  <c r="K205" i="6"/>
  <c r="L204" i="6"/>
  <c r="K204" i="6"/>
  <c r="L203" i="6"/>
  <c r="K203" i="6"/>
  <c r="L202" i="6"/>
  <c r="K202" i="6"/>
  <c r="L201" i="6"/>
  <c r="K201" i="6"/>
  <c r="L200" i="6"/>
  <c r="K200" i="6"/>
  <c r="L199" i="6"/>
  <c r="K199" i="6"/>
  <c r="L198" i="6"/>
  <c r="K198" i="6"/>
  <c r="L197" i="6"/>
  <c r="K197" i="6"/>
  <c r="L196" i="6"/>
  <c r="K196" i="6"/>
  <c r="L195" i="6"/>
  <c r="K195" i="6"/>
  <c r="L194" i="6"/>
  <c r="K194" i="6"/>
  <c r="L193" i="6"/>
  <c r="K193" i="6"/>
  <c r="L192" i="6"/>
  <c r="K192" i="6"/>
  <c r="L191" i="6"/>
  <c r="K191" i="6"/>
  <c r="L190" i="6"/>
  <c r="K190" i="6"/>
  <c r="L189" i="6"/>
  <c r="K189" i="6"/>
  <c r="L188" i="6"/>
  <c r="K188" i="6"/>
  <c r="L187" i="6"/>
  <c r="K187" i="6"/>
  <c r="L186" i="6"/>
  <c r="K186" i="6"/>
  <c r="L185" i="6"/>
  <c r="K185" i="6"/>
  <c r="L184" i="6"/>
  <c r="K184" i="6"/>
  <c r="L183" i="6"/>
  <c r="K183" i="6"/>
  <c r="L182" i="6"/>
  <c r="K182" i="6"/>
  <c r="L181" i="6"/>
  <c r="K181" i="6"/>
  <c r="L180" i="6"/>
  <c r="K180" i="6"/>
  <c r="L179" i="6"/>
  <c r="K179" i="6"/>
  <c r="L178" i="6"/>
  <c r="K178" i="6"/>
  <c r="L177" i="6"/>
  <c r="K177" i="6"/>
  <c r="L176" i="6"/>
  <c r="K176" i="6"/>
  <c r="L175" i="6"/>
  <c r="K175" i="6"/>
  <c r="L174" i="6"/>
  <c r="K174" i="6"/>
  <c r="L173" i="6"/>
  <c r="K173" i="6"/>
  <c r="L172" i="6"/>
  <c r="K172" i="6"/>
  <c r="L171" i="6"/>
  <c r="K171" i="6"/>
  <c r="L170" i="6"/>
  <c r="K170" i="6"/>
  <c r="L169" i="6"/>
  <c r="K169" i="6"/>
  <c r="L168" i="6"/>
  <c r="K168" i="6"/>
  <c r="L167" i="6"/>
  <c r="K167" i="6"/>
  <c r="L166" i="6"/>
  <c r="K166" i="6"/>
  <c r="L165" i="6"/>
  <c r="K165" i="6"/>
  <c r="L164" i="6"/>
  <c r="K164" i="6"/>
  <c r="L163" i="6"/>
  <c r="K163" i="6"/>
  <c r="L162" i="6"/>
  <c r="K162" i="6"/>
  <c r="L161" i="6"/>
  <c r="K161" i="6"/>
  <c r="L160" i="6"/>
  <c r="K160" i="6"/>
  <c r="L159" i="6"/>
  <c r="K159" i="6"/>
  <c r="L158" i="6"/>
  <c r="K158" i="6"/>
  <c r="L157" i="6"/>
  <c r="K157" i="6"/>
  <c r="L156" i="6"/>
  <c r="K156" i="6"/>
  <c r="L155" i="6"/>
  <c r="K155" i="6"/>
  <c r="L154" i="6"/>
  <c r="K154" i="6"/>
  <c r="L153" i="6"/>
  <c r="K153" i="6"/>
  <c r="L152" i="6"/>
  <c r="K152" i="6"/>
  <c r="L151" i="6"/>
  <c r="K151" i="6"/>
  <c r="L150" i="6"/>
  <c r="K150" i="6"/>
  <c r="L149" i="6"/>
  <c r="K149" i="6"/>
  <c r="L148" i="6"/>
  <c r="K148" i="6"/>
  <c r="L147" i="6"/>
  <c r="K147" i="6"/>
  <c r="L146" i="6"/>
  <c r="K146" i="6"/>
  <c r="L145" i="6"/>
  <c r="K145" i="6"/>
  <c r="L144" i="6"/>
  <c r="K144" i="6"/>
  <c r="L143" i="6"/>
  <c r="K143" i="6"/>
  <c r="L142" i="6"/>
  <c r="K142" i="6"/>
  <c r="L141" i="6"/>
  <c r="K141" i="6"/>
  <c r="L140" i="6"/>
  <c r="K140" i="6"/>
  <c r="L139" i="6"/>
  <c r="K139" i="6"/>
  <c r="L138" i="6"/>
  <c r="K138" i="6"/>
  <c r="L137" i="6"/>
  <c r="K137" i="6"/>
  <c r="L136" i="6"/>
  <c r="K136" i="6"/>
  <c r="L135" i="6"/>
  <c r="K135" i="6"/>
  <c r="L134" i="6"/>
  <c r="K134" i="6"/>
  <c r="L133" i="6"/>
  <c r="K133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6" i="6"/>
  <c r="K126" i="6"/>
  <c r="L125" i="6"/>
  <c r="K125" i="6"/>
  <c r="L124" i="6"/>
  <c r="K124" i="6"/>
  <c r="L123" i="6"/>
  <c r="K123" i="6"/>
  <c r="L122" i="6"/>
  <c r="K122" i="6"/>
  <c r="L121" i="6"/>
  <c r="K121" i="6"/>
  <c r="L120" i="6"/>
  <c r="K120" i="6"/>
  <c r="L119" i="6"/>
  <c r="K119" i="6"/>
  <c r="L118" i="6"/>
  <c r="K118" i="6"/>
  <c r="L117" i="6"/>
  <c r="K117" i="6"/>
  <c r="L116" i="6"/>
  <c r="K116" i="6"/>
  <c r="L115" i="6"/>
  <c r="K115" i="6"/>
  <c r="L114" i="6"/>
  <c r="K114" i="6"/>
  <c r="L113" i="6"/>
  <c r="K113" i="6"/>
  <c r="L112" i="6"/>
  <c r="K112" i="6"/>
  <c r="L111" i="6"/>
  <c r="K111" i="6"/>
  <c r="L110" i="6"/>
  <c r="K110" i="6"/>
  <c r="L109" i="6"/>
  <c r="K109" i="6"/>
  <c r="L108" i="6"/>
  <c r="K108" i="6"/>
  <c r="L107" i="6"/>
  <c r="K107" i="6"/>
  <c r="L106" i="6"/>
  <c r="K106" i="6"/>
  <c r="L105" i="6"/>
  <c r="K105" i="6"/>
  <c r="L104" i="6"/>
  <c r="K104" i="6"/>
  <c r="L103" i="6"/>
  <c r="K103" i="6"/>
  <c r="L102" i="6"/>
  <c r="K102" i="6"/>
  <c r="L101" i="6"/>
  <c r="K101" i="6"/>
  <c r="L100" i="6"/>
  <c r="K100" i="6"/>
  <c r="L99" i="6"/>
  <c r="K99" i="6"/>
  <c r="L98" i="6"/>
  <c r="K98" i="6"/>
  <c r="L97" i="6"/>
  <c r="K97" i="6"/>
  <c r="L96" i="6"/>
  <c r="K96" i="6"/>
  <c r="L95" i="6"/>
  <c r="K95" i="6"/>
  <c r="L94" i="6"/>
  <c r="K94" i="6"/>
  <c r="L93" i="6"/>
  <c r="K93" i="6"/>
  <c r="L92" i="6"/>
  <c r="K92" i="6"/>
  <c r="L91" i="6"/>
  <c r="K91" i="6"/>
  <c r="L90" i="6"/>
  <c r="K90" i="6"/>
  <c r="L89" i="6"/>
  <c r="K89" i="6"/>
  <c r="L88" i="6"/>
  <c r="K88" i="6"/>
  <c r="L87" i="6"/>
  <c r="K87" i="6"/>
  <c r="L86" i="6"/>
  <c r="K86" i="6"/>
  <c r="L85" i="6"/>
  <c r="K85" i="6"/>
  <c r="L84" i="6"/>
  <c r="K84" i="6"/>
  <c r="L83" i="6"/>
  <c r="K83" i="6"/>
  <c r="L82" i="6"/>
  <c r="K82" i="6"/>
  <c r="L81" i="6"/>
  <c r="K81" i="6"/>
  <c r="L80" i="6"/>
  <c r="K80" i="6"/>
  <c r="L79" i="6"/>
  <c r="K79" i="6"/>
  <c r="L78" i="6"/>
  <c r="K78" i="6"/>
  <c r="L77" i="6"/>
  <c r="K77" i="6"/>
  <c r="L76" i="6"/>
  <c r="K76" i="6"/>
  <c r="L75" i="6"/>
  <c r="K75" i="6"/>
  <c r="L74" i="6"/>
  <c r="K74" i="6"/>
  <c r="L73" i="6"/>
  <c r="K73" i="6"/>
  <c r="L72" i="6"/>
  <c r="K72" i="6"/>
  <c r="L71" i="6"/>
  <c r="K71" i="6"/>
  <c r="L70" i="6"/>
  <c r="K70" i="6"/>
  <c r="L69" i="6"/>
  <c r="K69" i="6"/>
  <c r="L68" i="6"/>
  <c r="K68" i="6"/>
  <c r="L67" i="6"/>
  <c r="K67" i="6"/>
  <c r="L66" i="6"/>
  <c r="K66" i="6"/>
  <c r="L65" i="6"/>
  <c r="K65" i="6"/>
  <c r="L64" i="6"/>
  <c r="K64" i="6"/>
  <c r="L63" i="6"/>
  <c r="K63" i="6"/>
  <c r="L62" i="6"/>
  <c r="K62" i="6"/>
  <c r="L61" i="6"/>
  <c r="K61" i="6"/>
  <c r="L60" i="6"/>
  <c r="K60" i="6"/>
  <c r="L59" i="6"/>
  <c r="K59" i="6"/>
  <c r="L58" i="6"/>
  <c r="K58" i="6"/>
  <c r="L57" i="6"/>
  <c r="K57" i="6"/>
  <c r="L56" i="6"/>
  <c r="K56" i="6"/>
  <c r="L55" i="6"/>
  <c r="K55" i="6"/>
  <c r="L54" i="6"/>
  <c r="K54" i="6"/>
  <c r="L53" i="6"/>
  <c r="K53" i="6"/>
  <c r="L52" i="6"/>
  <c r="K52" i="6"/>
  <c r="L51" i="6"/>
  <c r="K51" i="6"/>
  <c r="L50" i="6"/>
  <c r="K50" i="6"/>
  <c r="L49" i="6"/>
  <c r="K49" i="6"/>
  <c r="L48" i="6"/>
  <c r="K48" i="6"/>
  <c r="L47" i="6"/>
  <c r="K47" i="6"/>
  <c r="L46" i="6"/>
  <c r="K46" i="6"/>
  <c r="L45" i="6"/>
  <c r="K45" i="6"/>
  <c r="L44" i="6"/>
  <c r="K44" i="6"/>
  <c r="L43" i="6"/>
  <c r="K43" i="6"/>
  <c r="L42" i="6"/>
  <c r="K42" i="6"/>
  <c r="L41" i="6"/>
  <c r="K41" i="6"/>
  <c r="L40" i="6"/>
  <c r="K40" i="6"/>
  <c r="L39" i="6"/>
  <c r="K39" i="6"/>
  <c r="L38" i="6"/>
  <c r="K38" i="6"/>
  <c r="L37" i="6"/>
  <c r="K37" i="6"/>
  <c r="L36" i="6"/>
  <c r="K36" i="6"/>
  <c r="L35" i="6"/>
  <c r="K35" i="6"/>
  <c r="L34" i="6"/>
  <c r="K34" i="6"/>
  <c r="L33" i="6"/>
  <c r="K33" i="6"/>
  <c r="L32" i="6"/>
  <c r="K32" i="6"/>
  <c r="L31" i="6"/>
  <c r="K31" i="6"/>
  <c r="L30" i="6"/>
  <c r="K30" i="6"/>
  <c r="L29" i="6"/>
  <c r="K29" i="6"/>
  <c r="L28" i="6"/>
  <c r="K28" i="6"/>
  <c r="L27" i="6"/>
  <c r="K27" i="6"/>
  <c r="L26" i="6"/>
  <c r="K26" i="6"/>
  <c r="L25" i="6"/>
  <c r="K25" i="6"/>
  <c r="L24" i="6"/>
  <c r="K24" i="6"/>
  <c r="L23" i="6"/>
  <c r="K23" i="6"/>
  <c r="L22" i="6"/>
  <c r="K22" i="6"/>
  <c r="L21" i="6"/>
  <c r="K21" i="6"/>
  <c r="L20" i="6"/>
  <c r="K20" i="6"/>
  <c r="L19" i="6"/>
  <c r="K19" i="6"/>
  <c r="L18" i="6"/>
  <c r="K18" i="6"/>
  <c r="L17" i="6"/>
  <c r="K17" i="6"/>
  <c r="L16" i="6"/>
  <c r="K16" i="6"/>
  <c r="L15" i="6"/>
  <c r="K15" i="6"/>
  <c r="L14" i="6"/>
  <c r="K14" i="6"/>
  <c r="L13" i="6"/>
  <c r="K13" i="6"/>
  <c r="L12" i="6"/>
  <c r="K12" i="6"/>
  <c r="L11" i="6"/>
  <c r="K11" i="6"/>
  <c r="L10" i="6"/>
  <c r="K10" i="6"/>
  <c r="L9" i="6"/>
  <c r="K9" i="6"/>
  <c r="L8" i="6"/>
  <c r="K8" i="6"/>
  <c r="L7" i="6"/>
  <c r="K7" i="6"/>
  <c r="L6" i="6"/>
  <c r="K6" i="6"/>
  <c r="M246" i="5"/>
  <c r="L246" i="5"/>
  <c r="K246" i="5"/>
  <c r="M245" i="5"/>
  <c r="L245" i="5"/>
  <c r="K245" i="5"/>
  <c r="M244" i="5"/>
  <c r="L244" i="5"/>
  <c r="K244" i="5"/>
  <c r="M243" i="5"/>
  <c r="L243" i="5"/>
  <c r="K243" i="5"/>
  <c r="M242" i="5"/>
  <c r="L242" i="5"/>
  <c r="K242" i="5"/>
  <c r="M241" i="5"/>
  <c r="L241" i="5"/>
  <c r="K241" i="5"/>
  <c r="M240" i="5"/>
  <c r="L240" i="5"/>
  <c r="K240" i="5"/>
  <c r="M239" i="5"/>
  <c r="L239" i="5"/>
  <c r="K239" i="5"/>
  <c r="M238" i="5"/>
  <c r="L238" i="5"/>
  <c r="K238" i="5"/>
  <c r="M237" i="5"/>
  <c r="L237" i="5"/>
  <c r="K237" i="5"/>
  <c r="M236" i="5"/>
  <c r="L236" i="5"/>
  <c r="K236" i="5"/>
  <c r="M235" i="5"/>
  <c r="L235" i="5"/>
  <c r="K235" i="5"/>
  <c r="M234" i="5"/>
  <c r="L234" i="5"/>
  <c r="K234" i="5"/>
  <c r="M233" i="5"/>
  <c r="L233" i="5"/>
  <c r="K233" i="5"/>
  <c r="M232" i="5"/>
  <c r="L232" i="5"/>
  <c r="K232" i="5"/>
  <c r="M231" i="5"/>
  <c r="L231" i="5"/>
  <c r="K231" i="5"/>
  <c r="M230" i="5"/>
  <c r="L230" i="5"/>
  <c r="K230" i="5"/>
  <c r="M229" i="5"/>
  <c r="L229" i="5"/>
  <c r="K229" i="5"/>
  <c r="M228" i="5"/>
  <c r="L228" i="5"/>
  <c r="K228" i="5"/>
  <c r="M227" i="5"/>
  <c r="L227" i="5"/>
  <c r="K227" i="5"/>
  <c r="M226" i="5"/>
  <c r="L226" i="5"/>
  <c r="K226" i="5"/>
  <c r="M225" i="5"/>
  <c r="L225" i="5"/>
  <c r="K225" i="5"/>
  <c r="M224" i="5"/>
  <c r="L224" i="5"/>
  <c r="K224" i="5"/>
  <c r="M223" i="5"/>
  <c r="L223" i="5"/>
  <c r="K223" i="5"/>
  <c r="M222" i="5"/>
  <c r="L222" i="5"/>
  <c r="K222" i="5"/>
  <c r="M221" i="5"/>
  <c r="L221" i="5"/>
  <c r="K221" i="5"/>
  <c r="M220" i="5"/>
  <c r="L220" i="5"/>
  <c r="K220" i="5"/>
  <c r="M219" i="5"/>
  <c r="L219" i="5"/>
  <c r="K219" i="5"/>
  <c r="M218" i="5"/>
  <c r="L218" i="5"/>
  <c r="K218" i="5"/>
  <c r="M217" i="5"/>
  <c r="L217" i="5"/>
  <c r="K217" i="5"/>
  <c r="M216" i="5"/>
  <c r="L216" i="5"/>
  <c r="K216" i="5"/>
  <c r="M215" i="5"/>
  <c r="L215" i="5"/>
  <c r="K215" i="5"/>
  <c r="M214" i="5"/>
  <c r="L214" i="5"/>
  <c r="K214" i="5"/>
  <c r="M213" i="5"/>
  <c r="L213" i="5"/>
  <c r="K213" i="5"/>
  <c r="M212" i="5"/>
  <c r="L212" i="5"/>
  <c r="K212" i="5"/>
  <c r="M211" i="5"/>
  <c r="L211" i="5"/>
  <c r="K211" i="5"/>
  <c r="M210" i="5"/>
  <c r="L210" i="5"/>
  <c r="K210" i="5"/>
  <c r="M209" i="5"/>
  <c r="L209" i="5"/>
  <c r="K209" i="5"/>
  <c r="M208" i="5"/>
  <c r="L208" i="5"/>
  <c r="K208" i="5"/>
  <c r="M207" i="5"/>
  <c r="L207" i="5"/>
  <c r="K207" i="5"/>
  <c r="M206" i="5"/>
  <c r="L206" i="5"/>
  <c r="K206" i="5"/>
  <c r="M205" i="5"/>
  <c r="L205" i="5"/>
  <c r="K205" i="5"/>
  <c r="M204" i="5"/>
  <c r="L204" i="5"/>
  <c r="K204" i="5"/>
  <c r="M203" i="5"/>
  <c r="L203" i="5"/>
  <c r="K203" i="5"/>
  <c r="M202" i="5"/>
  <c r="L202" i="5"/>
  <c r="K202" i="5"/>
  <c r="M201" i="5"/>
  <c r="L201" i="5"/>
  <c r="K201" i="5"/>
  <c r="M200" i="5"/>
  <c r="L200" i="5"/>
  <c r="K200" i="5"/>
  <c r="M199" i="5"/>
  <c r="L199" i="5"/>
  <c r="K199" i="5"/>
  <c r="M198" i="5"/>
  <c r="L198" i="5"/>
  <c r="K198" i="5"/>
  <c r="M197" i="5"/>
  <c r="L197" i="5"/>
  <c r="K197" i="5"/>
  <c r="M196" i="5"/>
  <c r="L196" i="5"/>
  <c r="K196" i="5"/>
  <c r="M195" i="5"/>
  <c r="L195" i="5"/>
  <c r="K195" i="5"/>
  <c r="M194" i="5"/>
  <c r="L194" i="5"/>
  <c r="K194" i="5"/>
  <c r="M193" i="5"/>
  <c r="L193" i="5"/>
  <c r="K193" i="5"/>
  <c r="M192" i="5"/>
  <c r="L192" i="5"/>
  <c r="K192" i="5"/>
  <c r="M191" i="5"/>
  <c r="L191" i="5"/>
  <c r="K191" i="5"/>
  <c r="M190" i="5"/>
  <c r="L190" i="5"/>
  <c r="K190" i="5"/>
  <c r="M189" i="5"/>
  <c r="L189" i="5"/>
  <c r="K189" i="5"/>
  <c r="M188" i="5"/>
  <c r="L188" i="5"/>
  <c r="K188" i="5"/>
  <c r="M187" i="5"/>
  <c r="L187" i="5"/>
  <c r="K187" i="5"/>
  <c r="M186" i="5"/>
  <c r="L186" i="5"/>
  <c r="K186" i="5"/>
  <c r="M185" i="5"/>
  <c r="L185" i="5"/>
  <c r="K185" i="5"/>
  <c r="M184" i="5"/>
  <c r="L184" i="5"/>
  <c r="K184" i="5"/>
  <c r="M183" i="5"/>
  <c r="L183" i="5"/>
  <c r="K183" i="5"/>
  <c r="M182" i="5"/>
  <c r="L182" i="5"/>
  <c r="K182" i="5"/>
  <c r="M181" i="5"/>
  <c r="L181" i="5"/>
  <c r="K181" i="5"/>
  <c r="M180" i="5"/>
  <c r="L180" i="5"/>
  <c r="K180" i="5"/>
  <c r="M179" i="5"/>
  <c r="L179" i="5"/>
  <c r="K179" i="5"/>
  <c r="M178" i="5"/>
  <c r="L178" i="5"/>
  <c r="K178" i="5"/>
  <c r="M177" i="5"/>
  <c r="L177" i="5"/>
  <c r="K177" i="5"/>
  <c r="M176" i="5"/>
  <c r="L176" i="5"/>
  <c r="K176" i="5"/>
  <c r="M175" i="5"/>
  <c r="L175" i="5"/>
  <c r="K175" i="5"/>
  <c r="M174" i="5"/>
  <c r="L174" i="5"/>
  <c r="K174" i="5"/>
  <c r="M173" i="5"/>
  <c r="L173" i="5"/>
  <c r="K173" i="5"/>
  <c r="M172" i="5"/>
  <c r="L172" i="5"/>
  <c r="K172" i="5"/>
  <c r="M171" i="5"/>
  <c r="L171" i="5"/>
  <c r="K171" i="5"/>
  <c r="M170" i="5"/>
  <c r="L170" i="5"/>
  <c r="K170" i="5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L165" i="5"/>
  <c r="K165" i="5"/>
  <c r="M164" i="5"/>
  <c r="L164" i="5"/>
  <c r="K164" i="5"/>
  <c r="M163" i="5"/>
  <c r="L163" i="5"/>
  <c r="K163" i="5"/>
  <c r="M162" i="5"/>
  <c r="L162" i="5"/>
  <c r="K162" i="5"/>
  <c r="M161" i="5"/>
  <c r="L161" i="5"/>
  <c r="K161" i="5"/>
  <c r="M160" i="5"/>
  <c r="L160" i="5"/>
  <c r="K160" i="5"/>
  <c r="M159" i="5"/>
  <c r="L159" i="5"/>
  <c r="K159" i="5"/>
  <c r="M158" i="5"/>
  <c r="L158" i="5"/>
  <c r="K158" i="5"/>
  <c r="M157" i="5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L149" i="5"/>
  <c r="K149" i="5"/>
  <c r="M148" i="5"/>
  <c r="L148" i="5"/>
  <c r="K148" i="5"/>
  <c r="M147" i="5"/>
  <c r="L147" i="5"/>
  <c r="K147" i="5"/>
  <c r="M146" i="5"/>
  <c r="L146" i="5"/>
  <c r="K146" i="5"/>
  <c r="M145" i="5"/>
  <c r="L145" i="5"/>
  <c r="K145" i="5"/>
  <c r="M144" i="5"/>
  <c r="L144" i="5"/>
  <c r="K144" i="5"/>
  <c r="M143" i="5"/>
  <c r="L143" i="5"/>
  <c r="K143" i="5"/>
  <c r="M142" i="5"/>
  <c r="L142" i="5"/>
  <c r="K142" i="5"/>
  <c r="M141" i="5"/>
  <c r="L141" i="5"/>
  <c r="K141" i="5"/>
  <c r="M140" i="5"/>
  <c r="L140" i="5"/>
  <c r="K140" i="5"/>
  <c r="M139" i="5"/>
  <c r="L139" i="5"/>
  <c r="K139" i="5"/>
  <c r="M138" i="5"/>
  <c r="L138" i="5"/>
  <c r="K138" i="5"/>
  <c r="M137" i="5"/>
  <c r="L137" i="5"/>
  <c r="K137" i="5"/>
  <c r="M136" i="5"/>
  <c r="L136" i="5"/>
  <c r="K136" i="5"/>
  <c r="M135" i="5"/>
  <c r="L135" i="5"/>
  <c r="K135" i="5"/>
  <c r="M134" i="5"/>
  <c r="L134" i="5"/>
  <c r="K134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M129" i="5"/>
  <c r="L129" i="5"/>
  <c r="K129" i="5"/>
  <c r="M128" i="5"/>
  <c r="L128" i="5"/>
  <c r="K128" i="5"/>
  <c r="M127" i="5"/>
  <c r="L127" i="5"/>
  <c r="K127" i="5"/>
  <c r="M126" i="5"/>
  <c r="L126" i="5"/>
  <c r="K126" i="5"/>
  <c r="M125" i="5"/>
  <c r="L125" i="5"/>
  <c r="K125" i="5"/>
  <c r="M124" i="5"/>
  <c r="L124" i="5"/>
  <c r="K124" i="5"/>
  <c r="M123" i="5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L89" i="5"/>
  <c r="K89" i="5"/>
  <c r="M88" i="5"/>
  <c r="L88" i="5"/>
  <c r="K88" i="5"/>
  <c r="M87" i="5"/>
  <c r="L87" i="5"/>
  <c r="K87" i="5"/>
  <c r="M86" i="5"/>
  <c r="L86" i="5"/>
  <c r="K86" i="5"/>
  <c r="M85" i="5"/>
  <c r="L85" i="5"/>
  <c r="K85" i="5"/>
  <c r="M84" i="5"/>
  <c r="L84" i="5"/>
  <c r="K84" i="5"/>
  <c r="M83" i="5"/>
  <c r="L83" i="5"/>
  <c r="K83" i="5"/>
  <c r="M82" i="5"/>
  <c r="L82" i="5"/>
  <c r="K82" i="5"/>
  <c r="M81" i="5"/>
  <c r="L81" i="5"/>
  <c r="K81" i="5"/>
  <c r="M80" i="5"/>
  <c r="L80" i="5"/>
  <c r="K80" i="5"/>
  <c r="M79" i="5"/>
  <c r="L79" i="5"/>
  <c r="K79" i="5"/>
  <c r="M78" i="5"/>
  <c r="L78" i="5"/>
  <c r="K78" i="5"/>
  <c r="M77" i="5"/>
  <c r="L77" i="5"/>
  <c r="K77" i="5"/>
  <c r="M76" i="5"/>
  <c r="L76" i="5"/>
  <c r="K76" i="5"/>
  <c r="M75" i="5"/>
  <c r="L75" i="5"/>
  <c r="K75" i="5"/>
  <c r="M74" i="5"/>
  <c r="L74" i="5"/>
  <c r="K74" i="5"/>
  <c r="M73" i="5"/>
  <c r="L73" i="5"/>
  <c r="K73" i="5"/>
  <c r="M72" i="5"/>
  <c r="L72" i="5"/>
  <c r="K72" i="5"/>
  <c r="M71" i="5"/>
  <c r="L71" i="5"/>
  <c r="K71" i="5"/>
  <c r="M70" i="5"/>
  <c r="L70" i="5"/>
  <c r="K70" i="5"/>
  <c r="M69" i="5"/>
  <c r="L69" i="5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M60" i="5"/>
  <c r="L60" i="5"/>
  <c r="K60" i="5"/>
  <c r="M59" i="5"/>
  <c r="L59" i="5"/>
  <c r="K59" i="5"/>
  <c r="M58" i="5"/>
  <c r="L58" i="5"/>
  <c r="K58" i="5"/>
  <c r="M57" i="5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L52" i="5"/>
  <c r="K52" i="5"/>
  <c r="M51" i="5"/>
  <c r="L51" i="5"/>
  <c r="K51" i="5"/>
  <c r="M50" i="5"/>
  <c r="L50" i="5"/>
  <c r="K50" i="5"/>
  <c r="M49" i="5"/>
  <c r="L49" i="5"/>
  <c r="K49" i="5"/>
  <c r="M48" i="5"/>
  <c r="L48" i="5"/>
  <c r="K48" i="5"/>
  <c r="M47" i="5"/>
  <c r="L47" i="5"/>
  <c r="K47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L22" i="5"/>
  <c r="K22" i="5"/>
  <c r="M21" i="5"/>
  <c r="L21" i="5"/>
  <c r="K21" i="5"/>
  <c r="M20" i="5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O605" i="4"/>
  <c r="N605" i="4"/>
  <c r="M605" i="4"/>
  <c r="K605" i="4"/>
  <c r="J605" i="4"/>
  <c r="I605" i="4"/>
  <c r="H605" i="4"/>
  <c r="G605" i="4"/>
  <c r="O604" i="4"/>
  <c r="N604" i="4"/>
  <c r="M604" i="4"/>
  <c r="K604" i="4"/>
  <c r="J604" i="4"/>
  <c r="I604" i="4"/>
  <c r="H604" i="4"/>
  <c r="G604" i="4"/>
  <c r="O603" i="4"/>
  <c r="N603" i="4"/>
  <c r="M603" i="4"/>
  <c r="K603" i="4"/>
  <c r="J603" i="4"/>
  <c r="I603" i="4"/>
  <c r="H603" i="4"/>
  <c r="G603" i="4"/>
  <c r="O602" i="4"/>
  <c r="N602" i="4"/>
  <c r="M602" i="4"/>
  <c r="K602" i="4"/>
  <c r="J602" i="4"/>
  <c r="I602" i="4"/>
  <c r="H602" i="4"/>
  <c r="G602" i="4"/>
  <c r="O601" i="4"/>
  <c r="N601" i="4"/>
  <c r="M601" i="4"/>
  <c r="K601" i="4"/>
  <c r="J601" i="4"/>
  <c r="I601" i="4"/>
  <c r="H601" i="4"/>
  <c r="G601" i="4"/>
  <c r="O600" i="4"/>
  <c r="N600" i="4"/>
  <c r="M600" i="4"/>
  <c r="K600" i="4"/>
  <c r="J600" i="4"/>
  <c r="I600" i="4"/>
  <c r="H600" i="4"/>
  <c r="G600" i="4"/>
  <c r="O599" i="4"/>
  <c r="N599" i="4"/>
  <c r="M599" i="4"/>
  <c r="K599" i="4"/>
  <c r="J599" i="4"/>
  <c r="I599" i="4"/>
  <c r="H599" i="4"/>
  <c r="G599" i="4"/>
  <c r="O598" i="4"/>
  <c r="N598" i="4"/>
  <c r="M598" i="4"/>
  <c r="K598" i="4"/>
  <c r="J598" i="4"/>
  <c r="I598" i="4"/>
  <c r="H598" i="4"/>
  <c r="G598" i="4"/>
  <c r="O597" i="4"/>
  <c r="N597" i="4"/>
  <c r="M597" i="4"/>
  <c r="K597" i="4"/>
  <c r="J597" i="4"/>
  <c r="I597" i="4"/>
  <c r="H597" i="4"/>
  <c r="G597" i="4"/>
  <c r="O596" i="4"/>
  <c r="N596" i="4"/>
  <c r="M596" i="4"/>
  <c r="K596" i="4"/>
  <c r="J596" i="4"/>
  <c r="I596" i="4"/>
  <c r="H596" i="4"/>
  <c r="G596" i="4"/>
  <c r="O595" i="4"/>
  <c r="N595" i="4"/>
  <c r="M595" i="4"/>
  <c r="K595" i="4"/>
  <c r="J595" i="4"/>
  <c r="I595" i="4"/>
  <c r="H595" i="4"/>
  <c r="G595" i="4"/>
  <c r="O594" i="4"/>
  <c r="N594" i="4"/>
  <c r="M594" i="4"/>
  <c r="K594" i="4"/>
  <c r="J594" i="4"/>
  <c r="I594" i="4"/>
  <c r="H594" i="4"/>
  <c r="G594" i="4"/>
  <c r="O593" i="4"/>
  <c r="N593" i="4"/>
  <c r="M593" i="4"/>
  <c r="K593" i="4"/>
  <c r="J593" i="4"/>
  <c r="I593" i="4"/>
  <c r="H593" i="4"/>
  <c r="G593" i="4"/>
  <c r="O592" i="4"/>
  <c r="N592" i="4"/>
  <c r="M592" i="4"/>
  <c r="K592" i="4"/>
  <c r="J592" i="4"/>
  <c r="I592" i="4"/>
  <c r="H592" i="4"/>
  <c r="G592" i="4"/>
  <c r="O591" i="4"/>
  <c r="N591" i="4"/>
  <c r="M591" i="4"/>
  <c r="K591" i="4"/>
  <c r="J591" i="4"/>
  <c r="I591" i="4"/>
  <c r="H591" i="4"/>
  <c r="G591" i="4"/>
  <c r="O590" i="4"/>
  <c r="N590" i="4"/>
  <c r="M590" i="4"/>
  <c r="K590" i="4"/>
  <c r="J590" i="4"/>
  <c r="I590" i="4"/>
  <c r="H590" i="4"/>
  <c r="G590" i="4"/>
  <c r="O589" i="4"/>
  <c r="N589" i="4"/>
  <c r="M589" i="4"/>
  <c r="K589" i="4"/>
  <c r="J589" i="4"/>
  <c r="I589" i="4"/>
  <c r="H589" i="4"/>
  <c r="G589" i="4"/>
  <c r="O588" i="4"/>
  <c r="N588" i="4"/>
  <c r="M588" i="4"/>
  <c r="K588" i="4"/>
  <c r="J588" i="4"/>
  <c r="I588" i="4"/>
  <c r="H588" i="4"/>
  <c r="G588" i="4"/>
  <c r="O587" i="4"/>
  <c r="N587" i="4"/>
  <c r="M587" i="4"/>
  <c r="K587" i="4"/>
  <c r="J587" i="4"/>
  <c r="I587" i="4"/>
  <c r="H587" i="4"/>
  <c r="G587" i="4"/>
  <c r="O586" i="4"/>
  <c r="N586" i="4"/>
  <c r="M586" i="4"/>
  <c r="K586" i="4"/>
  <c r="J586" i="4"/>
  <c r="I586" i="4"/>
  <c r="H586" i="4"/>
  <c r="G586" i="4"/>
  <c r="O585" i="4"/>
  <c r="N585" i="4"/>
  <c r="M585" i="4"/>
  <c r="K585" i="4"/>
  <c r="J585" i="4"/>
  <c r="I585" i="4"/>
  <c r="H585" i="4"/>
  <c r="G585" i="4"/>
  <c r="O584" i="4"/>
  <c r="N584" i="4"/>
  <c r="M584" i="4"/>
  <c r="K584" i="4"/>
  <c r="J584" i="4"/>
  <c r="I584" i="4"/>
  <c r="H584" i="4"/>
  <c r="G584" i="4"/>
  <c r="O583" i="4"/>
  <c r="N583" i="4"/>
  <c r="M583" i="4"/>
  <c r="K583" i="4"/>
  <c r="J583" i="4"/>
  <c r="I583" i="4"/>
  <c r="H583" i="4"/>
  <c r="G583" i="4"/>
  <c r="O582" i="4"/>
  <c r="N582" i="4"/>
  <c r="M582" i="4"/>
  <c r="K582" i="4"/>
  <c r="J582" i="4"/>
  <c r="I582" i="4"/>
  <c r="H582" i="4"/>
  <c r="G582" i="4"/>
  <c r="O581" i="4"/>
  <c r="N581" i="4"/>
  <c r="M581" i="4"/>
  <c r="K581" i="4"/>
  <c r="J581" i="4"/>
  <c r="I581" i="4"/>
  <c r="H581" i="4"/>
  <c r="G581" i="4"/>
  <c r="O580" i="4"/>
  <c r="N580" i="4"/>
  <c r="M580" i="4"/>
  <c r="K580" i="4"/>
  <c r="J580" i="4"/>
  <c r="I580" i="4"/>
  <c r="H580" i="4"/>
  <c r="G580" i="4"/>
  <c r="O579" i="4"/>
  <c r="N579" i="4"/>
  <c r="M579" i="4"/>
  <c r="K579" i="4"/>
  <c r="J579" i="4"/>
  <c r="I579" i="4"/>
  <c r="H579" i="4"/>
  <c r="G579" i="4"/>
  <c r="O578" i="4"/>
  <c r="N578" i="4"/>
  <c r="M578" i="4"/>
  <c r="K578" i="4"/>
  <c r="J578" i="4"/>
  <c r="I578" i="4"/>
  <c r="H578" i="4"/>
  <c r="G578" i="4"/>
  <c r="O577" i="4"/>
  <c r="N577" i="4"/>
  <c r="M577" i="4"/>
  <c r="K577" i="4"/>
  <c r="J577" i="4"/>
  <c r="I577" i="4"/>
  <c r="H577" i="4"/>
  <c r="G577" i="4"/>
  <c r="O576" i="4"/>
  <c r="N576" i="4"/>
  <c r="M576" i="4"/>
  <c r="K576" i="4"/>
  <c r="J576" i="4"/>
  <c r="I576" i="4"/>
  <c r="H576" i="4"/>
  <c r="G576" i="4"/>
  <c r="O575" i="4"/>
  <c r="N575" i="4"/>
  <c r="M575" i="4"/>
  <c r="K575" i="4"/>
  <c r="J575" i="4"/>
  <c r="I575" i="4"/>
  <c r="H575" i="4"/>
  <c r="G575" i="4"/>
  <c r="O574" i="4"/>
  <c r="N574" i="4"/>
  <c r="M574" i="4"/>
  <c r="K574" i="4"/>
  <c r="J574" i="4"/>
  <c r="I574" i="4"/>
  <c r="H574" i="4"/>
  <c r="G574" i="4"/>
  <c r="O573" i="4"/>
  <c r="N573" i="4"/>
  <c r="M573" i="4"/>
  <c r="K573" i="4"/>
  <c r="J573" i="4"/>
  <c r="I573" i="4"/>
  <c r="H573" i="4"/>
  <c r="G573" i="4"/>
  <c r="O572" i="4"/>
  <c r="N572" i="4"/>
  <c r="M572" i="4"/>
  <c r="K572" i="4"/>
  <c r="J572" i="4"/>
  <c r="I572" i="4"/>
  <c r="H572" i="4"/>
  <c r="G572" i="4"/>
  <c r="O571" i="4"/>
  <c r="N571" i="4"/>
  <c r="M571" i="4"/>
  <c r="K571" i="4"/>
  <c r="J571" i="4"/>
  <c r="I571" i="4"/>
  <c r="H571" i="4"/>
  <c r="G571" i="4"/>
  <c r="O570" i="4"/>
  <c r="N570" i="4"/>
  <c r="M570" i="4"/>
  <c r="K570" i="4"/>
  <c r="J570" i="4"/>
  <c r="I570" i="4"/>
  <c r="H570" i="4"/>
  <c r="G570" i="4"/>
  <c r="O569" i="4"/>
  <c r="N569" i="4"/>
  <c r="M569" i="4"/>
  <c r="K569" i="4"/>
  <c r="J569" i="4"/>
  <c r="I569" i="4"/>
  <c r="H569" i="4"/>
  <c r="G569" i="4"/>
  <c r="O568" i="4"/>
  <c r="N568" i="4"/>
  <c r="M568" i="4"/>
  <c r="K568" i="4"/>
  <c r="J568" i="4"/>
  <c r="I568" i="4"/>
  <c r="H568" i="4"/>
  <c r="G568" i="4"/>
  <c r="O567" i="4"/>
  <c r="N567" i="4"/>
  <c r="M567" i="4"/>
  <c r="K567" i="4"/>
  <c r="J567" i="4"/>
  <c r="I567" i="4"/>
  <c r="H567" i="4"/>
  <c r="G567" i="4"/>
  <c r="O566" i="4"/>
  <c r="N566" i="4"/>
  <c r="M566" i="4"/>
  <c r="K566" i="4"/>
  <c r="J566" i="4"/>
  <c r="I566" i="4"/>
  <c r="H566" i="4"/>
  <c r="G566" i="4"/>
  <c r="O565" i="4"/>
  <c r="N565" i="4"/>
  <c r="M565" i="4"/>
  <c r="K565" i="4"/>
  <c r="J565" i="4"/>
  <c r="I565" i="4"/>
  <c r="H565" i="4"/>
  <c r="G565" i="4"/>
  <c r="O564" i="4"/>
  <c r="N564" i="4"/>
  <c r="M564" i="4"/>
  <c r="K564" i="4"/>
  <c r="J564" i="4"/>
  <c r="I564" i="4"/>
  <c r="H564" i="4"/>
  <c r="G564" i="4"/>
  <c r="O563" i="4"/>
  <c r="N563" i="4"/>
  <c r="M563" i="4"/>
  <c r="K563" i="4"/>
  <c r="J563" i="4"/>
  <c r="I563" i="4"/>
  <c r="H563" i="4"/>
  <c r="G563" i="4"/>
  <c r="O562" i="4"/>
  <c r="N562" i="4"/>
  <c r="M562" i="4"/>
  <c r="K562" i="4"/>
  <c r="J562" i="4"/>
  <c r="I562" i="4"/>
  <c r="H562" i="4"/>
  <c r="G562" i="4"/>
  <c r="O561" i="4"/>
  <c r="N561" i="4"/>
  <c r="M561" i="4"/>
  <c r="K561" i="4"/>
  <c r="J561" i="4"/>
  <c r="I561" i="4"/>
  <c r="H561" i="4"/>
  <c r="G561" i="4"/>
  <c r="O560" i="4"/>
  <c r="N560" i="4"/>
  <c r="M560" i="4"/>
  <c r="K560" i="4"/>
  <c r="J560" i="4"/>
  <c r="I560" i="4"/>
  <c r="H560" i="4"/>
  <c r="G560" i="4"/>
  <c r="O559" i="4"/>
  <c r="N559" i="4"/>
  <c r="M559" i="4"/>
  <c r="K559" i="4"/>
  <c r="J559" i="4"/>
  <c r="G559" i="4"/>
  <c r="O558" i="4"/>
  <c r="N558" i="4"/>
  <c r="M558" i="4"/>
  <c r="K558" i="4"/>
  <c r="J558" i="4"/>
  <c r="I558" i="4"/>
  <c r="H558" i="4"/>
  <c r="G558" i="4"/>
  <c r="O557" i="4"/>
  <c r="N557" i="4"/>
  <c r="M557" i="4"/>
  <c r="K557" i="4"/>
  <c r="J557" i="4"/>
  <c r="I557" i="4"/>
  <c r="H557" i="4"/>
  <c r="G557" i="4"/>
  <c r="O556" i="4"/>
  <c r="N556" i="4"/>
  <c r="M556" i="4"/>
  <c r="K556" i="4"/>
  <c r="J556" i="4"/>
  <c r="I556" i="4"/>
  <c r="H556" i="4"/>
  <c r="G556" i="4"/>
  <c r="O555" i="4"/>
  <c r="N555" i="4"/>
  <c r="M555" i="4"/>
  <c r="K555" i="4"/>
  <c r="J555" i="4"/>
  <c r="I555" i="4"/>
  <c r="H555" i="4"/>
  <c r="G555" i="4"/>
  <c r="O554" i="4"/>
  <c r="N554" i="4"/>
  <c r="M554" i="4"/>
  <c r="K554" i="4"/>
  <c r="J554" i="4"/>
  <c r="I554" i="4"/>
  <c r="H554" i="4"/>
  <c r="G554" i="4"/>
  <c r="O553" i="4"/>
  <c r="N553" i="4"/>
  <c r="M553" i="4"/>
  <c r="K553" i="4"/>
  <c r="G553" i="4"/>
  <c r="O552" i="4"/>
  <c r="N552" i="4"/>
  <c r="M552" i="4"/>
  <c r="K552" i="4"/>
  <c r="J552" i="4"/>
  <c r="I552" i="4"/>
  <c r="H552" i="4"/>
  <c r="G552" i="4"/>
  <c r="O551" i="4"/>
  <c r="N551" i="4"/>
  <c r="M551" i="4"/>
  <c r="K551" i="4"/>
  <c r="J551" i="4"/>
  <c r="I551" i="4"/>
  <c r="H551" i="4"/>
  <c r="G551" i="4"/>
  <c r="O550" i="4"/>
  <c r="N550" i="4"/>
  <c r="M550" i="4"/>
  <c r="K550" i="4"/>
  <c r="G550" i="4"/>
  <c r="O549" i="4"/>
  <c r="N549" i="4"/>
  <c r="M549" i="4"/>
  <c r="K549" i="4"/>
  <c r="G549" i="4"/>
  <c r="O548" i="4"/>
  <c r="N548" i="4"/>
  <c r="M548" i="4"/>
  <c r="K548" i="4"/>
  <c r="J548" i="4"/>
  <c r="I548" i="4"/>
  <c r="H548" i="4"/>
  <c r="G548" i="4"/>
  <c r="O547" i="4"/>
  <c r="N547" i="4"/>
  <c r="M547" i="4"/>
  <c r="K547" i="4"/>
  <c r="G547" i="4"/>
  <c r="O546" i="4"/>
  <c r="N546" i="4"/>
  <c r="M546" i="4"/>
  <c r="K546" i="4"/>
  <c r="J546" i="4"/>
  <c r="I546" i="4"/>
  <c r="H546" i="4"/>
  <c r="G546" i="4"/>
  <c r="O545" i="4"/>
  <c r="N545" i="4"/>
  <c r="M545" i="4"/>
  <c r="K545" i="4"/>
  <c r="J545" i="4"/>
  <c r="I545" i="4"/>
  <c r="H545" i="4"/>
  <c r="G545" i="4"/>
  <c r="O544" i="4"/>
  <c r="N544" i="4"/>
  <c r="M544" i="4"/>
  <c r="K544" i="4"/>
  <c r="J544" i="4"/>
  <c r="I544" i="4"/>
  <c r="H544" i="4"/>
  <c r="G544" i="4"/>
  <c r="O543" i="4"/>
  <c r="N543" i="4"/>
  <c r="M543" i="4"/>
  <c r="K543" i="4"/>
  <c r="J543" i="4"/>
  <c r="I543" i="4"/>
  <c r="H543" i="4"/>
  <c r="G543" i="4"/>
  <c r="O542" i="4"/>
  <c r="N542" i="4"/>
  <c r="M542" i="4"/>
  <c r="K542" i="4"/>
  <c r="J542" i="4"/>
  <c r="I542" i="4"/>
  <c r="H542" i="4"/>
  <c r="G542" i="4"/>
  <c r="O541" i="4"/>
  <c r="N541" i="4"/>
  <c r="M541" i="4"/>
  <c r="K541" i="4"/>
  <c r="J541" i="4"/>
  <c r="I541" i="4"/>
  <c r="H541" i="4"/>
  <c r="G541" i="4"/>
  <c r="O540" i="4"/>
  <c r="N540" i="4"/>
  <c r="M540" i="4"/>
  <c r="K540" i="4"/>
  <c r="J540" i="4"/>
  <c r="I540" i="4"/>
  <c r="H540" i="4"/>
  <c r="G540" i="4"/>
  <c r="O539" i="4"/>
  <c r="N539" i="4"/>
  <c r="M539" i="4"/>
  <c r="K539" i="4"/>
  <c r="J539" i="4"/>
  <c r="I539" i="4"/>
  <c r="H539" i="4"/>
  <c r="G539" i="4"/>
  <c r="O538" i="4"/>
  <c r="N538" i="4"/>
  <c r="M538" i="4"/>
  <c r="K538" i="4"/>
  <c r="J538" i="4"/>
  <c r="I538" i="4"/>
  <c r="H538" i="4"/>
  <c r="G538" i="4"/>
  <c r="O537" i="4"/>
  <c r="N537" i="4"/>
  <c r="M537" i="4"/>
  <c r="K537" i="4"/>
  <c r="J537" i="4"/>
  <c r="I537" i="4"/>
  <c r="H537" i="4"/>
  <c r="G537" i="4"/>
  <c r="O536" i="4"/>
  <c r="N536" i="4"/>
  <c r="M536" i="4"/>
  <c r="K536" i="4"/>
  <c r="J536" i="4"/>
  <c r="I536" i="4"/>
  <c r="H536" i="4"/>
  <c r="G536" i="4"/>
  <c r="O535" i="4"/>
  <c r="N535" i="4"/>
  <c r="M535" i="4"/>
  <c r="K535" i="4"/>
  <c r="J535" i="4"/>
  <c r="I535" i="4"/>
  <c r="H535" i="4"/>
  <c r="G535" i="4"/>
  <c r="O534" i="4"/>
  <c r="N534" i="4"/>
  <c r="M534" i="4"/>
  <c r="K534" i="4"/>
  <c r="J534" i="4"/>
  <c r="I534" i="4"/>
  <c r="H534" i="4"/>
  <c r="G534" i="4"/>
  <c r="O533" i="4"/>
  <c r="N533" i="4"/>
  <c r="M533" i="4"/>
  <c r="K533" i="4"/>
  <c r="J533" i="4"/>
  <c r="I533" i="4"/>
  <c r="H533" i="4"/>
  <c r="G533" i="4"/>
  <c r="O532" i="4"/>
  <c r="N532" i="4"/>
  <c r="M532" i="4"/>
  <c r="K532" i="4"/>
  <c r="J532" i="4"/>
  <c r="I532" i="4"/>
  <c r="H532" i="4"/>
  <c r="G532" i="4"/>
  <c r="O531" i="4"/>
  <c r="N531" i="4"/>
  <c r="M531" i="4"/>
  <c r="K531" i="4"/>
  <c r="J531" i="4"/>
  <c r="I531" i="4"/>
  <c r="H531" i="4"/>
  <c r="G531" i="4"/>
  <c r="O530" i="4"/>
  <c r="N530" i="4"/>
  <c r="M530" i="4"/>
  <c r="K530" i="4"/>
  <c r="J530" i="4"/>
  <c r="I530" i="4"/>
  <c r="H530" i="4"/>
  <c r="G530" i="4"/>
  <c r="O529" i="4"/>
  <c r="N529" i="4"/>
  <c r="M529" i="4"/>
  <c r="K529" i="4"/>
  <c r="J529" i="4"/>
  <c r="I529" i="4"/>
  <c r="H529" i="4"/>
  <c r="G529" i="4"/>
  <c r="O528" i="4"/>
  <c r="N528" i="4"/>
  <c r="M528" i="4"/>
  <c r="K528" i="4"/>
  <c r="J528" i="4"/>
  <c r="I528" i="4"/>
  <c r="H528" i="4"/>
  <c r="G528" i="4"/>
  <c r="O527" i="4"/>
  <c r="N527" i="4"/>
  <c r="M527" i="4"/>
  <c r="K527" i="4"/>
  <c r="J527" i="4"/>
  <c r="I527" i="4"/>
  <c r="H527" i="4"/>
  <c r="G527" i="4"/>
  <c r="O526" i="4"/>
  <c r="N526" i="4"/>
  <c r="M526" i="4"/>
  <c r="K526" i="4"/>
  <c r="J526" i="4"/>
  <c r="I526" i="4"/>
  <c r="H526" i="4"/>
  <c r="G526" i="4"/>
  <c r="O525" i="4"/>
  <c r="N525" i="4"/>
  <c r="M525" i="4"/>
  <c r="K525" i="4"/>
  <c r="J525" i="4"/>
  <c r="I525" i="4"/>
  <c r="H525" i="4"/>
  <c r="G525" i="4"/>
  <c r="O524" i="4"/>
  <c r="N524" i="4"/>
  <c r="M524" i="4"/>
  <c r="K524" i="4"/>
  <c r="J524" i="4"/>
  <c r="I524" i="4"/>
  <c r="H524" i="4"/>
  <c r="G524" i="4"/>
  <c r="O523" i="4"/>
  <c r="N523" i="4"/>
  <c r="M523" i="4"/>
  <c r="K523" i="4"/>
  <c r="J523" i="4"/>
  <c r="I523" i="4"/>
  <c r="H523" i="4"/>
  <c r="G523" i="4"/>
  <c r="O522" i="4"/>
  <c r="N522" i="4"/>
  <c r="M522" i="4"/>
  <c r="K522" i="4"/>
  <c r="J522" i="4"/>
  <c r="I522" i="4"/>
  <c r="H522" i="4"/>
  <c r="G522" i="4"/>
  <c r="O521" i="4"/>
  <c r="N521" i="4"/>
  <c r="M521" i="4"/>
  <c r="K521" i="4"/>
  <c r="J521" i="4"/>
  <c r="I521" i="4"/>
  <c r="H521" i="4"/>
  <c r="G521" i="4"/>
  <c r="O520" i="4"/>
  <c r="N520" i="4"/>
  <c r="M520" i="4"/>
  <c r="K520" i="4"/>
  <c r="J520" i="4"/>
  <c r="I520" i="4"/>
  <c r="H520" i="4"/>
  <c r="G520" i="4"/>
  <c r="O519" i="4"/>
  <c r="N519" i="4"/>
  <c r="M519" i="4"/>
  <c r="K519" i="4"/>
  <c r="J519" i="4"/>
  <c r="I519" i="4"/>
  <c r="H519" i="4"/>
  <c r="G519" i="4"/>
  <c r="O518" i="4"/>
  <c r="N518" i="4"/>
  <c r="M518" i="4"/>
  <c r="K518" i="4"/>
  <c r="J518" i="4"/>
  <c r="I518" i="4"/>
  <c r="H518" i="4"/>
  <c r="G518" i="4"/>
  <c r="O517" i="4"/>
  <c r="N517" i="4"/>
  <c r="M517" i="4"/>
  <c r="K517" i="4"/>
  <c r="J517" i="4"/>
  <c r="I517" i="4"/>
  <c r="H517" i="4"/>
  <c r="G517" i="4"/>
  <c r="O516" i="4"/>
  <c r="N516" i="4"/>
  <c r="M516" i="4"/>
  <c r="K516" i="4"/>
  <c r="J516" i="4"/>
  <c r="I516" i="4"/>
  <c r="H516" i="4"/>
  <c r="G516" i="4"/>
  <c r="O515" i="4"/>
  <c r="N515" i="4"/>
  <c r="M515" i="4"/>
  <c r="K515" i="4"/>
  <c r="J515" i="4"/>
  <c r="I515" i="4"/>
  <c r="H515" i="4"/>
  <c r="G515" i="4"/>
  <c r="O514" i="4"/>
  <c r="N514" i="4"/>
  <c r="M514" i="4"/>
  <c r="K514" i="4"/>
  <c r="J514" i="4"/>
  <c r="I514" i="4"/>
  <c r="H514" i="4"/>
  <c r="G514" i="4"/>
  <c r="O513" i="4"/>
  <c r="N513" i="4"/>
  <c r="M513" i="4"/>
  <c r="K513" i="4"/>
  <c r="J513" i="4"/>
  <c r="I513" i="4"/>
  <c r="H513" i="4"/>
  <c r="G513" i="4"/>
  <c r="O512" i="4"/>
  <c r="N512" i="4"/>
  <c r="M512" i="4"/>
  <c r="K512" i="4"/>
  <c r="J512" i="4"/>
  <c r="I512" i="4"/>
  <c r="H512" i="4"/>
  <c r="G512" i="4"/>
  <c r="O511" i="4"/>
  <c r="N511" i="4"/>
  <c r="M511" i="4"/>
  <c r="K511" i="4"/>
  <c r="J511" i="4"/>
  <c r="I511" i="4"/>
  <c r="H511" i="4"/>
  <c r="G511" i="4"/>
  <c r="O510" i="4"/>
  <c r="N510" i="4"/>
  <c r="M510" i="4"/>
  <c r="K510" i="4"/>
  <c r="J510" i="4"/>
  <c r="I510" i="4"/>
  <c r="H510" i="4"/>
  <c r="G510" i="4"/>
  <c r="O509" i="4"/>
  <c r="N509" i="4"/>
  <c r="M509" i="4"/>
  <c r="K509" i="4"/>
  <c r="G509" i="4"/>
  <c r="O508" i="4"/>
  <c r="N508" i="4"/>
  <c r="M508" i="4"/>
  <c r="K508" i="4"/>
  <c r="G508" i="4"/>
  <c r="O507" i="4"/>
  <c r="N507" i="4"/>
  <c r="M507" i="4"/>
  <c r="K507" i="4"/>
  <c r="G507" i="4"/>
  <c r="O506" i="4"/>
  <c r="N506" i="4"/>
  <c r="M506" i="4"/>
  <c r="K506" i="4"/>
  <c r="H506" i="4"/>
  <c r="G506" i="4"/>
  <c r="O505" i="4"/>
  <c r="N505" i="4"/>
  <c r="M505" i="4"/>
  <c r="K505" i="4"/>
  <c r="H505" i="4"/>
  <c r="G505" i="4"/>
  <c r="O504" i="4"/>
  <c r="N504" i="4"/>
  <c r="M504" i="4"/>
  <c r="K504" i="4"/>
  <c r="G504" i="4"/>
  <c r="O503" i="4"/>
  <c r="N503" i="4"/>
  <c r="M503" i="4"/>
  <c r="K503" i="4"/>
  <c r="H503" i="4"/>
  <c r="G503" i="4"/>
  <c r="O502" i="4"/>
  <c r="N502" i="4"/>
  <c r="M502" i="4"/>
  <c r="K502" i="4"/>
  <c r="H502" i="4"/>
  <c r="G502" i="4"/>
  <c r="O501" i="4"/>
  <c r="N501" i="4"/>
  <c r="M501" i="4"/>
  <c r="K501" i="4"/>
  <c r="G501" i="4"/>
  <c r="O500" i="4"/>
  <c r="N500" i="4"/>
  <c r="M500" i="4"/>
  <c r="K500" i="4"/>
  <c r="J500" i="4" s="1"/>
  <c r="I500" i="4"/>
  <c r="H500" i="4"/>
  <c r="G500" i="4"/>
  <c r="O499" i="4"/>
  <c r="N499" i="4"/>
  <c r="M499" i="4"/>
  <c r="K499" i="4"/>
  <c r="G499" i="4"/>
  <c r="O498" i="4"/>
  <c r="N498" i="4"/>
  <c r="M498" i="4"/>
  <c r="K498" i="4"/>
  <c r="G498" i="4"/>
  <c r="O497" i="4"/>
  <c r="N497" i="4"/>
  <c r="M497" i="4"/>
  <c r="K497" i="4"/>
  <c r="G497" i="4"/>
  <c r="O496" i="4"/>
  <c r="N496" i="4"/>
  <c r="M496" i="4"/>
  <c r="K496" i="4"/>
  <c r="G496" i="4"/>
  <c r="O495" i="4"/>
  <c r="N495" i="4"/>
  <c r="M495" i="4"/>
  <c r="K495" i="4"/>
  <c r="G495" i="4"/>
  <c r="O494" i="4"/>
  <c r="N494" i="4"/>
  <c r="M494" i="4"/>
  <c r="K494" i="4"/>
  <c r="G494" i="4"/>
  <c r="O493" i="4"/>
  <c r="N493" i="4"/>
  <c r="M493" i="4"/>
  <c r="K493" i="4"/>
  <c r="G493" i="4"/>
  <c r="O492" i="4"/>
  <c r="N492" i="4"/>
  <c r="M492" i="4"/>
  <c r="K492" i="4"/>
  <c r="G492" i="4"/>
  <c r="O491" i="4"/>
  <c r="N491" i="4"/>
  <c r="M491" i="4"/>
  <c r="K491" i="4"/>
  <c r="H491" i="4"/>
  <c r="G491" i="4"/>
  <c r="O490" i="4"/>
  <c r="N490" i="4"/>
  <c r="M490" i="4"/>
  <c r="K490" i="4"/>
  <c r="G490" i="4"/>
  <c r="O489" i="4"/>
  <c r="N489" i="4"/>
  <c r="M489" i="4"/>
  <c r="K489" i="4"/>
  <c r="G489" i="4"/>
  <c r="O488" i="4"/>
  <c r="N488" i="4"/>
  <c r="M488" i="4"/>
  <c r="K488" i="4"/>
  <c r="G488" i="4"/>
  <c r="O487" i="4"/>
  <c r="N487" i="4"/>
  <c r="M487" i="4"/>
  <c r="K487" i="4"/>
  <c r="G487" i="4"/>
  <c r="O486" i="4"/>
  <c r="N486" i="4"/>
  <c r="M486" i="4"/>
  <c r="K486" i="4"/>
  <c r="H486" i="4"/>
  <c r="G486" i="4"/>
  <c r="O485" i="4"/>
  <c r="N485" i="4"/>
  <c r="M485" i="4"/>
  <c r="K485" i="4"/>
  <c r="J485" i="4" s="1"/>
  <c r="I485" i="4"/>
  <c r="H485" i="4"/>
  <c r="G485" i="4"/>
  <c r="O484" i="4"/>
  <c r="N484" i="4"/>
  <c r="M484" i="4"/>
  <c r="K484" i="4"/>
  <c r="G484" i="4"/>
  <c r="O483" i="4"/>
  <c r="N483" i="4"/>
  <c r="M483" i="4"/>
  <c r="K483" i="4"/>
  <c r="G483" i="4"/>
  <c r="O482" i="4"/>
  <c r="N482" i="4"/>
  <c r="M482" i="4"/>
  <c r="K482" i="4"/>
  <c r="G482" i="4"/>
  <c r="O481" i="4"/>
  <c r="N481" i="4"/>
  <c r="M481" i="4"/>
  <c r="K481" i="4"/>
  <c r="G481" i="4"/>
  <c r="O480" i="4"/>
  <c r="N480" i="4"/>
  <c r="M480" i="4"/>
  <c r="K480" i="4"/>
  <c r="J480" i="4"/>
  <c r="I480" i="4"/>
  <c r="H480" i="4"/>
  <c r="G480" i="4"/>
  <c r="O479" i="4"/>
  <c r="N479" i="4"/>
  <c r="M479" i="4"/>
  <c r="K479" i="4"/>
  <c r="J479" i="4"/>
  <c r="I479" i="4"/>
  <c r="H479" i="4"/>
  <c r="G479" i="4"/>
  <c r="O478" i="4"/>
  <c r="N478" i="4"/>
  <c r="M478" i="4"/>
  <c r="K478" i="4"/>
  <c r="J478" i="4"/>
  <c r="I478" i="4"/>
  <c r="H478" i="4"/>
  <c r="G478" i="4"/>
  <c r="O477" i="4"/>
  <c r="N477" i="4"/>
  <c r="M477" i="4"/>
  <c r="K477" i="4"/>
  <c r="J477" i="4"/>
  <c r="I477" i="4"/>
  <c r="H477" i="4"/>
  <c r="G477" i="4"/>
  <c r="O476" i="4"/>
  <c r="N476" i="4"/>
  <c r="M476" i="4"/>
  <c r="K476" i="4"/>
  <c r="J476" i="4"/>
  <c r="I476" i="4"/>
  <c r="H476" i="4"/>
  <c r="G476" i="4"/>
  <c r="O475" i="4"/>
  <c r="N475" i="4"/>
  <c r="M475" i="4"/>
  <c r="K475" i="4"/>
  <c r="J475" i="4"/>
  <c r="I475" i="4"/>
  <c r="H475" i="4"/>
  <c r="G475" i="4"/>
  <c r="O474" i="4"/>
  <c r="N474" i="4"/>
  <c r="M474" i="4"/>
  <c r="K474" i="4"/>
  <c r="J474" i="4"/>
  <c r="I474" i="4"/>
  <c r="H474" i="4"/>
  <c r="G474" i="4"/>
  <c r="O473" i="4"/>
  <c r="N473" i="4"/>
  <c r="M473" i="4"/>
  <c r="K473" i="4"/>
  <c r="J473" i="4"/>
  <c r="I473" i="4"/>
  <c r="H473" i="4"/>
  <c r="G473" i="4"/>
  <c r="O472" i="4"/>
  <c r="N472" i="4"/>
  <c r="M472" i="4"/>
  <c r="K472" i="4"/>
  <c r="J472" i="4"/>
  <c r="I472" i="4"/>
  <c r="H472" i="4"/>
  <c r="G472" i="4"/>
  <c r="O471" i="4"/>
  <c r="N471" i="4"/>
  <c r="M471" i="4"/>
  <c r="K471" i="4"/>
  <c r="J471" i="4"/>
  <c r="I471" i="4"/>
  <c r="H471" i="4"/>
  <c r="G471" i="4"/>
  <c r="O470" i="4"/>
  <c r="N470" i="4"/>
  <c r="M470" i="4"/>
  <c r="K470" i="4"/>
  <c r="J470" i="4"/>
  <c r="I470" i="4"/>
  <c r="H470" i="4"/>
  <c r="G470" i="4"/>
  <c r="O469" i="4"/>
  <c r="N469" i="4"/>
  <c r="M469" i="4"/>
  <c r="K469" i="4"/>
  <c r="J469" i="4"/>
  <c r="I469" i="4"/>
  <c r="H469" i="4"/>
  <c r="G469" i="4"/>
  <c r="O468" i="4"/>
  <c r="N468" i="4"/>
  <c r="M468" i="4"/>
  <c r="K468" i="4"/>
  <c r="J468" i="4"/>
  <c r="I468" i="4"/>
  <c r="H468" i="4"/>
  <c r="G468" i="4"/>
  <c r="O467" i="4"/>
  <c r="N467" i="4"/>
  <c r="M467" i="4"/>
  <c r="K467" i="4"/>
  <c r="J467" i="4"/>
  <c r="I467" i="4"/>
  <c r="H467" i="4"/>
  <c r="G467" i="4"/>
  <c r="O466" i="4"/>
  <c r="N466" i="4"/>
  <c r="M466" i="4"/>
  <c r="K466" i="4"/>
  <c r="J466" i="4"/>
  <c r="I466" i="4"/>
  <c r="H466" i="4"/>
  <c r="G466" i="4"/>
  <c r="O465" i="4"/>
  <c r="N465" i="4"/>
  <c r="M465" i="4"/>
  <c r="K465" i="4"/>
  <c r="J465" i="4"/>
  <c r="I465" i="4"/>
  <c r="H465" i="4"/>
  <c r="G465" i="4"/>
  <c r="O464" i="4"/>
  <c r="N464" i="4"/>
  <c r="M464" i="4"/>
  <c r="K464" i="4"/>
  <c r="J464" i="4"/>
  <c r="I464" i="4"/>
  <c r="H464" i="4"/>
  <c r="G464" i="4"/>
  <c r="O463" i="4"/>
  <c r="N463" i="4"/>
  <c r="M463" i="4"/>
  <c r="K463" i="4"/>
  <c r="J463" i="4"/>
  <c r="I463" i="4"/>
  <c r="H463" i="4"/>
  <c r="G463" i="4"/>
  <c r="O462" i="4"/>
  <c r="N462" i="4"/>
  <c r="M462" i="4"/>
  <c r="K462" i="4"/>
  <c r="J462" i="4"/>
  <c r="I462" i="4"/>
  <c r="H462" i="4"/>
  <c r="G462" i="4"/>
  <c r="O461" i="4"/>
  <c r="N461" i="4"/>
  <c r="M461" i="4"/>
  <c r="K461" i="4"/>
  <c r="J461" i="4"/>
  <c r="I461" i="4"/>
  <c r="H461" i="4"/>
  <c r="G461" i="4"/>
  <c r="O460" i="4"/>
  <c r="N460" i="4"/>
  <c r="M460" i="4"/>
  <c r="K460" i="4"/>
  <c r="J460" i="4"/>
  <c r="I460" i="4"/>
  <c r="H460" i="4"/>
  <c r="G460" i="4"/>
  <c r="O459" i="4"/>
  <c r="N459" i="4"/>
  <c r="M459" i="4"/>
  <c r="K459" i="4"/>
  <c r="J459" i="4"/>
  <c r="I459" i="4"/>
  <c r="H459" i="4"/>
  <c r="G459" i="4"/>
  <c r="O458" i="4"/>
  <c r="N458" i="4"/>
  <c r="M458" i="4"/>
  <c r="K458" i="4"/>
  <c r="J458" i="4"/>
  <c r="I458" i="4"/>
  <c r="H458" i="4"/>
  <c r="G458" i="4"/>
  <c r="O457" i="4"/>
  <c r="N457" i="4"/>
  <c r="M457" i="4"/>
  <c r="K457" i="4"/>
  <c r="J457" i="4"/>
  <c r="I457" i="4"/>
  <c r="H457" i="4"/>
  <c r="G457" i="4"/>
  <c r="O456" i="4"/>
  <c r="N456" i="4"/>
  <c r="M456" i="4"/>
  <c r="K456" i="4"/>
  <c r="J456" i="4"/>
  <c r="I456" i="4"/>
  <c r="H456" i="4"/>
  <c r="G456" i="4"/>
  <c r="O455" i="4"/>
  <c r="N455" i="4"/>
  <c r="M455" i="4"/>
  <c r="K455" i="4"/>
  <c r="J455" i="4"/>
  <c r="I455" i="4"/>
  <c r="H455" i="4"/>
  <c r="G455" i="4"/>
  <c r="O454" i="4"/>
  <c r="N454" i="4"/>
  <c r="M454" i="4"/>
  <c r="K454" i="4"/>
  <c r="J454" i="4"/>
  <c r="I454" i="4"/>
  <c r="H454" i="4"/>
  <c r="G454" i="4"/>
  <c r="O453" i="4"/>
  <c r="N453" i="4"/>
  <c r="M453" i="4"/>
  <c r="K453" i="4"/>
  <c r="J453" i="4"/>
  <c r="I453" i="4"/>
  <c r="H453" i="4"/>
  <c r="G453" i="4"/>
  <c r="O452" i="4"/>
  <c r="N452" i="4"/>
  <c r="M452" i="4"/>
  <c r="K452" i="4"/>
  <c r="J452" i="4"/>
  <c r="I452" i="4"/>
  <c r="H452" i="4"/>
  <c r="G452" i="4"/>
  <c r="O451" i="4"/>
  <c r="N451" i="4"/>
  <c r="M451" i="4"/>
  <c r="K451" i="4"/>
  <c r="J451" i="4"/>
  <c r="I451" i="4"/>
  <c r="H451" i="4"/>
  <c r="G451" i="4"/>
  <c r="O450" i="4"/>
  <c r="N450" i="4"/>
  <c r="M450" i="4"/>
  <c r="K450" i="4"/>
  <c r="J450" i="4"/>
  <c r="I450" i="4"/>
  <c r="H450" i="4"/>
  <c r="G450" i="4"/>
  <c r="O449" i="4"/>
  <c r="N449" i="4"/>
  <c r="M449" i="4"/>
  <c r="K449" i="4"/>
  <c r="J449" i="4"/>
  <c r="I449" i="4"/>
  <c r="H449" i="4"/>
  <c r="G449" i="4"/>
  <c r="O448" i="4"/>
  <c r="N448" i="4"/>
  <c r="M448" i="4"/>
  <c r="K448" i="4"/>
  <c r="J448" i="4"/>
  <c r="I448" i="4"/>
  <c r="H448" i="4"/>
  <c r="G448" i="4"/>
  <c r="O447" i="4"/>
  <c r="N447" i="4"/>
  <c r="M447" i="4"/>
  <c r="K447" i="4"/>
  <c r="J447" i="4"/>
  <c r="I447" i="4"/>
  <c r="H447" i="4"/>
  <c r="G447" i="4"/>
  <c r="O446" i="4"/>
  <c r="N446" i="4"/>
  <c r="M446" i="4"/>
  <c r="K446" i="4"/>
  <c r="J446" i="4"/>
  <c r="I446" i="4"/>
  <c r="H446" i="4"/>
  <c r="G446" i="4"/>
  <c r="O445" i="4"/>
  <c r="N445" i="4"/>
  <c r="M445" i="4"/>
  <c r="K445" i="4"/>
  <c r="J445" i="4"/>
  <c r="I445" i="4"/>
  <c r="H445" i="4"/>
  <c r="G445" i="4"/>
  <c r="O444" i="4"/>
  <c r="N444" i="4"/>
  <c r="M444" i="4"/>
  <c r="K444" i="4"/>
  <c r="J444" i="4"/>
  <c r="I444" i="4"/>
  <c r="H444" i="4"/>
  <c r="G444" i="4"/>
  <c r="O443" i="4"/>
  <c r="N443" i="4"/>
  <c r="M443" i="4"/>
  <c r="K443" i="4"/>
  <c r="J443" i="4"/>
  <c r="I443" i="4"/>
  <c r="H443" i="4"/>
  <c r="G443" i="4"/>
  <c r="O442" i="4"/>
  <c r="N442" i="4"/>
  <c r="M442" i="4"/>
  <c r="K442" i="4"/>
  <c r="J442" i="4"/>
  <c r="I442" i="4"/>
  <c r="H442" i="4"/>
  <c r="G442" i="4"/>
  <c r="O441" i="4"/>
  <c r="N441" i="4"/>
  <c r="M441" i="4"/>
  <c r="K441" i="4"/>
  <c r="J441" i="4"/>
  <c r="I441" i="4"/>
  <c r="H441" i="4"/>
  <c r="G441" i="4"/>
  <c r="O440" i="4"/>
  <c r="N440" i="4"/>
  <c r="M440" i="4"/>
  <c r="K440" i="4"/>
  <c r="J440" i="4"/>
  <c r="I440" i="4"/>
  <c r="H440" i="4"/>
  <c r="G440" i="4"/>
  <c r="O439" i="4"/>
  <c r="N439" i="4"/>
  <c r="M439" i="4"/>
  <c r="K439" i="4"/>
  <c r="J439" i="4"/>
  <c r="I439" i="4"/>
  <c r="H439" i="4"/>
  <c r="G439" i="4"/>
  <c r="O438" i="4"/>
  <c r="N438" i="4"/>
  <c r="M438" i="4"/>
  <c r="K438" i="4"/>
  <c r="J438" i="4"/>
  <c r="I438" i="4"/>
  <c r="H438" i="4"/>
  <c r="G438" i="4"/>
  <c r="O437" i="4"/>
  <c r="N437" i="4"/>
  <c r="M437" i="4"/>
  <c r="K437" i="4"/>
  <c r="J437" i="4"/>
  <c r="I437" i="4"/>
  <c r="H437" i="4"/>
  <c r="G437" i="4"/>
  <c r="O436" i="4"/>
  <c r="N436" i="4"/>
  <c r="M436" i="4"/>
  <c r="K436" i="4"/>
  <c r="J436" i="4"/>
  <c r="I436" i="4"/>
  <c r="H436" i="4"/>
  <c r="G436" i="4"/>
  <c r="O435" i="4"/>
  <c r="N435" i="4"/>
  <c r="M435" i="4"/>
  <c r="K435" i="4"/>
  <c r="J435" i="4"/>
  <c r="I435" i="4"/>
  <c r="H435" i="4"/>
  <c r="G435" i="4"/>
  <c r="O434" i="4"/>
  <c r="N434" i="4"/>
  <c r="M434" i="4"/>
  <c r="K434" i="4"/>
  <c r="J434" i="4"/>
  <c r="I434" i="4"/>
  <c r="H434" i="4"/>
  <c r="G434" i="4"/>
  <c r="O433" i="4"/>
  <c r="N433" i="4"/>
  <c r="M433" i="4"/>
  <c r="K433" i="4"/>
  <c r="J433" i="4"/>
  <c r="I433" i="4"/>
  <c r="H433" i="4"/>
  <c r="G433" i="4"/>
  <c r="O432" i="4"/>
  <c r="N432" i="4"/>
  <c r="M432" i="4"/>
  <c r="K432" i="4"/>
  <c r="J432" i="4"/>
  <c r="I432" i="4"/>
  <c r="H432" i="4"/>
  <c r="G432" i="4"/>
  <c r="O431" i="4"/>
  <c r="N431" i="4"/>
  <c r="M431" i="4"/>
  <c r="K431" i="4"/>
  <c r="J431" i="4"/>
  <c r="I431" i="4"/>
  <c r="H431" i="4"/>
  <c r="G431" i="4"/>
  <c r="O430" i="4"/>
  <c r="N430" i="4"/>
  <c r="M430" i="4"/>
  <c r="K430" i="4"/>
  <c r="J430" i="4"/>
  <c r="I430" i="4"/>
  <c r="H430" i="4"/>
  <c r="G430" i="4"/>
  <c r="O429" i="4"/>
  <c r="N429" i="4"/>
  <c r="M429" i="4"/>
  <c r="K429" i="4"/>
  <c r="J429" i="4"/>
  <c r="I429" i="4"/>
  <c r="H429" i="4"/>
  <c r="G429" i="4"/>
  <c r="O428" i="4"/>
  <c r="N428" i="4"/>
  <c r="M428" i="4"/>
  <c r="K428" i="4"/>
  <c r="J428" i="4"/>
  <c r="I428" i="4"/>
  <c r="H428" i="4"/>
  <c r="G428" i="4"/>
  <c r="O427" i="4"/>
  <c r="N427" i="4"/>
  <c r="M427" i="4"/>
  <c r="K427" i="4"/>
  <c r="J427" i="4"/>
  <c r="I427" i="4"/>
  <c r="H427" i="4"/>
  <c r="G427" i="4"/>
  <c r="O426" i="4"/>
  <c r="N426" i="4"/>
  <c r="M426" i="4"/>
  <c r="K426" i="4"/>
  <c r="J426" i="4"/>
  <c r="I426" i="4"/>
  <c r="H426" i="4"/>
  <c r="G426" i="4"/>
  <c r="O425" i="4"/>
  <c r="N425" i="4"/>
  <c r="M425" i="4"/>
  <c r="K425" i="4"/>
  <c r="J425" i="4"/>
  <c r="I425" i="4"/>
  <c r="H425" i="4"/>
  <c r="G425" i="4"/>
  <c r="O424" i="4"/>
  <c r="N424" i="4"/>
  <c r="M424" i="4"/>
  <c r="K424" i="4"/>
  <c r="J424" i="4"/>
  <c r="I424" i="4"/>
  <c r="H424" i="4"/>
  <c r="G424" i="4"/>
  <c r="O423" i="4"/>
  <c r="N423" i="4"/>
  <c r="M423" i="4"/>
  <c r="K423" i="4"/>
  <c r="J423" i="4"/>
  <c r="I423" i="4"/>
  <c r="H423" i="4"/>
  <c r="G423" i="4"/>
  <c r="O422" i="4"/>
  <c r="N422" i="4"/>
  <c r="M422" i="4"/>
  <c r="K422" i="4"/>
  <c r="J422" i="4"/>
  <c r="I422" i="4"/>
  <c r="H422" i="4"/>
  <c r="G422" i="4"/>
  <c r="O421" i="4"/>
  <c r="N421" i="4"/>
  <c r="M421" i="4"/>
  <c r="K421" i="4"/>
  <c r="J421" i="4"/>
  <c r="I421" i="4"/>
  <c r="H421" i="4"/>
  <c r="G421" i="4"/>
  <c r="O420" i="4"/>
  <c r="N420" i="4"/>
  <c r="M420" i="4"/>
  <c r="K420" i="4"/>
  <c r="J420" i="4"/>
  <c r="I420" i="4"/>
  <c r="H420" i="4"/>
  <c r="G420" i="4"/>
  <c r="O419" i="4"/>
  <c r="N419" i="4"/>
  <c r="M419" i="4"/>
  <c r="K419" i="4"/>
  <c r="J419" i="4"/>
  <c r="I419" i="4"/>
  <c r="H419" i="4"/>
  <c r="G419" i="4"/>
  <c r="O418" i="4"/>
  <c r="N418" i="4"/>
  <c r="M418" i="4"/>
  <c r="K418" i="4"/>
  <c r="J418" i="4"/>
  <c r="I418" i="4"/>
  <c r="H418" i="4"/>
  <c r="G418" i="4"/>
  <c r="O417" i="4"/>
  <c r="N417" i="4"/>
  <c r="M417" i="4"/>
  <c r="K417" i="4"/>
  <c r="J417" i="4"/>
  <c r="I417" i="4"/>
  <c r="H417" i="4"/>
  <c r="G417" i="4"/>
  <c r="O416" i="4"/>
  <c r="N416" i="4"/>
  <c r="M416" i="4"/>
  <c r="K416" i="4"/>
  <c r="J416" i="4"/>
  <c r="I416" i="4"/>
  <c r="H416" i="4"/>
  <c r="G416" i="4"/>
  <c r="O415" i="4"/>
  <c r="N415" i="4"/>
  <c r="M415" i="4"/>
  <c r="K415" i="4"/>
  <c r="J415" i="4"/>
  <c r="I415" i="4"/>
  <c r="H415" i="4"/>
  <c r="G415" i="4"/>
  <c r="O414" i="4"/>
  <c r="N414" i="4"/>
  <c r="M414" i="4"/>
  <c r="K414" i="4"/>
  <c r="J414" i="4"/>
  <c r="I414" i="4"/>
  <c r="H414" i="4"/>
  <c r="G414" i="4"/>
  <c r="O413" i="4"/>
  <c r="N413" i="4"/>
  <c r="M413" i="4"/>
  <c r="K413" i="4"/>
  <c r="J413" i="4"/>
  <c r="I413" i="4"/>
  <c r="H413" i="4"/>
  <c r="G413" i="4"/>
  <c r="O412" i="4"/>
  <c r="N412" i="4"/>
  <c r="M412" i="4"/>
  <c r="K412" i="4"/>
  <c r="J412" i="4"/>
  <c r="I412" i="4"/>
  <c r="H412" i="4"/>
  <c r="G412" i="4"/>
  <c r="O411" i="4"/>
  <c r="N411" i="4"/>
  <c r="M411" i="4"/>
  <c r="K411" i="4"/>
  <c r="J411" i="4"/>
  <c r="I411" i="4"/>
  <c r="H411" i="4"/>
  <c r="G411" i="4"/>
  <c r="O410" i="4"/>
  <c r="N410" i="4"/>
  <c r="M410" i="4"/>
  <c r="K410" i="4"/>
  <c r="J410" i="4"/>
  <c r="I410" i="4"/>
  <c r="H410" i="4"/>
  <c r="G410" i="4"/>
  <c r="O409" i="4"/>
  <c r="N409" i="4"/>
  <c r="M409" i="4"/>
  <c r="K409" i="4"/>
  <c r="J409" i="4"/>
  <c r="I409" i="4"/>
  <c r="H409" i="4"/>
  <c r="G409" i="4"/>
  <c r="O408" i="4"/>
  <c r="N408" i="4"/>
  <c r="M408" i="4"/>
  <c r="K408" i="4"/>
  <c r="J408" i="4"/>
  <c r="I408" i="4"/>
  <c r="H408" i="4"/>
  <c r="G408" i="4"/>
  <c r="O407" i="4"/>
  <c r="N407" i="4"/>
  <c r="M407" i="4"/>
  <c r="K407" i="4"/>
  <c r="J407" i="4"/>
  <c r="I407" i="4"/>
  <c r="H407" i="4"/>
  <c r="G407" i="4"/>
  <c r="O406" i="4"/>
  <c r="N406" i="4"/>
  <c r="M406" i="4"/>
  <c r="K406" i="4"/>
  <c r="J406" i="4"/>
  <c r="I406" i="4"/>
  <c r="H406" i="4"/>
  <c r="G406" i="4"/>
  <c r="O405" i="4"/>
  <c r="N405" i="4"/>
  <c r="M405" i="4"/>
  <c r="K405" i="4"/>
  <c r="J405" i="4"/>
  <c r="I405" i="4"/>
  <c r="H405" i="4"/>
  <c r="G405" i="4"/>
  <c r="O404" i="4"/>
  <c r="N404" i="4"/>
  <c r="M404" i="4"/>
  <c r="K404" i="4"/>
  <c r="J404" i="4"/>
  <c r="I404" i="4"/>
  <c r="H404" i="4"/>
  <c r="G404" i="4"/>
  <c r="O403" i="4"/>
  <c r="N403" i="4"/>
  <c r="M403" i="4"/>
  <c r="K403" i="4"/>
  <c r="J403" i="4"/>
  <c r="I403" i="4"/>
  <c r="H403" i="4"/>
  <c r="G403" i="4"/>
  <c r="O402" i="4"/>
  <c r="N402" i="4"/>
  <c r="M402" i="4"/>
  <c r="K402" i="4"/>
  <c r="J402" i="4"/>
  <c r="I402" i="4"/>
  <c r="H402" i="4"/>
  <c r="G402" i="4"/>
  <c r="O401" i="4"/>
  <c r="N401" i="4"/>
  <c r="M401" i="4"/>
  <c r="K401" i="4"/>
  <c r="J401" i="4"/>
  <c r="I401" i="4"/>
  <c r="H401" i="4"/>
  <c r="G401" i="4"/>
  <c r="O400" i="4"/>
  <c r="N400" i="4"/>
  <c r="M400" i="4"/>
  <c r="K400" i="4"/>
  <c r="J400" i="4"/>
  <c r="I400" i="4"/>
  <c r="H400" i="4"/>
  <c r="G400" i="4"/>
  <c r="O399" i="4"/>
  <c r="N399" i="4"/>
  <c r="M399" i="4"/>
  <c r="K399" i="4"/>
  <c r="J399" i="4"/>
  <c r="I399" i="4"/>
  <c r="H399" i="4"/>
  <c r="G399" i="4"/>
  <c r="O398" i="4"/>
  <c r="N398" i="4"/>
  <c r="M398" i="4"/>
  <c r="K398" i="4"/>
  <c r="J398" i="4"/>
  <c r="I398" i="4"/>
  <c r="H398" i="4"/>
  <c r="G398" i="4"/>
  <c r="O397" i="4"/>
  <c r="N397" i="4"/>
  <c r="M397" i="4"/>
  <c r="K397" i="4"/>
  <c r="J397" i="4"/>
  <c r="I397" i="4"/>
  <c r="H397" i="4"/>
  <c r="G397" i="4"/>
  <c r="O396" i="4"/>
  <c r="N396" i="4"/>
  <c r="M396" i="4"/>
  <c r="K396" i="4"/>
  <c r="J396" i="4"/>
  <c r="I396" i="4"/>
  <c r="H396" i="4"/>
  <c r="G396" i="4"/>
  <c r="O395" i="4"/>
  <c r="N395" i="4"/>
  <c r="M395" i="4"/>
  <c r="K395" i="4"/>
  <c r="J395" i="4"/>
  <c r="I395" i="4"/>
  <c r="H395" i="4"/>
  <c r="G395" i="4"/>
  <c r="O394" i="4"/>
  <c r="N394" i="4"/>
  <c r="M394" i="4"/>
  <c r="K394" i="4"/>
  <c r="J394" i="4"/>
  <c r="I394" i="4"/>
  <c r="H394" i="4"/>
  <c r="G394" i="4"/>
  <c r="O393" i="4"/>
  <c r="N393" i="4"/>
  <c r="M393" i="4"/>
  <c r="K393" i="4"/>
  <c r="J393" i="4"/>
  <c r="I393" i="4"/>
  <c r="H393" i="4"/>
  <c r="G393" i="4"/>
  <c r="O392" i="4"/>
  <c r="N392" i="4"/>
  <c r="M392" i="4"/>
  <c r="K392" i="4"/>
  <c r="J392" i="4"/>
  <c r="I392" i="4"/>
  <c r="H392" i="4"/>
  <c r="G392" i="4"/>
  <c r="O391" i="4"/>
  <c r="N391" i="4"/>
  <c r="M391" i="4"/>
  <c r="K391" i="4"/>
  <c r="J391" i="4"/>
  <c r="I391" i="4"/>
  <c r="H391" i="4"/>
  <c r="G391" i="4"/>
  <c r="O390" i="4"/>
  <c r="N390" i="4"/>
  <c r="M390" i="4"/>
  <c r="K390" i="4"/>
  <c r="J390" i="4"/>
  <c r="I390" i="4"/>
  <c r="H390" i="4"/>
  <c r="G390" i="4"/>
  <c r="O389" i="4"/>
  <c r="N389" i="4"/>
  <c r="M389" i="4"/>
  <c r="K389" i="4"/>
  <c r="J389" i="4"/>
  <c r="I389" i="4"/>
  <c r="H389" i="4"/>
  <c r="G389" i="4"/>
  <c r="O388" i="4"/>
  <c r="N388" i="4"/>
  <c r="M388" i="4"/>
  <c r="K388" i="4"/>
  <c r="J388" i="4"/>
  <c r="I388" i="4"/>
  <c r="H388" i="4"/>
  <c r="G388" i="4"/>
  <c r="O387" i="4"/>
  <c r="N387" i="4"/>
  <c r="M387" i="4"/>
  <c r="K387" i="4"/>
  <c r="G387" i="4"/>
  <c r="O386" i="4"/>
  <c r="N386" i="4"/>
  <c r="M386" i="4"/>
  <c r="K386" i="4"/>
  <c r="G386" i="4"/>
  <c r="O385" i="4"/>
  <c r="N385" i="4"/>
  <c r="M385" i="4"/>
  <c r="K385" i="4"/>
  <c r="G385" i="4"/>
  <c r="O384" i="4"/>
  <c r="N384" i="4"/>
  <c r="M384" i="4"/>
  <c r="K384" i="4"/>
  <c r="J384" i="4"/>
  <c r="I384" i="4"/>
  <c r="H384" i="4"/>
  <c r="G384" i="4"/>
  <c r="O383" i="4"/>
  <c r="N383" i="4"/>
  <c r="M383" i="4"/>
  <c r="K383" i="4"/>
  <c r="G383" i="4"/>
  <c r="O382" i="4"/>
  <c r="N382" i="4"/>
  <c r="M382" i="4"/>
  <c r="K382" i="4"/>
  <c r="G382" i="4"/>
  <c r="O381" i="4"/>
  <c r="N381" i="4"/>
  <c r="M381" i="4"/>
  <c r="K381" i="4"/>
  <c r="G381" i="4"/>
  <c r="O380" i="4"/>
  <c r="N380" i="4"/>
  <c r="M380" i="4"/>
  <c r="K380" i="4"/>
  <c r="G380" i="4"/>
  <c r="O379" i="4"/>
  <c r="N379" i="4"/>
  <c r="M379" i="4"/>
  <c r="K379" i="4"/>
  <c r="H379" i="4"/>
  <c r="G379" i="4"/>
  <c r="O378" i="4"/>
  <c r="N378" i="4"/>
  <c r="M378" i="4"/>
  <c r="K378" i="4"/>
  <c r="G378" i="4"/>
  <c r="O377" i="4"/>
  <c r="N377" i="4"/>
  <c r="M377" i="4"/>
  <c r="K377" i="4"/>
  <c r="J377" i="4"/>
  <c r="I377" i="4"/>
  <c r="H377" i="4"/>
  <c r="G377" i="4"/>
  <c r="O376" i="4"/>
  <c r="N376" i="4"/>
  <c r="M376" i="4"/>
  <c r="K376" i="4"/>
  <c r="H376" i="4"/>
  <c r="G376" i="4"/>
  <c r="O375" i="4"/>
  <c r="N375" i="4"/>
  <c r="M375" i="4"/>
  <c r="K375" i="4"/>
  <c r="J375" i="4" s="1"/>
  <c r="I375" i="4"/>
  <c r="H375" i="4"/>
  <c r="G375" i="4"/>
  <c r="O374" i="4"/>
  <c r="N374" i="4"/>
  <c r="M374" i="4"/>
  <c r="K374" i="4"/>
  <c r="G374" i="4"/>
  <c r="O373" i="4"/>
  <c r="N373" i="4"/>
  <c r="M373" i="4"/>
  <c r="K373" i="4"/>
  <c r="J373" i="4"/>
  <c r="I373" i="4"/>
  <c r="H373" i="4"/>
  <c r="G373" i="4"/>
  <c r="O372" i="4"/>
  <c r="N372" i="4"/>
  <c r="M372" i="4"/>
  <c r="K372" i="4"/>
  <c r="G372" i="4"/>
  <c r="O371" i="4"/>
  <c r="N371" i="4"/>
  <c r="M371" i="4"/>
  <c r="K371" i="4"/>
  <c r="G371" i="4"/>
  <c r="O370" i="4"/>
  <c r="N370" i="4"/>
  <c r="M370" i="4"/>
  <c r="K370" i="4"/>
  <c r="J370" i="4"/>
  <c r="I370" i="4"/>
  <c r="H370" i="4"/>
  <c r="G370" i="4"/>
  <c r="O369" i="4"/>
  <c r="N369" i="4"/>
  <c r="M369" i="4"/>
  <c r="K369" i="4"/>
  <c r="H369" i="4"/>
  <c r="G369" i="4"/>
  <c r="O368" i="4"/>
  <c r="N368" i="4"/>
  <c r="M368" i="4"/>
  <c r="K368" i="4"/>
  <c r="J368" i="4"/>
  <c r="I368" i="4"/>
  <c r="H368" i="4"/>
  <c r="G368" i="4"/>
  <c r="O367" i="4"/>
  <c r="N367" i="4"/>
  <c r="M367" i="4"/>
  <c r="K367" i="4"/>
  <c r="G367" i="4"/>
  <c r="O366" i="4"/>
  <c r="N366" i="4"/>
  <c r="M366" i="4"/>
  <c r="K366" i="4"/>
  <c r="J366" i="4" s="1"/>
  <c r="I366" i="4"/>
  <c r="H366" i="4"/>
  <c r="G366" i="4"/>
  <c r="O365" i="4"/>
  <c r="N365" i="4"/>
  <c r="M365" i="4"/>
  <c r="K365" i="4"/>
  <c r="G365" i="4"/>
  <c r="O364" i="4"/>
  <c r="N364" i="4"/>
  <c r="M364" i="4"/>
  <c r="K364" i="4"/>
  <c r="G364" i="4"/>
  <c r="O363" i="4"/>
  <c r="N363" i="4"/>
  <c r="M363" i="4"/>
  <c r="K363" i="4"/>
  <c r="G363" i="4"/>
  <c r="O362" i="4"/>
  <c r="N362" i="4"/>
  <c r="M362" i="4"/>
  <c r="K362" i="4"/>
  <c r="J362" i="4"/>
  <c r="I362" i="4"/>
  <c r="H362" i="4"/>
  <c r="G362" i="4"/>
  <c r="O361" i="4"/>
  <c r="N361" i="4"/>
  <c r="M361" i="4"/>
  <c r="K361" i="4"/>
  <c r="J361" i="4"/>
  <c r="I361" i="4"/>
  <c r="H361" i="4"/>
  <c r="G361" i="4"/>
  <c r="O360" i="4"/>
  <c r="N360" i="4"/>
  <c r="M360" i="4"/>
  <c r="K360" i="4"/>
  <c r="H360" i="4"/>
  <c r="G360" i="4"/>
  <c r="O359" i="4"/>
  <c r="N359" i="4"/>
  <c r="M359" i="4"/>
  <c r="K359" i="4"/>
  <c r="J359" i="4"/>
  <c r="I359" i="4"/>
  <c r="H359" i="4"/>
  <c r="G359" i="4"/>
  <c r="O358" i="4"/>
  <c r="N358" i="4"/>
  <c r="M358" i="4"/>
  <c r="K358" i="4"/>
  <c r="J358" i="4" s="1"/>
  <c r="I358" i="4"/>
  <c r="H358" i="4"/>
  <c r="G358" i="4"/>
  <c r="O357" i="4"/>
  <c r="N357" i="4"/>
  <c r="M357" i="4"/>
  <c r="K357" i="4"/>
  <c r="G357" i="4"/>
  <c r="O356" i="4"/>
  <c r="N356" i="4"/>
  <c r="M356" i="4"/>
  <c r="K356" i="4"/>
  <c r="H356" i="4"/>
  <c r="G356" i="4"/>
  <c r="O355" i="4"/>
  <c r="N355" i="4"/>
  <c r="M355" i="4"/>
  <c r="K355" i="4"/>
  <c r="G355" i="4"/>
  <c r="O354" i="4"/>
  <c r="N354" i="4"/>
  <c r="M354" i="4"/>
  <c r="K354" i="4"/>
  <c r="G354" i="4"/>
  <c r="O353" i="4"/>
  <c r="N353" i="4"/>
  <c r="M353" i="4"/>
  <c r="K353" i="4"/>
  <c r="H353" i="4"/>
  <c r="G353" i="4"/>
  <c r="O352" i="4"/>
  <c r="N352" i="4"/>
  <c r="M352" i="4"/>
  <c r="K352" i="4"/>
  <c r="J352" i="4"/>
  <c r="I352" i="4"/>
  <c r="H352" i="4"/>
  <c r="G352" i="4"/>
  <c r="O351" i="4"/>
  <c r="N351" i="4"/>
  <c r="M351" i="4"/>
  <c r="K351" i="4"/>
  <c r="H351" i="4"/>
  <c r="G351" i="4"/>
  <c r="O350" i="4"/>
  <c r="N350" i="4"/>
  <c r="M350" i="4"/>
  <c r="K350" i="4"/>
  <c r="G350" i="4"/>
  <c r="O349" i="4"/>
  <c r="N349" i="4"/>
  <c r="M349" i="4"/>
  <c r="K349" i="4"/>
  <c r="J349" i="4" s="1"/>
  <c r="I349" i="4"/>
  <c r="H349" i="4"/>
  <c r="G349" i="4"/>
  <c r="O348" i="4"/>
  <c r="N348" i="4"/>
  <c r="M348" i="4"/>
  <c r="K348" i="4"/>
  <c r="J348" i="4"/>
  <c r="I348" i="4"/>
  <c r="H348" i="4"/>
  <c r="G348" i="4"/>
  <c r="O347" i="4"/>
  <c r="N347" i="4"/>
  <c r="M347" i="4"/>
  <c r="K347" i="4"/>
  <c r="G347" i="4"/>
  <c r="O346" i="4"/>
  <c r="N346" i="4"/>
  <c r="M346" i="4"/>
  <c r="K346" i="4"/>
  <c r="H346" i="4"/>
  <c r="G346" i="4"/>
  <c r="O345" i="4"/>
  <c r="N345" i="4"/>
  <c r="M345" i="4"/>
  <c r="K345" i="4"/>
  <c r="J345" i="4" s="1"/>
  <c r="I345" i="4"/>
  <c r="H345" i="4"/>
  <c r="G345" i="4"/>
  <c r="O344" i="4"/>
  <c r="N344" i="4"/>
  <c r="M344" i="4"/>
  <c r="K344" i="4"/>
  <c r="J344" i="4"/>
  <c r="I344" i="4"/>
  <c r="H344" i="4"/>
  <c r="G344" i="4"/>
  <c r="O343" i="4"/>
  <c r="N343" i="4"/>
  <c r="M343" i="4"/>
  <c r="K343" i="4"/>
  <c r="J343" i="4"/>
  <c r="I343" i="4"/>
  <c r="H343" i="4"/>
  <c r="G343" i="4"/>
  <c r="O342" i="4"/>
  <c r="N342" i="4"/>
  <c r="M342" i="4"/>
  <c r="K342" i="4"/>
  <c r="J342" i="4"/>
  <c r="I342" i="4"/>
  <c r="H342" i="4"/>
  <c r="G342" i="4"/>
  <c r="O341" i="4"/>
  <c r="N341" i="4"/>
  <c r="M341" i="4"/>
  <c r="K341" i="4"/>
  <c r="H341" i="4"/>
  <c r="G341" i="4"/>
  <c r="O340" i="4"/>
  <c r="N340" i="4"/>
  <c r="M340" i="4"/>
  <c r="K340" i="4"/>
  <c r="J340" i="4"/>
  <c r="I340" i="4"/>
  <c r="H340" i="4"/>
  <c r="G340" i="4"/>
  <c r="O339" i="4"/>
  <c r="N339" i="4"/>
  <c r="M339" i="4"/>
  <c r="K339" i="4"/>
  <c r="J339" i="4" s="1"/>
  <c r="I339" i="4"/>
  <c r="H339" i="4"/>
  <c r="G339" i="4"/>
  <c r="O338" i="4"/>
  <c r="N338" i="4"/>
  <c r="M338" i="4"/>
  <c r="K338" i="4"/>
  <c r="J338" i="4" s="1"/>
  <c r="I338" i="4"/>
  <c r="H338" i="4"/>
  <c r="G338" i="4"/>
  <c r="O337" i="4"/>
  <c r="N337" i="4"/>
  <c r="M337" i="4"/>
  <c r="K337" i="4"/>
  <c r="H337" i="4"/>
  <c r="G337" i="4"/>
  <c r="O336" i="4"/>
  <c r="N336" i="4"/>
  <c r="M336" i="4"/>
  <c r="K336" i="4"/>
  <c r="J336" i="4"/>
  <c r="I336" i="4"/>
  <c r="H336" i="4"/>
  <c r="G336" i="4"/>
  <c r="O335" i="4"/>
  <c r="N335" i="4"/>
  <c r="M335" i="4"/>
  <c r="K335" i="4"/>
  <c r="J335" i="4"/>
  <c r="I335" i="4"/>
  <c r="H335" i="4"/>
  <c r="G335" i="4"/>
  <c r="O334" i="4"/>
  <c r="N334" i="4"/>
  <c r="M334" i="4"/>
  <c r="K334" i="4"/>
  <c r="J334" i="4"/>
  <c r="I334" i="4"/>
  <c r="H334" i="4"/>
  <c r="G334" i="4"/>
  <c r="O333" i="4"/>
  <c r="N333" i="4"/>
  <c r="M333" i="4"/>
  <c r="K333" i="4"/>
  <c r="G333" i="4"/>
  <c r="O332" i="4"/>
  <c r="N332" i="4"/>
  <c r="M332" i="4"/>
  <c r="K332" i="4"/>
  <c r="J332" i="4" s="1"/>
  <c r="I332" i="4"/>
  <c r="H332" i="4"/>
  <c r="G332" i="4"/>
  <c r="O331" i="4"/>
  <c r="N331" i="4"/>
  <c r="M331" i="4"/>
  <c r="K331" i="4"/>
  <c r="G331" i="4"/>
  <c r="O330" i="4"/>
  <c r="N330" i="4"/>
  <c r="M330" i="4"/>
  <c r="K330" i="4"/>
  <c r="J330" i="4" s="1"/>
  <c r="I330" i="4"/>
  <c r="H330" i="4"/>
  <c r="G330" i="4"/>
  <c r="O329" i="4"/>
  <c r="N329" i="4"/>
  <c r="M329" i="4"/>
  <c r="K329" i="4"/>
  <c r="H329" i="4"/>
  <c r="G329" i="4"/>
  <c r="O328" i="4"/>
  <c r="N328" i="4"/>
  <c r="M328" i="4"/>
  <c r="K328" i="4"/>
  <c r="H328" i="4"/>
  <c r="G328" i="4"/>
  <c r="O327" i="4"/>
  <c r="N327" i="4"/>
  <c r="M327" i="4"/>
  <c r="K327" i="4"/>
  <c r="J327" i="4" s="1"/>
  <c r="I327" i="4"/>
  <c r="H327" i="4"/>
  <c r="G327" i="4"/>
  <c r="O326" i="4"/>
  <c r="N326" i="4"/>
  <c r="M326" i="4"/>
  <c r="K326" i="4"/>
  <c r="G326" i="4"/>
  <c r="O325" i="4"/>
  <c r="N325" i="4"/>
  <c r="M325" i="4"/>
  <c r="K325" i="4"/>
  <c r="J325" i="4"/>
  <c r="I325" i="4"/>
  <c r="H325" i="4"/>
  <c r="G325" i="4"/>
  <c r="O324" i="4"/>
  <c r="N324" i="4"/>
  <c r="M324" i="4"/>
  <c r="K324" i="4"/>
  <c r="J324" i="4"/>
  <c r="I324" i="4"/>
  <c r="H324" i="4"/>
  <c r="G324" i="4"/>
  <c r="O323" i="4"/>
  <c r="N323" i="4"/>
  <c r="M323" i="4"/>
  <c r="K323" i="4"/>
  <c r="J323" i="4"/>
  <c r="I323" i="4"/>
  <c r="H323" i="4"/>
  <c r="G323" i="4"/>
  <c r="O322" i="4"/>
  <c r="N322" i="4"/>
  <c r="M322" i="4"/>
  <c r="K322" i="4"/>
  <c r="J322" i="4"/>
  <c r="I322" i="4"/>
  <c r="H322" i="4"/>
  <c r="G322" i="4"/>
  <c r="O321" i="4"/>
  <c r="N321" i="4"/>
  <c r="M321" i="4"/>
  <c r="K321" i="4"/>
  <c r="J321" i="4"/>
  <c r="I321" i="4"/>
  <c r="H321" i="4"/>
  <c r="G321" i="4"/>
  <c r="O320" i="4"/>
  <c r="N320" i="4"/>
  <c r="M320" i="4"/>
  <c r="K320" i="4"/>
  <c r="J320" i="4"/>
  <c r="I320" i="4"/>
  <c r="H320" i="4"/>
  <c r="G320" i="4"/>
  <c r="O319" i="4"/>
  <c r="N319" i="4"/>
  <c r="M319" i="4"/>
  <c r="K319" i="4"/>
  <c r="J319" i="4"/>
  <c r="I319" i="4"/>
  <c r="H319" i="4"/>
  <c r="G319" i="4"/>
  <c r="O318" i="4"/>
  <c r="N318" i="4"/>
  <c r="M318" i="4"/>
  <c r="K318" i="4"/>
  <c r="J318" i="4"/>
  <c r="I318" i="4"/>
  <c r="H318" i="4"/>
  <c r="G318" i="4"/>
  <c r="O317" i="4"/>
  <c r="N317" i="4"/>
  <c r="M317" i="4"/>
  <c r="K317" i="4"/>
  <c r="J317" i="4"/>
  <c r="I317" i="4"/>
  <c r="H317" i="4"/>
  <c r="G317" i="4"/>
  <c r="O316" i="4"/>
  <c r="N316" i="4"/>
  <c r="M316" i="4"/>
  <c r="K316" i="4"/>
  <c r="J316" i="4"/>
  <c r="I316" i="4"/>
  <c r="H316" i="4"/>
  <c r="G316" i="4"/>
  <c r="O315" i="4"/>
  <c r="N315" i="4"/>
  <c r="M315" i="4"/>
  <c r="K315" i="4"/>
  <c r="J315" i="4"/>
  <c r="I315" i="4"/>
  <c r="H315" i="4"/>
  <c r="G315" i="4"/>
  <c r="O314" i="4"/>
  <c r="N314" i="4"/>
  <c r="M314" i="4"/>
  <c r="K314" i="4"/>
  <c r="J314" i="4"/>
  <c r="I314" i="4"/>
  <c r="H314" i="4"/>
  <c r="G314" i="4"/>
  <c r="O313" i="4"/>
  <c r="N313" i="4"/>
  <c r="M313" i="4"/>
  <c r="K313" i="4"/>
  <c r="J313" i="4"/>
  <c r="I313" i="4"/>
  <c r="H313" i="4"/>
  <c r="G313" i="4"/>
  <c r="O312" i="4"/>
  <c r="N312" i="4"/>
  <c r="M312" i="4"/>
  <c r="K312" i="4"/>
  <c r="J312" i="4"/>
  <c r="I312" i="4"/>
  <c r="H312" i="4"/>
  <c r="G312" i="4"/>
  <c r="O311" i="4"/>
  <c r="N311" i="4"/>
  <c r="M311" i="4"/>
  <c r="K311" i="4"/>
  <c r="J311" i="4"/>
  <c r="I311" i="4"/>
  <c r="H311" i="4"/>
  <c r="G311" i="4"/>
  <c r="O310" i="4"/>
  <c r="N310" i="4"/>
  <c r="M310" i="4"/>
  <c r="K310" i="4"/>
  <c r="J310" i="4"/>
  <c r="I310" i="4"/>
  <c r="H310" i="4"/>
  <c r="G310" i="4"/>
  <c r="O309" i="4"/>
  <c r="N309" i="4"/>
  <c r="M309" i="4"/>
  <c r="K309" i="4"/>
  <c r="J309" i="4"/>
  <c r="I309" i="4"/>
  <c r="H309" i="4"/>
  <c r="G309" i="4"/>
  <c r="O308" i="4"/>
  <c r="N308" i="4"/>
  <c r="M308" i="4"/>
  <c r="K308" i="4"/>
  <c r="J308" i="4"/>
  <c r="I308" i="4"/>
  <c r="H308" i="4"/>
  <c r="G308" i="4"/>
  <c r="O307" i="4"/>
  <c r="N307" i="4"/>
  <c r="M307" i="4"/>
  <c r="K307" i="4"/>
  <c r="J307" i="4"/>
  <c r="I307" i="4"/>
  <c r="H307" i="4"/>
  <c r="G307" i="4"/>
  <c r="O306" i="4"/>
  <c r="N306" i="4"/>
  <c r="M306" i="4"/>
  <c r="K306" i="4"/>
  <c r="J306" i="4"/>
  <c r="I306" i="4"/>
  <c r="H306" i="4"/>
  <c r="G306" i="4"/>
  <c r="O305" i="4"/>
  <c r="N305" i="4"/>
  <c r="M305" i="4"/>
  <c r="K305" i="4"/>
  <c r="J305" i="4"/>
  <c r="I305" i="4"/>
  <c r="H305" i="4"/>
  <c r="G305" i="4"/>
  <c r="O304" i="4"/>
  <c r="N304" i="4"/>
  <c r="M304" i="4"/>
  <c r="K304" i="4"/>
  <c r="J304" i="4"/>
  <c r="I304" i="4"/>
  <c r="H304" i="4"/>
  <c r="G304" i="4"/>
  <c r="O303" i="4"/>
  <c r="N303" i="4"/>
  <c r="M303" i="4"/>
  <c r="K303" i="4"/>
  <c r="J303" i="4"/>
  <c r="I303" i="4"/>
  <c r="H303" i="4"/>
  <c r="G303" i="4"/>
  <c r="O302" i="4"/>
  <c r="N302" i="4"/>
  <c r="M302" i="4"/>
  <c r="K302" i="4"/>
  <c r="J302" i="4"/>
  <c r="I302" i="4"/>
  <c r="H302" i="4"/>
  <c r="G302" i="4"/>
  <c r="O301" i="4"/>
  <c r="N301" i="4"/>
  <c r="M301" i="4"/>
  <c r="K301" i="4"/>
  <c r="J301" i="4"/>
  <c r="I301" i="4"/>
  <c r="H301" i="4"/>
  <c r="G301" i="4"/>
  <c r="O300" i="4"/>
  <c r="N300" i="4"/>
  <c r="M300" i="4"/>
  <c r="K300" i="4"/>
  <c r="J300" i="4"/>
  <c r="I300" i="4"/>
  <c r="H300" i="4"/>
  <c r="G300" i="4"/>
  <c r="O299" i="4"/>
  <c r="N299" i="4"/>
  <c r="M299" i="4"/>
  <c r="K299" i="4"/>
  <c r="J299" i="4"/>
  <c r="I299" i="4"/>
  <c r="H299" i="4"/>
  <c r="G299" i="4"/>
  <c r="O298" i="4"/>
  <c r="N298" i="4"/>
  <c r="M298" i="4"/>
  <c r="K298" i="4"/>
  <c r="J298" i="4"/>
  <c r="I298" i="4"/>
  <c r="H298" i="4"/>
  <c r="G298" i="4"/>
  <c r="O297" i="4"/>
  <c r="N297" i="4"/>
  <c r="M297" i="4"/>
  <c r="K297" i="4"/>
  <c r="J297" i="4"/>
  <c r="I297" i="4"/>
  <c r="H297" i="4"/>
  <c r="G297" i="4"/>
  <c r="O296" i="4"/>
  <c r="N296" i="4"/>
  <c r="M296" i="4"/>
  <c r="K296" i="4"/>
  <c r="J296" i="4"/>
  <c r="I296" i="4"/>
  <c r="H296" i="4"/>
  <c r="G296" i="4"/>
  <c r="O295" i="4"/>
  <c r="N295" i="4"/>
  <c r="M295" i="4"/>
  <c r="K295" i="4"/>
  <c r="J295" i="4"/>
  <c r="I295" i="4"/>
  <c r="H295" i="4"/>
  <c r="G295" i="4"/>
  <c r="O294" i="4"/>
  <c r="N294" i="4"/>
  <c r="M294" i="4"/>
  <c r="K294" i="4"/>
  <c r="J294" i="4"/>
  <c r="I294" i="4"/>
  <c r="H294" i="4"/>
  <c r="G294" i="4"/>
  <c r="O293" i="4"/>
  <c r="N293" i="4"/>
  <c r="M293" i="4"/>
  <c r="K293" i="4"/>
  <c r="J293" i="4"/>
  <c r="I293" i="4"/>
  <c r="H293" i="4"/>
  <c r="G293" i="4"/>
  <c r="O292" i="4"/>
  <c r="N292" i="4"/>
  <c r="M292" i="4"/>
  <c r="K292" i="4"/>
  <c r="G292" i="4"/>
  <c r="O291" i="4"/>
  <c r="N291" i="4"/>
  <c r="M291" i="4"/>
  <c r="K291" i="4"/>
  <c r="G291" i="4"/>
  <c r="O290" i="4"/>
  <c r="N290" i="4"/>
  <c r="M290" i="4"/>
  <c r="K290" i="4"/>
  <c r="H290" i="4"/>
  <c r="G290" i="4"/>
  <c r="O289" i="4"/>
  <c r="N289" i="4"/>
  <c r="M289" i="4"/>
  <c r="K289" i="4"/>
  <c r="G289" i="4"/>
  <c r="O288" i="4"/>
  <c r="N288" i="4"/>
  <c r="M288" i="4"/>
  <c r="K288" i="4"/>
  <c r="G288" i="4"/>
  <c r="O287" i="4"/>
  <c r="N287" i="4"/>
  <c r="M287" i="4"/>
  <c r="K287" i="4"/>
  <c r="H287" i="4"/>
  <c r="G287" i="4"/>
  <c r="O286" i="4"/>
  <c r="N286" i="4"/>
  <c r="M286" i="4"/>
  <c r="K286" i="4"/>
  <c r="G286" i="4"/>
  <c r="O285" i="4"/>
  <c r="N285" i="4"/>
  <c r="M285" i="4"/>
  <c r="K285" i="4"/>
  <c r="G285" i="4"/>
  <c r="O284" i="4"/>
  <c r="N284" i="4"/>
  <c r="M284" i="4"/>
  <c r="K284" i="4"/>
  <c r="H284" i="4"/>
  <c r="G284" i="4"/>
  <c r="O283" i="4"/>
  <c r="N283" i="4"/>
  <c r="M283" i="4"/>
  <c r="K283" i="4"/>
  <c r="G283" i="4"/>
  <c r="O282" i="4"/>
  <c r="N282" i="4"/>
  <c r="M282" i="4"/>
  <c r="K282" i="4"/>
  <c r="G282" i="4"/>
  <c r="O281" i="4"/>
  <c r="N281" i="4"/>
  <c r="M281" i="4"/>
  <c r="K281" i="4"/>
  <c r="G281" i="4"/>
  <c r="O280" i="4"/>
  <c r="N280" i="4"/>
  <c r="M280" i="4"/>
  <c r="K280" i="4"/>
  <c r="G280" i="4"/>
  <c r="O279" i="4"/>
  <c r="N279" i="4"/>
  <c r="M279" i="4"/>
  <c r="K279" i="4"/>
  <c r="G279" i="4"/>
  <c r="O278" i="4"/>
  <c r="N278" i="4"/>
  <c r="M278" i="4"/>
  <c r="K278" i="4"/>
  <c r="G278" i="4"/>
  <c r="O277" i="4"/>
  <c r="N277" i="4"/>
  <c r="M277" i="4"/>
  <c r="K277" i="4"/>
  <c r="G277" i="4"/>
  <c r="O276" i="4"/>
  <c r="N276" i="4"/>
  <c r="M276" i="4"/>
  <c r="K276" i="4"/>
  <c r="G276" i="4"/>
  <c r="O275" i="4"/>
  <c r="N275" i="4"/>
  <c r="M275" i="4"/>
  <c r="K275" i="4"/>
  <c r="G275" i="4"/>
  <c r="O274" i="4"/>
  <c r="N274" i="4"/>
  <c r="M274" i="4"/>
  <c r="K274" i="4"/>
  <c r="G274" i="4"/>
  <c r="O273" i="4"/>
  <c r="N273" i="4"/>
  <c r="M273" i="4"/>
  <c r="K273" i="4"/>
  <c r="G273" i="4"/>
  <c r="O272" i="4"/>
  <c r="N272" i="4"/>
  <c r="M272" i="4"/>
  <c r="K272" i="4"/>
  <c r="G272" i="4"/>
  <c r="O271" i="4"/>
  <c r="N271" i="4"/>
  <c r="M271" i="4"/>
  <c r="K271" i="4"/>
  <c r="G271" i="4"/>
  <c r="O270" i="4"/>
  <c r="N270" i="4"/>
  <c r="M270" i="4"/>
  <c r="K270" i="4"/>
  <c r="G270" i="4"/>
  <c r="O269" i="4"/>
  <c r="N269" i="4"/>
  <c r="M269" i="4"/>
  <c r="K269" i="4"/>
  <c r="G269" i="4"/>
  <c r="O268" i="4"/>
  <c r="N268" i="4"/>
  <c r="M268" i="4"/>
  <c r="K268" i="4"/>
  <c r="H268" i="4"/>
  <c r="G268" i="4"/>
  <c r="O267" i="4"/>
  <c r="N267" i="4"/>
  <c r="M267" i="4"/>
  <c r="K267" i="4"/>
  <c r="G267" i="4"/>
  <c r="O266" i="4"/>
  <c r="N266" i="4"/>
  <c r="M266" i="4"/>
  <c r="K266" i="4"/>
  <c r="G266" i="4"/>
  <c r="O265" i="4"/>
  <c r="N265" i="4"/>
  <c r="M265" i="4"/>
  <c r="K265" i="4"/>
  <c r="G265" i="4"/>
  <c r="O264" i="4"/>
  <c r="N264" i="4"/>
  <c r="M264" i="4"/>
  <c r="K264" i="4"/>
  <c r="G264" i="4"/>
  <c r="O263" i="4"/>
  <c r="N263" i="4"/>
  <c r="M263" i="4"/>
  <c r="K263" i="4"/>
  <c r="G263" i="4"/>
  <c r="O262" i="4"/>
  <c r="N262" i="4"/>
  <c r="M262" i="4"/>
  <c r="K262" i="4"/>
  <c r="G262" i="4"/>
  <c r="O261" i="4"/>
  <c r="N261" i="4"/>
  <c r="M261" i="4"/>
  <c r="K261" i="4"/>
  <c r="G261" i="4"/>
  <c r="O260" i="4"/>
  <c r="N260" i="4"/>
  <c r="M260" i="4"/>
  <c r="K260" i="4"/>
  <c r="G260" i="4"/>
  <c r="O259" i="4"/>
  <c r="N259" i="4"/>
  <c r="M259" i="4"/>
  <c r="K259" i="4"/>
  <c r="G259" i="4"/>
  <c r="O258" i="4"/>
  <c r="N258" i="4"/>
  <c r="M258" i="4"/>
  <c r="K258" i="4"/>
  <c r="G258" i="4"/>
  <c r="O257" i="4"/>
  <c r="N257" i="4"/>
  <c r="M257" i="4"/>
  <c r="K257" i="4"/>
  <c r="G257" i="4"/>
  <c r="O256" i="4"/>
  <c r="N256" i="4"/>
  <c r="M256" i="4"/>
  <c r="K256" i="4"/>
  <c r="G256" i="4"/>
  <c r="O255" i="4"/>
  <c r="N255" i="4"/>
  <c r="M255" i="4"/>
  <c r="K255" i="4"/>
  <c r="G255" i="4"/>
  <c r="O254" i="4"/>
  <c r="N254" i="4"/>
  <c r="M254" i="4"/>
  <c r="K254" i="4"/>
  <c r="G254" i="4"/>
  <c r="O253" i="4"/>
  <c r="N253" i="4"/>
  <c r="M253" i="4"/>
  <c r="K253" i="4"/>
  <c r="G253" i="4"/>
  <c r="O252" i="4"/>
  <c r="N252" i="4"/>
  <c r="M252" i="4"/>
  <c r="K252" i="4"/>
  <c r="G252" i="4"/>
  <c r="O251" i="4"/>
  <c r="N251" i="4"/>
  <c r="M251" i="4"/>
  <c r="K251" i="4"/>
  <c r="H251" i="4"/>
  <c r="G251" i="4"/>
  <c r="O250" i="4"/>
  <c r="N250" i="4"/>
  <c r="M250" i="4"/>
  <c r="K250" i="4"/>
  <c r="G250" i="4"/>
  <c r="O249" i="4"/>
  <c r="N249" i="4"/>
  <c r="M249" i="4"/>
  <c r="K249" i="4"/>
  <c r="G249" i="4"/>
  <c r="O248" i="4"/>
  <c r="N248" i="4"/>
  <c r="M248" i="4"/>
  <c r="K248" i="4"/>
  <c r="G248" i="4"/>
  <c r="O247" i="4"/>
  <c r="N247" i="4"/>
  <c r="M247" i="4"/>
  <c r="K247" i="4"/>
  <c r="J247" i="4"/>
  <c r="I247" i="4"/>
  <c r="H247" i="4"/>
  <c r="G247" i="4"/>
  <c r="O246" i="4"/>
  <c r="N246" i="4"/>
  <c r="M246" i="4"/>
  <c r="K246" i="4"/>
  <c r="G246" i="4"/>
  <c r="O245" i="4"/>
  <c r="N245" i="4"/>
  <c r="M245" i="4"/>
  <c r="K245" i="4"/>
  <c r="G245" i="4"/>
  <c r="O244" i="4"/>
  <c r="N244" i="4"/>
  <c r="M244" i="4"/>
  <c r="K244" i="4"/>
  <c r="G244" i="4"/>
  <c r="O243" i="4"/>
  <c r="N243" i="4"/>
  <c r="M243" i="4"/>
  <c r="K243" i="4"/>
  <c r="G243" i="4"/>
  <c r="O242" i="4"/>
  <c r="N242" i="4"/>
  <c r="M242" i="4"/>
  <c r="K242" i="4"/>
  <c r="G242" i="4"/>
  <c r="O241" i="4"/>
  <c r="N241" i="4"/>
  <c r="M241" i="4"/>
  <c r="K241" i="4"/>
  <c r="G241" i="4"/>
  <c r="O240" i="4"/>
  <c r="N240" i="4"/>
  <c r="M240" i="4"/>
  <c r="K240" i="4"/>
  <c r="G240" i="4"/>
  <c r="O239" i="4"/>
  <c r="N239" i="4"/>
  <c r="M239" i="4"/>
  <c r="K239" i="4"/>
  <c r="G239" i="4"/>
  <c r="O238" i="4"/>
  <c r="N238" i="4"/>
  <c r="M238" i="4"/>
  <c r="K238" i="4"/>
  <c r="G238" i="4"/>
  <c r="O237" i="4"/>
  <c r="N237" i="4"/>
  <c r="M237" i="4"/>
  <c r="K237" i="4"/>
  <c r="G237" i="4"/>
  <c r="O236" i="4"/>
  <c r="N236" i="4"/>
  <c r="M236" i="4"/>
  <c r="K236" i="4"/>
  <c r="G236" i="4"/>
  <c r="O235" i="4"/>
  <c r="N235" i="4"/>
  <c r="M235" i="4"/>
  <c r="K235" i="4"/>
  <c r="G235" i="4"/>
  <c r="O234" i="4"/>
  <c r="N234" i="4"/>
  <c r="M234" i="4"/>
  <c r="K234" i="4"/>
  <c r="G234" i="4"/>
  <c r="O233" i="4"/>
  <c r="N233" i="4"/>
  <c r="M233" i="4"/>
  <c r="K233" i="4"/>
  <c r="G233" i="4"/>
  <c r="O232" i="4"/>
  <c r="N232" i="4"/>
  <c r="M232" i="4"/>
  <c r="K232" i="4"/>
  <c r="G232" i="4"/>
  <c r="O231" i="4"/>
  <c r="N231" i="4"/>
  <c r="M231" i="4"/>
  <c r="K231" i="4"/>
  <c r="G231" i="4"/>
  <c r="O230" i="4"/>
  <c r="N230" i="4"/>
  <c r="M230" i="4"/>
  <c r="K230" i="4"/>
  <c r="G230" i="4"/>
  <c r="O229" i="4"/>
  <c r="N229" i="4"/>
  <c r="M229" i="4"/>
  <c r="K229" i="4"/>
  <c r="G229" i="4"/>
  <c r="O228" i="4"/>
  <c r="N228" i="4"/>
  <c r="M228" i="4"/>
  <c r="K228" i="4"/>
  <c r="G228" i="4"/>
  <c r="O227" i="4"/>
  <c r="N227" i="4"/>
  <c r="M227" i="4"/>
  <c r="K227" i="4"/>
  <c r="G227" i="4"/>
  <c r="O226" i="4"/>
  <c r="N226" i="4"/>
  <c r="M226" i="4"/>
  <c r="K226" i="4"/>
  <c r="G226" i="4"/>
  <c r="O225" i="4"/>
  <c r="N225" i="4"/>
  <c r="M225" i="4"/>
  <c r="K225" i="4"/>
  <c r="G225" i="4"/>
  <c r="O224" i="4"/>
  <c r="N224" i="4"/>
  <c r="M224" i="4"/>
  <c r="K224" i="4"/>
  <c r="H224" i="4"/>
  <c r="G224" i="4"/>
  <c r="O223" i="4"/>
  <c r="N223" i="4"/>
  <c r="M223" i="4"/>
  <c r="K223" i="4"/>
  <c r="G223" i="4"/>
  <c r="O222" i="4"/>
  <c r="N222" i="4"/>
  <c r="M222" i="4"/>
  <c r="K222" i="4"/>
  <c r="G222" i="4"/>
  <c r="O221" i="4"/>
  <c r="N221" i="4"/>
  <c r="M221" i="4"/>
  <c r="K221" i="4"/>
  <c r="G221" i="4"/>
  <c r="O220" i="4"/>
  <c r="N220" i="4"/>
  <c r="M220" i="4"/>
  <c r="K220" i="4"/>
  <c r="G220" i="4"/>
  <c r="O219" i="4"/>
  <c r="N219" i="4"/>
  <c r="M219" i="4"/>
  <c r="K219" i="4"/>
  <c r="G219" i="4"/>
  <c r="O218" i="4"/>
  <c r="N218" i="4"/>
  <c r="M218" i="4"/>
  <c r="K218" i="4"/>
  <c r="G218" i="4"/>
  <c r="O217" i="4"/>
  <c r="N217" i="4"/>
  <c r="M217" i="4"/>
  <c r="K217" i="4"/>
  <c r="G217" i="4"/>
  <c r="O216" i="4"/>
  <c r="N216" i="4"/>
  <c r="M216" i="4"/>
  <c r="K216" i="4"/>
  <c r="G216" i="4"/>
  <c r="O215" i="4"/>
  <c r="N215" i="4"/>
  <c r="M215" i="4"/>
  <c r="K215" i="4"/>
  <c r="G215" i="4"/>
  <c r="O214" i="4"/>
  <c r="N214" i="4"/>
  <c r="M214" i="4"/>
  <c r="K214" i="4"/>
  <c r="G214" i="4"/>
  <c r="O213" i="4"/>
  <c r="N213" i="4"/>
  <c r="M213" i="4"/>
  <c r="K213" i="4"/>
  <c r="G213" i="4"/>
  <c r="O212" i="4"/>
  <c r="N212" i="4"/>
  <c r="M212" i="4"/>
  <c r="K212" i="4"/>
  <c r="G212" i="4"/>
  <c r="O211" i="4"/>
  <c r="N211" i="4"/>
  <c r="M211" i="4"/>
  <c r="K211" i="4"/>
  <c r="G211" i="4"/>
  <c r="O210" i="4"/>
  <c r="N210" i="4"/>
  <c r="M210" i="4"/>
  <c r="K210" i="4"/>
  <c r="G210" i="4"/>
  <c r="O209" i="4"/>
  <c r="N209" i="4"/>
  <c r="M209" i="4"/>
  <c r="K209" i="4"/>
  <c r="G209" i="4"/>
  <c r="O208" i="4"/>
  <c r="N208" i="4"/>
  <c r="M208" i="4"/>
  <c r="K208" i="4"/>
  <c r="G208" i="4"/>
  <c r="O207" i="4"/>
  <c r="N207" i="4"/>
  <c r="M207" i="4"/>
  <c r="K207" i="4"/>
  <c r="G207" i="4"/>
  <c r="O206" i="4"/>
  <c r="N206" i="4"/>
  <c r="M206" i="4"/>
  <c r="K206" i="4"/>
  <c r="G206" i="4"/>
  <c r="O205" i="4"/>
  <c r="N205" i="4"/>
  <c r="M205" i="4"/>
  <c r="K205" i="4"/>
  <c r="G205" i="4"/>
  <c r="O204" i="4"/>
  <c r="N204" i="4"/>
  <c r="M204" i="4"/>
  <c r="K204" i="4"/>
  <c r="G204" i="4"/>
  <c r="O203" i="4"/>
  <c r="N203" i="4"/>
  <c r="M203" i="4"/>
  <c r="K203" i="4"/>
  <c r="G203" i="4"/>
  <c r="O202" i="4"/>
  <c r="N202" i="4"/>
  <c r="M202" i="4"/>
  <c r="K202" i="4"/>
  <c r="G202" i="4"/>
  <c r="O201" i="4"/>
  <c r="N201" i="4"/>
  <c r="M201" i="4"/>
  <c r="K201" i="4"/>
  <c r="G201" i="4"/>
  <c r="O200" i="4"/>
  <c r="N200" i="4"/>
  <c r="M200" i="4"/>
  <c r="K200" i="4"/>
  <c r="G200" i="4"/>
  <c r="O199" i="4"/>
  <c r="N199" i="4"/>
  <c r="M199" i="4"/>
  <c r="K199" i="4"/>
  <c r="G199" i="4"/>
  <c r="O198" i="4"/>
  <c r="N198" i="4"/>
  <c r="M198" i="4"/>
  <c r="K198" i="4"/>
  <c r="H198" i="4"/>
  <c r="G198" i="4"/>
  <c r="O197" i="4"/>
  <c r="N197" i="4"/>
  <c r="M197" i="4"/>
  <c r="K197" i="4"/>
  <c r="G197" i="4"/>
  <c r="O196" i="4"/>
  <c r="N196" i="4"/>
  <c r="M196" i="4"/>
  <c r="K196" i="4"/>
  <c r="G196" i="4"/>
  <c r="O195" i="4"/>
  <c r="N195" i="4"/>
  <c r="M195" i="4"/>
  <c r="K195" i="4"/>
  <c r="G195" i="4"/>
  <c r="O194" i="4"/>
  <c r="N194" i="4"/>
  <c r="M194" i="4"/>
  <c r="K194" i="4"/>
  <c r="G194" i="4"/>
  <c r="O193" i="4"/>
  <c r="N193" i="4"/>
  <c r="M193" i="4"/>
  <c r="K193" i="4"/>
  <c r="G193" i="4"/>
  <c r="O192" i="4"/>
  <c r="N192" i="4"/>
  <c r="M192" i="4"/>
  <c r="K192" i="4"/>
  <c r="G192" i="4"/>
  <c r="O191" i="4"/>
  <c r="N191" i="4"/>
  <c r="M191" i="4"/>
  <c r="K191" i="4"/>
  <c r="G191" i="4"/>
  <c r="O190" i="4"/>
  <c r="N190" i="4"/>
  <c r="M190" i="4"/>
  <c r="K190" i="4"/>
  <c r="G190" i="4"/>
  <c r="O189" i="4"/>
  <c r="N189" i="4"/>
  <c r="M189" i="4"/>
  <c r="K189" i="4"/>
  <c r="G189" i="4"/>
  <c r="O188" i="4"/>
  <c r="N188" i="4"/>
  <c r="M188" i="4"/>
  <c r="K188" i="4"/>
  <c r="G188" i="4"/>
  <c r="O187" i="4"/>
  <c r="N187" i="4"/>
  <c r="M187" i="4"/>
  <c r="K187" i="4"/>
  <c r="G187" i="4"/>
  <c r="O186" i="4"/>
  <c r="N186" i="4"/>
  <c r="M186" i="4"/>
  <c r="K186" i="4"/>
  <c r="G186" i="4"/>
  <c r="O185" i="4"/>
  <c r="N185" i="4"/>
  <c r="M185" i="4"/>
  <c r="K185" i="4"/>
  <c r="G185" i="4"/>
  <c r="O184" i="4"/>
  <c r="N184" i="4"/>
  <c r="M184" i="4"/>
  <c r="K184" i="4"/>
  <c r="G184" i="4"/>
  <c r="O183" i="4"/>
  <c r="N183" i="4"/>
  <c r="M183" i="4"/>
  <c r="K183" i="4"/>
  <c r="G183" i="4"/>
  <c r="O182" i="4"/>
  <c r="N182" i="4"/>
  <c r="M182" i="4"/>
  <c r="K182" i="4"/>
  <c r="G182" i="4"/>
  <c r="O181" i="4"/>
  <c r="N181" i="4"/>
  <c r="M181" i="4"/>
  <c r="K181" i="4"/>
  <c r="G181" i="4"/>
  <c r="O180" i="4"/>
  <c r="N180" i="4"/>
  <c r="M180" i="4"/>
  <c r="K180" i="4"/>
  <c r="G180" i="4"/>
  <c r="O179" i="4"/>
  <c r="N179" i="4"/>
  <c r="M179" i="4"/>
  <c r="K179" i="4"/>
  <c r="G179" i="4"/>
  <c r="O178" i="4"/>
  <c r="N178" i="4"/>
  <c r="M178" i="4"/>
  <c r="K178" i="4"/>
  <c r="G178" i="4"/>
  <c r="O177" i="4"/>
  <c r="N177" i="4"/>
  <c r="M177" i="4"/>
  <c r="K177" i="4"/>
  <c r="G177" i="4"/>
  <c r="O176" i="4"/>
  <c r="N176" i="4"/>
  <c r="M176" i="4"/>
  <c r="K176" i="4"/>
  <c r="G176" i="4"/>
  <c r="O175" i="4"/>
  <c r="N175" i="4"/>
  <c r="M175" i="4"/>
  <c r="K175" i="4"/>
  <c r="G175" i="4"/>
  <c r="O174" i="4"/>
  <c r="N174" i="4"/>
  <c r="M174" i="4"/>
  <c r="K174" i="4"/>
  <c r="G174" i="4"/>
  <c r="O173" i="4"/>
  <c r="N173" i="4"/>
  <c r="M173" i="4"/>
  <c r="K173" i="4"/>
  <c r="G173" i="4"/>
  <c r="O172" i="4"/>
  <c r="N172" i="4"/>
  <c r="M172" i="4"/>
  <c r="K172" i="4"/>
  <c r="G172" i="4"/>
  <c r="O171" i="4"/>
  <c r="N171" i="4"/>
  <c r="M171" i="4"/>
  <c r="K171" i="4"/>
  <c r="G171" i="4"/>
  <c r="O170" i="4"/>
  <c r="N170" i="4"/>
  <c r="M170" i="4"/>
  <c r="K170" i="4"/>
  <c r="G170" i="4"/>
  <c r="O169" i="4"/>
  <c r="N169" i="4"/>
  <c r="M169" i="4"/>
  <c r="K169" i="4"/>
  <c r="J169" i="4"/>
  <c r="I169" i="4"/>
  <c r="H169" i="4"/>
  <c r="G169" i="4"/>
  <c r="O168" i="4"/>
  <c r="N168" i="4"/>
  <c r="M168" i="4"/>
  <c r="K168" i="4"/>
  <c r="J168" i="4"/>
  <c r="I168" i="4"/>
  <c r="H168" i="4"/>
  <c r="G168" i="4"/>
  <c r="O167" i="4"/>
  <c r="N167" i="4"/>
  <c r="M167" i="4"/>
  <c r="K167" i="4"/>
  <c r="J167" i="4"/>
  <c r="I167" i="4"/>
  <c r="H167" i="4"/>
  <c r="G167" i="4"/>
  <c r="O166" i="4"/>
  <c r="N166" i="4"/>
  <c r="M166" i="4"/>
  <c r="K166" i="4"/>
  <c r="J166" i="4"/>
  <c r="I166" i="4"/>
  <c r="H166" i="4"/>
  <c r="G166" i="4"/>
  <c r="O165" i="4"/>
  <c r="N165" i="4"/>
  <c r="M165" i="4"/>
  <c r="K165" i="4"/>
  <c r="J165" i="4"/>
  <c r="I165" i="4"/>
  <c r="H165" i="4"/>
  <c r="G165" i="4"/>
  <c r="O164" i="4"/>
  <c r="N164" i="4"/>
  <c r="M164" i="4"/>
  <c r="K164" i="4"/>
  <c r="J164" i="4"/>
  <c r="I164" i="4"/>
  <c r="H164" i="4"/>
  <c r="G164" i="4"/>
  <c r="O163" i="4"/>
  <c r="N163" i="4"/>
  <c r="M163" i="4"/>
  <c r="K163" i="4"/>
  <c r="J163" i="4"/>
  <c r="I163" i="4"/>
  <c r="H163" i="4"/>
  <c r="G163" i="4"/>
  <c r="O162" i="4"/>
  <c r="N162" i="4"/>
  <c r="M162" i="4"/>
  <c r="K162" i="4"/>
  <c r="J162" i="4"/>
  <c r="I162" i="4"/>
  <c r="H162" i="4"/>
  <c r="G162" i="4"/>
  <c r="O161" i="4"/>
  <c r="N161" i="4"/>
  <c r="M161" i="4"/>
  <c r="K161" i="4"/>
  <c r="J161" i="4"/>
  <c r="I161" i="4"/>
  <c r="H161" i="4"/>
  <c r="G161" i="4"/>
  <c r="O160" i="4"/>
  <c r="N160" i="4"/>
  <c r="M160" i="4"/>
  <c r="K160" i="4"/>
  <c r="J160" i="4"/>
  <c r="I160" i="4"/>
  <c r="H160" i="4"/>
  <c r="G160" i="4"/>
  <c r="O159" i="4"/>
  <c r="N159" i="4"/>
  <c r="M159" i="4"/>
  <c r="K159" i="4"/>
  <c r="J159" i="4"/>
  <c r="I159" i="4"/>
  <c r="H159" i="4"/>
  <c r="G159" i="4"/>
  <c r="O158" i="4"/>
  <c r="N158" i="4"/>
  <c r="M158" i="4"/>
  <c r="K158" i="4"/>
  <c r="J158" i="4"/>
  <c r="I158" i="4"/>
  <c r="H158" i="4"/>
  <c r="G158" i="4"/>
  <c r="O157" i="4"/>
  <c r="N157" i="4"/>
  <c r="M157" i="4"/>
  <c r="K157" i="4"/>
  <c r="J157" i="4"/>
  <c r="I157" i="4"/>
  <c r="H157" i="4"/>
  <c r="G157" i="4"/>
  <c r="O156" i="4"/>
  <c r="N156" i="4"/>
  <c r="M156" i="4"/>
  <c r="K156" i="4"/>
  <c r="J156" i="4"/>
  <c r="I156" i="4"/>
  <c r="H156" i="4"/>
  <c r="G156" i="4"/>
  <c r="O155" i="4"/>
  <c r="N155" i="4"/>
  <c r="M155" i="4"/>
  <c r="K155" i="4"/>
  <c r="J155" i="4"/>
  <c r="I155" i="4"/>
  <c r="H155" i="4"/>
  <c r="G155" i="4"/>
  <c r="O154" i="4"/>
  <c r="N154" i="4"/>
  <c r="M154" i="4"/>
  <c r="K154" i="4"/>
  <c r="J154" i="4"/>
  <c r="I154" i="4"/>
  <c r="H154" i="4"/>
  <c r="G154" i="4"/>
  <c r="O153" i="4"/>
  <c r="N153" i="4"/>
  <c r="M153" i="4"/>
  <c r="K153" i="4"/>
  <c r="J153" i="4"/>
  <c r="I153" i="4"/>
  <c r="H153" i="4"/>
  <c r="G153" i="4"/>
  <c r="O152" i="4"/>
  <c r="N152" i="4"/>
  <c r="M152" i="4"/>
  <c r="K152" i="4"/>
  <c r="J152" i="4"/>
  <c r="I152" i="4"/>
  <c r="H152" i="4"/>
  <c r="G152" i="4"/>
  <c r="O151" i="4"/>
  <c r="N151" i="4"/>
  <c r="M151" i="4"/>
  <c r="K151" i="4"/>
  <c r="J151" i="4"/>
  <c r="I151" i="4"/>
  <c r="H151" i="4"/>
  <c r="G151" i="4"/>
  <c r="O150" i="4"/>
  <c r="N150" i="4"/>
  <c r="M150" i="4"/>
  <c r="K150" i="4"/>
  <c r="J150" i="4"/>
  <c r="I150" i="4"/>
  <c r="H150" i="4"/>
  <c r="G150" i="4"/>
  <c r="O149" i="4"/>
  <c r="N149" i="4"/>
  <c r="M149" i="4"/>
  <c r="K149" i="4"/>
  <c r="J149" i="4"/>
  <c r="I149" i="4"/>
  <c r="H149" i="4"/>
  <c r="G149" i="4"/>
  <c r="O148" i="4"/>
  <c r="N148" i="4"/>
  <c r="M148" i="4"/>
  <c r="K148" i="4"/>
  <c r="J148" i="4"/>
  <c r="I148" i="4"/>
  <c r="H148" i="4"/>
  <c r="G148" i="4"/>
  <c r="O147" i="4"/>
  <c r="N147" i="4"/>
  <c r="M147" i="4"/>
  <c r="K147" i="4"/>
  <c r="J147" i="4"/>
  <c r="I147" i="4"/>
  <c r="H147" i="4"/>
  <c r="G147" i="4"/>
  <c r="O146" i="4"/>
  <c r="N146" i="4"/>
  <c r="M146" i="4"/>
  <c r="K146" i="4"/>
  <c r="J146" i="4"/>
  <c r="I146" i="4"/>
  <c r="H146" i="4"/>
  <c r="G146" i="4"/>
  <c r="O145" i="4"/>
  <c r="N145" i="4"/>
  <c r="M145" i="4"/>
  <c r="K145" i="4"/>
  <c r="J145" i="4"/>
  <c r="I145" i="4"/>
  <c r="H145" i="4"/>
  <c r="G145" i="4"/>
  <c r="O144" i="4"/>
  <c r="N144" i="4"/>
  <c r="M144" i="4"/>
  <c r="K144" i="4"/>
  <c r="J144" i="4"/>
  <c r="I144" i="4"/>
  <c r="H144" i="4"/>
  <c r="G144" i="4"/>
  <c r="O143" i="4"/>
  <c r="N143" i="4"/>
  <c r="M143" i="4"/>
  <c r="K143" i="4"/>
  <c r="J143" i="4"/>
  <c r="I143" i="4"/>
  <c r="H143" i="4"/>
  <c r="G143" i="4"/>
  <c r="O142" i="4"/>
  <c r="N142" i="4"/>
  <c r="M142" i="4"/>
  <c r="K142" i="4"/>
  <c r="J142" i="4"/>
  <c r="I142" i="4"/>
  <c r="H142" i="4"/>
  <c r="G142" i="4"/>
  <c r="O141" i="4"/>
  <c r="N141" i="4"/>
  <c r="M141" i="4"/>
  <c r="K141" i="4"/>
  <c r="J141" i="4"/>
  <c r="I141" i="4"/>
  <c r="H141" i="4"/>
  <c r="G141" i="4"/>
  <c r="O140" i="4"/>
  <c r="N140" i="4"/>
  <c r="M140" i="4"/>
  <c r="K140" i="4"/>
  <c r="J140" i="4"/>
  <c r="I140" i="4"/>
  <c r="H140" i="4"/>
  <c r="G140" i="4"/>
  <c r="O139" i="4"/>
  <c r="N139" i="4"/>
  <c r="M139" i="4"/>
  <c r="K139" i="4"/>
  <c r="J139" i="4"/>
  <c r="I139" i="4"/>
  <c r="H139" i="4"/>
  <c r="G139" i="4"/>
  <c r="O138" i="4"/>
  <c r="N138" i="4"/>
  <c r="M138" i="4"/>
  <c r="K138" i="4"/>
  <c r="J138" i="4"/>
  <c r="I138" i="4"/>
  <c r="H138" i="4"/>
  <c r="G138" i="4"/>
  <c r="O137" i="4"/>
  <c r="N137" i="4"/>
  <c r="M137" i="4"/>
  <c r="K137" i="4"/>
  <c r="J137" i="4"/>
  <c r="I137" i="4"/>
  <c r="H137" i="4"/>
  <c r="G137" i="4"/>
  <c r="O136" i="4"/>
  <c r="N136" i="4"/>
  <c r="M136" i="4"/>
  <c r="K136" i="4"/>
  <c r="J136" i="4"/>
  <c r="I136" i="4"/>
  <c r="H136" i="4"/>
  <c r="G136" i="4"/>
  <c r="O135" i="4"/>
  <c r="N135" i="4"/>
  <c r="M135" i="4"/>
  <c r="K135" i="4"/>
  <c r="J135" i="4"/>
  <c r="I135" i="4"/>
  <c r="H135" i="4"/>
  <c r="G135" i="4"/>
  <c r="O134" i="4"/>
  <c r="N134" i="4"/>
  <c r="M134" i="4"/>
  <c r="K134" i="4"/>
  <c r="J134" i="4"/>
  <c r="I134" i="4"/>
  <c r="H134" i="4"/>
  <c r="G134" i="4"/>
  <c r="O133" i="4"/>
  <c r="N133" i="4"/>
  <c r="M133" i="4"/>
  <c r="K133" i="4"/>
  <c r="J133" i="4"/>
  <c r="I133" i="4"/>
  <c r="H133" i="4"/>
  <c r="G133" i="4"/>
  <c r="O132" i="4"/>
  <c r="N132" i="4"/>
  <c r="M132" i="4"/>
  <c r="K132" i="4"/>
  <c r="J132" i="4"/>
  <c r="I132" i="4"/>
  <c r="H132" i="4"/>
  <c r="G132" i="4"/>
  <c r="O131" i="4"/>
  <c r="N131" i="4"/>
  <c r="M131" i="4"/>
  <c r="K131" i="4"/>
  <c r="J131" i="4"/>
  <c r="I131" i="4"/>
  <c r="H131" i="4"/>
  <c r="G131" i="4"/>
  <c r="O130" i="4"/>
  <c r="N130" i="4"/>
  <c r="M130" i="4"/>
  <c r="K130" i="4"/>
  <c r="J130" i="4"/>
  <c r="I130" i="4"/>
  <c r="H130" i="4"/>
  <c r="G130" i="4"/>
  <c r="O129" i="4"/>
  <c r="N129" i="4"/>
  <c r="M129" i="4"/>
  <c r="K129" i="4"/>
  <c r="J129" i="4"/>
  <c r="I129" i="4"/>
  <c r="H129" i="4"/>
  <c r="G129" i="4"/>
  <c r="O128" i="4"/>
  <c r="N128" i="4"/>
  <c r="M128" i="4"/>
  <c r="K128" i="4"/>
  <c r="J128" i="4"/>
  <c r="I128" i="4"/>
  <c r="H128" i="4"/>
  <c r="G128" i="4"/>
  <c r="O127" i="4"/>
  <c r="N127" i="4"/>
  <c r="M127" i="4"/>
  <c r="K127" i="4"/>
  <c r="J127" i="4"/>
  <c r="I127" i="4"/>
  <c r="H127" i="4"/>
  <c r="G127" i="4"/>
  <c r="O126" i="4"/>
  <c r="N126" i="4"/>
  <c r="M126" i="4"/>
  <c r="K126" i="4"/>
  <c r="J126" i="4"/>
  <c r="I126" i="4"/>
  <c r="H126" i="4"/>
  <c r="G126" i="4"/>
  <c r="O125" i="4"/>
  <c r="N125" i="4"/>
  <c r="M125" i="4"/>
  <c r="K125" i="4"/>
  <c r="J125" i="4"/>
  <c r="I125" i="4"/>
  <c r="H125" i="4"/>
  <c r="G125" i="4"/>
  <c r="O124" i="4"/>
  <c r="N124" i="4"/>
  <c r="M124" i="4"/>
  <c r="K124" i="4"/>
  <c r="J124" i="4"/>
  <c r="I124" i="4"/>
  <c r="H124" i="4"/>
  <c r="G124" i="4"/>
  <c r="O123" i="4"/>
  <c r="N123" i="4"/>
  <c r="M123" i="4"/>
  <c r="K123" i="4"/>
  <c r="J123" i="4"/>
  <c r="I123" i="4"/>
  <c r="H123" i="4"/>
  <c r="G123" i="4"/>
  <c r="O122" i="4"/>
  <c r="N122" i="4"/>
  <c r="M122" i="4"/>
  <c r="K122" i="4"/>
  <c r="J122" i="4"/>
  <c r="I122" i="4"/>
  <c r="H122" i="4"/>
  <c r="G122" i="4"/>
  <c r="O121" i="4"/>
  <c r="N121" i="4"/>
  <c r="M121" i="4"/>
  <c r="K121" i="4"/>
  <c r="J121" i="4"/>
  <c r="I121" i="4"/>
  <c r="H121" i="4"/>
  <c r="G121" i="4"/>
  <c r="O120" i="4"/>
  <c r="N120" i="4"/>
  <c r="M120" i="4"/>
  <c r="K120" i="4"/>
  <c r="J120" i="4"/>
  <c r="I120" i="4"/>
  <c r="H120" i="4"/>
  <c r="G120" i="4"/>
  <c r="O119" i="4"/>
  <c r="N119" i="4"/>
  <c r="M119" i="4"/>
  <c r="K119" i="4"/>
  <c r="J119" i="4"/>
  <c r="I119" i="4"/>
  <c r="H119" i="4"/>
  <c r="G119" i="4"/>
  <c r="O118" i="4"/>
  <c r="N118" i="4"/>
  <c r="M118" i="4"/>
  <c r="K118" i="4"/>
  <c r="J118" i="4"/>
  <c r="I118" i="4"/>
  <c r="H118" i="4"/>
  <c r="G118" i="4"/>
  <c r="O117" i="4"/>
  <c r="N117" i="4"/>
  <c r="M117" i="4"/>
  <c r="K117" i="4"/>
  <c r="J117" i="4"/>
  <c r="I117" i="4"/>
  <c r="H117" i="4"/>
  <c r="G117" i="4"/>
  <c r="O116" i="4"/>
  <c r="N116" i="4"/>
  <c r="M116" i="4"/>
  <c r="K116" i="4"/>
  <c r="J116" i="4"/>
  <c r="I116" i="4"/>
  <c r="H116" i="4"/>
  <c r="G116" i="4"/>
  <c r="O115" i="4"/>
  <c r="N115" i="4"/>
  <c r="M115" i="4"/>
  <c r="K115" i="4"/>
  <c r="J115" i="4"/>
  <c r="I115" i="4"/>
  <c r="H115" i="4"/>
  <c r="G115" i="4"/>
  <c r="O114" i="4"/>
  <c r="N114" i="4"/>
  <c r="M114" i="4"/>
  <c r="K114" i="4"/>
  <c r="J114" i="4"/>
  <c r="I114" i="4"/>
  <c r="H114" i="4"/>
  <c r="G114" i="4"/>
  <c r="O113" i="4"/>
  <c r="N113" i="4"/>
  <c r="M113" i="4"/>
  <c r="K113" i="4"/>
  <c r="J113" i="4"/>
  <c r="I113" i="4"/>
  <c r="H113" i="4"/>
  <c r="G113" i="4"/>
  <c r="O112" i="4"/>
  <c r="N112" i="4"/>
  <c r="M112" i="4"/>
  <c r="K112" i="4"/>
  <c r="J112" i="4"/>
  <c r="I112" i="4"/>
  <c r="H112" i="4"/>
  <c r="G112" i="4"/>
  <c r="O111" i="4"/>
  <c r="N111" i="4"/>
  <c r="M111" i="4"/>
  <c r="K111" i="4"/>
  <c r="J111" i="4"/>
  <c r="I111" i="4"/>
  <c r="H111" i="4"/>
  <c r="G111" i="4"/>
  <c r="O110" i="4"/>
  <c r="N110" i="4"/>
  <c r="M110" i="4"/>
  <c r="K110" i="4"/>
  <c r="J110" i="4"/>
  <c r="I110" i="4"/>
  <c r="H110" i="4"/>
  <c r="G110" i="4"/>
  <c r="O109" i="4"/>
  <c r="N109" i="4"/>
  <c r="M109" i="4"/>
  <c r="K109" i="4"/>
  <c r="J109" i="4"/>
  <c r="I109" i="4"/>
  <c r="H109" i="4"/>
  <c r="G109" i="4"/>
  <c r="O108" i="4"/>
  <c r="N108" i="4"/>
  <c r="M108" i="4"/>
  <c r="K108" i="4"/>
  <c r="J108" i="4"/>
  <c r="I108" i="4"/>
  <c r="H108" i="4"/>
  <c r="G108" i="4"/>
  <c r="O107" i="4"/>
  <c r="N107" i="4"/>
  <c r="M107" i="4"/>
  <c r="K107" i="4"/>
  <c r="J107" i="4"/>
  <c r="I107" i="4"/>
  <c r="H107" i="4"/>
  <c r="G107" i="4"/>
  <c r="O106" i="4"/>
  <c r="N106" i="4"/>
  <c r="M106" i="4"/>
  <c r="K106" i="4"/>
  <c r="J106" i="4"/>
  <c r="I106" i="4"/>
  <c r="H106" i="4"/>
  <c r="G106" i="4"/>
  <c r="O105" i="4"/>
  <c r="N105" i="4"/>
  <c r="M105" i="4"/>
  <c r="K105" i="4"/>
  <c r="J105" i="4"/>
  <c r="I105" i="4"/>
  <c r="H105" i="4"/>
  <c r="G105" i="4"/>
  <c r="O104" i="4"/>
  <c r="N104" i="4"/>
  <c r="M104" i="4"/>
  <c r="K104" i="4"/>
  <c r="J104" i="4"/>
  <c r="I104" i="4"/>
  <c r="H104" i="4"/>
  <c r="G104" i="4"/>
  <c r="O103" i="4"/>
  <c r="N103" i="4"/>
  <c r="M103" i="4"/>
  <c r="K103" i="4"/>
  <c r="J103" i="4"/>
  <c r="I103" i="4"/>
  <c r="H103" i="4"/>
  <c r="G103" i="4"/>
  <c r="O102" i="4"/>
  <c r="N102" i="4"/>
  <c r="M102" i="4"/>
  <c r="K102" i="4"/>
  <c r="J102" i="4"/>
  <c r="I102" i="4"/>
  <c r="H102" i="4"/>
  <c r="G102" i="4"/>
  <c r="O101" i="4"/>
  <c r="N101" i="4"/>
  <c r="M101" i="4"/>
  <c r="K101" i="4"/>
  <c r="J101" i="4"/>
  <c r="I101" i="4"/>
  <c r="H101" i="4"/>
  <c r="G101" i="4"/>
  <c r="O100" i="4"/>
  <c r="N100" i="4"/>
  <c r="M100" i="4"/>
  <c r="K100" i="4"/>
  <c r="J100" i="4"/>
  <c r="I100" i="4"/>
  <c r="H100" i="4"/>
  <c r="G100" i="4"/>
  <c r="O99" i="4"/>
  <c r="N99" i="4"/>
  <c r="M99" i="4"/>
  <c r="K99" i="4"/>
  <c r="J99" i="4"/>
  <c r="I99" i="4"/>
  <c r="H99" i="4"/>
  <c r="G99" i="4"/>
  <c r="O98" i="4"/>
  <c r="N98" i="4"/>
  <c r="M98" i="4"/>
  <c r="K98" i="4"/>
  <c r="J98" i="4"/>
  <c r="I98" i="4"/>
  <c r="H98" i="4"/>
  <c r="G98" i="4"/>
  <c r="O97" i="4"/>
  <c r="N97" i="4"/>
  <c r="M97" i="4"/>
  <c r="K97" i="4"/>
  <c r="J97" i="4"/>
  <c r="I97" i="4"/>
  <c r="H97" i="4"/>
  <c r="G97" i="4"/>
  <c r="O96" i="4"/>
  <c r="N96" i="4"/>
  <c r="M96" i="4"/>
  <c r="K96" i="4"/>
  <c r="J96" i="4"/>
  <c r="I96" i="4"/>
  <c r="H96" i="4"/>
  <c r="G96" i="4"/>
  <c r="O95" i="4"/>
  <c r="N95" i="4"/>
  <c r="M95" i="4"/>
  <c r="K95" i="4"/>
  <c r="J95" i="4"/>
  <c r="I95" i="4"/>
  <c r="H95" i="4"/>
  <c r="G95" i="4"/>
  <c r="O94" i="4"/>
  <c r="N94" i="4"/>
  <c r="M94" i="4"/>
  <c r="K94" i="4"/>
  <c r="J94" i="4"/>
  <c r="I94" i="4"/>
  <c r="H94" i="4"/>
  <c r="G94" i="4"/>
  <c r="O93" i="4"/>
  <c r="N93" i="4"/>
  <c r="M93" i="4"/>
  <c r="K93" i="4"/>
  <c r="J93" i="4"/>
  <c r="I93" i="4"/>
  <c r="H93" i="4"/>
  <c r="G93" i="4"/>
  <c r="O92" i="4"/>
  <c r="N92" i="4"/>
  <c r="M92" i="4"/>
  <c r="K92" i="4"/>
  <c r="H92" i="4" s="1"/>
  <c r="J92" i="4"/>
  <c r="I92" i="4"/>
  <c r="G92" i="4"/>
  <c r="O91" i="4"/>
  <c r="N91" i="4"/>
  <c r="M91" i="4"/>
  <c r="K91" i="4"/>
  <c r="J91" i="4"/>
  <c r="I91" i="4"/>
  <c r="H91" i="4"/>
  <c r="G91" i="4"/>
  <c r="O90" i="4"/>
  <c r="N90" i="4"/>
  <c r="M90" i="4"/>
  <c r="K90" i="4"/>
  <c r="J90" i="4"/>
  <c r="I90" i="4"/>
  <c r="H90" i="4"/>
  <c r="G90" i="4"/>
  <c r="O89" i="4"/>
  <c r="N89" i="4"/>
  <c r="M89" i="4"/>
  <c r="K89" i="4"/>
  <c r="J89" i="4"/>
  <c r="I89" i="4"/>
  <c r="H89" i="4"/>
  <c r="G89" i="4"/>
  <c r="O88" i="4"/>
  <c r="N88" i="4"/>
  <c r="M88" i="4"/>
  <c r="K88" i="4"/>
  <c r="J88" i="4"/>
  <c r="I88" i="4"/>
  <c r="H88" i="4"/>
  <c r="G88" i="4"/>
  <c r="O87" i="4"/>
  <c r="N87" i="4"/>
  <c r="M87" i="4"/>
  <c r="K87" i="4"/>
  <c r="J87" i="4"/>
  <c r="I87" i="4"/>
  <c r="H87" i="4"/>
  <c r="G87" i="4"/>
  <c r="O86" i="4"/>
  <c r="N86" i="4"/>
  <c r="M86" i="4"/>
  <c r="K86" i="4"/>
  <c r="J86" i="4"/>
  <c r="I86" i="4"/>
  <c r="H86" i="4"/>
  <c r="G86" i="4"/>
  <c r="O85" i="4"/>
  <c r="N85" i="4"/>
  <c r="M85" i="4"/>
  <c r="K85" i="4"/>
  <c r="J85" i="4"/>
  <c r="I85" i="4"/>
  <c r="H85" i="4"/>
  <c r="G85" i="4"/>
  <c r="O84" i="4"/>
  <c r="N84" i="4"/>
  <c r="M84" i="4"/>
  <c r="K84" i="4"/>
  <c r="J84" i="4"/>
  <c r="I84" i="4"/>
  <c r="H84" i="4"/>
  <c r="G84" i="4"/>
  <c r="O83" i="4"/>
  <c r="N83" i="4"/>
  <c r="M83" i="4"/>
  <c r="K83" i="4"/>
  <c r="J83" i="4"/>
  <c r="I83" i="4"/>
  <c r="H83" i="4"/>
  <c r="G83" i="4"/>
  <c r="O82" i="4"/>
  <c r="N82" i="4"/>
  <c r="M82" i="4"/>
  <c r="K82" i="4"/>
  <c r="J82" i="4"/>
  <c r="I82" i="4"/>
  <c r="H82" i="4"/>
  <c r="G82" i="4"/>
  <c r="O81" i="4"/>
  <c r="N81" i="4"/>
  <c r="M81" i="4"/>
  <c r="K81" i="4"/>
  <c r="J81" i="4"/>
  <c r="I81" i="4"/>
  <c r="H81" i="4"/>
  <c r="G81" i="4"/>
  <c r="O80" i="4"/>
  <c r="N80" i="4"/>
  <c r="M80" i="4"/>
  <c r="K80" i="4"/>
  <c r="J80" i="4"/>
  <c r="I80" i="4"/>
  <c r="H80" i="4"/>
  <c r="G80" i="4"/>
  <c r="O79" i="4"/>
  <c r="N79" i="4"/>
  <c r="M79" i="4"/>
  <c r="K79" i="4"/>
  <c r="J79" i="4"/>
  <c r="I79" i="4"/>
  <c r="H79" i="4"/>
  <c r="G79" i="4"/>
  <c r="O78" i="4"/>
  <c r="N78" i="4"/>
  <c r="M78" i="4"/>
  <c r="K78" i="4"/>
  <c r="J78" i="4"/>
  <c r="I78" i="4"/>
  <c r="H78" i="4"/>
  <c r="G78" i="4"/>
  <c r="O77" i="4"/>
  <c r="N77" i="4"/>
  <c r="M77" i="4"/>
  <c r="K77" i="4"/>
  <c r="J77" i="4"/>
  <c r="I77" i="4"/>
  <c r="H77" i="4"/>
  <c r="G77" i="4"/>
  <c r="O76" i="4"/>
  <c r="N76" i="4"/>
  <c r="M76" i="4"/>
  <c r="K76" i="4"/>
  <c r="J76" i="4"/>
  <c r="I76" i="4"/>
  <c r="H76" i="4"/>
  <c r="G76" i="4"/>
  <c r="O75" i="4"/>
  <c r="N75" i="4"/>
  <c r="M75" i="4"/>
  <c r="K75" i="4"/>
  <c r="J75" i="4"/>
  <c r="I75" i="4"/>
  <c r="H75" i="4"/>
  <c r="G75" i="4"/>
  <c r="O74" i="4"/>
  <c r="N74" i="4"/>
  <c r="M74" i="4"/>
  <c r="K74" i="4"/>
  <c r="J74" i="4" s="1"/>
  <c r="I74" i="4"/>
  <c r="H74" i="4"/>
  <c r="G74" i="4"/>
  <c r="O73" i="4"/>
  <c r="N73" i="4"/>
  <c r="M73" i="4"/>
  <c r="K73" i="4"/>
  <c r="G73" i="4"/>
  <c r="O72" i="4"/>
  <c r="N72" i="4"/>
  <c r="M72" i="4"/>
  <c r="K72" i="4"/>
  <c r="G72" i="4"/>
  <c r="O71" i="4"/>
  <c r="N71" i="4"/>
  <c r="M71" i="4"/>
  <c r="K71" i="4"/>
  <c r="G71" i="4"/>
  <c r="O70" i="4"/>
  <c r="N70" i="4"/>
  <c r="M70" i="4"/>
  <c r="K70" i="4"/>
  <c r="J70" i="4"/>
  <c r="I70" i="4"/>
  <c r="H70" i="4"/>
  <c r="G70" i="4"/>
  <c r="O69" i="4"/>
  <c r="N69" i="4"/>
  <c r="M69" i="4"/>
  <c r="K69" i="4"/>
  <c r="G69" i="4"/>
  <c r="O68" i="4"/>
  <c r="N68" i="4"/>
  <c r="M68" i="4"/>
  <c r="K68" i="4"/>
  <c r="J68" i="4"/>
  <c r="I68" i="4"/>
  <c r="H68" i="4"/>
  <c r="G68" i="4"/>
  <c r="O67" i="4"/>
  <c r="N67" i="4"/>
  <c r="M67" i="4"/>
  <c r="K67" i="4"/>
  <c r="J67" i="4"/>
  <c r="I67" i="4"/>
  <c r="H67" i="4"/>
  <c r="G67" i="4"/>
  <c r="O66" i="4"/>
  <c r="N66" i="4"/>
  <c r="M66" i="4"/>
  <c r="K66" i="4"/>
  <c r="J66" i="4" s="1"/>
  <c r="I66" i="4"/>
  <c r="H66" i="4"/>
  <c r="G66" i="4"/>
  <c r="O65" i="4"/>
  <c r="N65" i="4"/>
  <c r="M65" i="4"/>
  <c r="K65" i="4"/>
  <c r="J65" i="4"/>
  <c r="I65" i="4"/>
  <c r="H65" i="4"/>
  <c r="G65" i="4"/>
  <c r="O64" i="4"/>
  <c r="N64" i="4"/>
  <c r="M64" i="4"/>
  <c r="K64" i="4"/>
  <c r="J64" i="4" s="1"/>
  <c r="I64" i="4"/>
  <c r="H64" i="4"/>
  <c r="G64" i="4"/>
  <c r="O63" i="4"/>
  <c r="N63" i="4"/>
  <c r="M63" i="4"/>
  <c r="K63" i="4"/>
  <c r="J63" i="4"/>
  <c r="I63" i="4"/>
  <c r="H63" i="4"/>
  <c r="G63" i="4"/>
  <c r="O62" i="4"/>
  <c r="N62" i="4"/>
  <c r="M62" i="4"/>
  <c r="K62" i="4"/>
  <c r="H62" i="4"/>
  <c r="G62" i="4"/>
  <c r="O61" i="4"/>
  <c r="N61" i="4"/>
  <c r="M61" i="4"/>
  <c r="K61" i="4"/>
  <c r="J61" i="4"/>
  <c r="I61" i="4"/>
  <c r="H61" i="4"/>
  <c r="G61" i="4"/>
  <c r="O60" i="4"/>
  <c r="N60" i="4"/>
  <c r="M60" i="4"/>
  <c r="K60" i="4"/>
  <c r="J60" i="4"/>
  <c r="I60" i="4"/>
  <c r="H60" i="4"/>
  <c r="G60" i="4"/>
  <c r="O59" i="4"/>
  <c r="N59" i="4"/>
  <c r="M59" i="4"/>
  <c r="K59" i="4"/>
  <c r="H59" i="4"/>
  <c r="G59" i="4"/>
  <c r="O58" i="4"/>
  <c r="N58" i="4"/>
  <c r="M58" i="4"/>
  <c r="K58" i="4"/>
  <c r="J58" i="4" s="1"/>
  <c r="I58" i="4"/>
  <c r="H58" i="4"/>
  <c r="G58" i="4"/>
  <c r="O57" i="4"/>
  <c r="N57" i="4"/>
  <c r="M57" i="4"/>
  <c r="K57" i="4"/>
  <c r="J57" i="4" s="1"/>
  <c r="I57" i="4"/>
  <c r="H57" i="4"/>
  <c r="G57" i="4"/>
  <c r="O56" i="4"/>
  <c r="N56" i="4"/>
  <c r="M56" i="4"/>
  <c r="K56" i="4"/>
  <c r="G56" i="4"/>
  <c r="O55" i="4"/>
  <c r="N55" i="4"/>
  <c r="M55" i="4"/>
  <c r="K55" i="4"/>
  <c r="J55" i="4"/>
  <c r="I55" i="4"/>
  <c r="H55" i="4"/>
  <c r="G55" i="4"/>
  <c r="O54" i="4"/>
  <c r="N54" i="4"/>
  <c r="M54" i="4"/>
  <c r="K54" i="4"/>
  <c r="J54" i="4"/>
  <c r="I54" i="4"/>
  <c r="H54" i="4"/>
  <c r="G54" i="4"/>
  <c r="O53" i="4"/>
  <c r="N53" i="4"/>
  <c r="M53" i="4"/>
  <c r="K53" i="4"/>
  <c r="G53" i="4"/>
  <c r="O52" i="4"/>
  <c r="N52" i="4"/>
  <c r="M52" i="4"/>
  <c r="K52" i="4"/>
  <c r="J52" i="4"/>
  <c r="I52" i="4"/>
  <c r="H52" i="4"/>
  <c r="G52" i="4"/>
  <c r="O51" i="4"/>
  <c r="N51" i="4"/>
  <c r="M51" i="4"/>
  <c r="K51" i="4"/>
  <c r="J51" i="4"/>
  <c r="I51" i="4"/>
  <c r="H51" i="4"/>
  <c r="G51" i="4"/>
  <c r="O50" i="4"/>
  <c r="N50" i="4"/>
  <c r="M50" i="4"/>
  <c r="K50" i="4"/>
  <c r="J50" i="4" s="1"/>
  <c r="I50" i="4"/>
  <c r="H50" i="4"/>
  <c r="G50" i="4"/>
  <c r="O49" i="4"/>
  <c r="N49" i="4"/>
  <c r="M49" i="4"/>
  <c r="K49" i="4"/>
  <c r="G49" i="4"/>
  <c r="O48" i="4"/>
  <c r="N48" i="4"/>
  <c r="M48" i="4"/>
  <c r="K48" i="4"/>
  <c r="J48" i="4"/>
  <c r="I48" i="4"/>
  <c r="H48" i="4"/>
  <c r="G48" i="4"/>
  <c r="O47" i="4"/>
  <c r="N47" i="4"/>
  <c r="M47" i="4"/>
  <c r="K47" i="4"/>
  <c r="J47" i="4" s="1"/>
  <c r="I47" i="4"/>
  <c r="H47" i="4"/>
  <c r="G47" i="4"/>
  <c r="O46" i="4"/>
  <c r="N46" i="4"/>
  <c r="M46" i="4"/>
  <c r="K46" i="4"/>
  <c r="J46" i="4" s="1"/>
  <c r="I46" i="4"/>
  <c r="H46" i="4"/>
  <c r="G46" i="4"/>
  <c r="O45" i="4"/>
  <c r="N45" i="4"/>
  <c r="M45" i="4"/>
  <c r="K45" i="4"/>
  <c r="J45" i="4" s="1"/>
  <c r="I45" i="4"/>
  <c r="H45" i="4"/>
  <c r="G45" i="4"/>
  <c r="O44" i="4"/>
  <c r="N44" i="4"/>
  <c r="M44" i="4"/>
  <c r="K44" i="4"/>
  <c r="J44" i="4" s="1"/>
  <c r="I44" i="4"/>
  <c r="H44" i="4"/>
  <c r="G44" i="4"/>
  <c r="O43" i="4"/>
  <c r="N43" i="4"/>
  <c r="M43" i="4"/>
  <c r="K43" i="4"/>
  <c r="J43" i="4"/>
  <c r="I43" i="4"/>
  <c r="H43" i="4"/>
  <c r="G43" i="4"/>
  <c r="O42" i="4"/>
  <c r="N42" i="4"/>
  <c r="M42" i="4"/>
  <c r="K42" i="4"/>
  <c r="J42" i="4"/>
  <c r="I42" i="4"/>
  <c r="H42" i="4"/>
  <c r="G42" i="4"/>
  <c r="O41" i="4"/>
  <c r="N41" i="4"/>
  <c r="M41" i="4"/>
  <c r="K41" i="4"/>
  <c r="J41" i="4"/>
  <c r="I41" i="4"/>
  <c r="H41" i="4"/>
  <c r="G41" i="4"/>
  <c r="O40" i="4"/>
  <c r="N40" i="4"/>
  <c r="M40" i="4"/>
  <c r="K40" i="4"/>
  <c r="J40" i="4"/>
  <c r="I40" i="4"/>
  <c r="H40" i="4"/>
  <c r="G40" i="4"/>
  <c r="O39" i="4"/>
  <c r="N39" i="4"/>
  <c r="M39" i="4"/>
  <c r="K39" i="4"/>
  <c r="J39" i="4"/>
  <c r="I39" i="4"/>
  <c r="H39" i="4"/>
  <c r="G39" i="4"/>
  <c r="O38" i="4"/>
  <c r="N38" i="4"/>
  <c r="M38" i="4"/>
  <c r="K38" i="4"/>
  <c r="J38" i="4"/>
  <c r="I38" i="4"/>
  <c r="H38" i="4"/>
  <c r="G38" i="4"/>
  <c r="O37" i="4"/>
  <c r="N37" i="4"/>
  <c r="M37" i="4"/>
  <c r="K37" i="4"/>
  <c r="J37" i="4"/>
  <c r="I37" i="4"/>
  <c r="H37" i="4"/>
  <c r="G37" i="4"/>
  <c r="O36" i="4"/>
  <c r="N36" i="4"/>
  <c r="M36" i="4"/>
  <c r="K36" i="4"/>
  <c r="J36" i="4"/>
  <c r="I36" i="4"/>
  <c r="H36" i="4"/>
  <c r="G36" i="4"/>
  <c r="O35" i="4"/>
  <c r="N35" i="4"/>
  <c r="M35" i="4"/>
  <c r="K35" i="4"/>
  <c r="J35" i="4"/>
  <c r="I35" i="4"/>
  <c r="H35" i="4"/>
  <c r="G35" i="4"/>
  <c r="O34" i="4"/>
  <c r="N34" i="4"/>
  <c r="M34" i="4"/>
  <c r="K34" i="4"/>
  <c r="J34" i="4"/>
  <c r="I34" i="4"/>
  <c r="H34" i="4"/>
  <c r="G34" i="4"/>
  <c r="O33" i="4"/>
  <c r="N33" i="4"/>
  <c r="M33" i="4"/>
  <c r="K33" i="4"/>
  <c r="J33" i="4"/>
  <c r="I33" i="4"/>
  <c r="H33" i="4"/>
  <c r="G33" i="4"/>
  <c r="O32" i="4"/>
  <c r="N32" i="4"/>
  <c r="M32" i="4"/>
  <c r="K32" i="4"/>
  <c r="J32" i="4"/>
  <c r="I32" i="4"/>
  <c r="H32" i="4"/>
  <c r="G32" i="4"/>
  <c r="O31" i="4"/>
  <c r="N31" i="4"/>
  <c r="M31" i="4"/>
  <c r="K31" i="4"/>
  <c r="J31" i="4"/>
  <c r="I31" i="4"/>
  <c r="H31" i="4"/>
  <c r="G31" i="4"/>
  <c r="O30" i="4"/>
  <c r="N30" i="4"/>
  <c r="M30" i="4"/>
  <c r="K30" i="4"/>
  <c r="J30" i="4"/>
  <c r="I30" i="4"/>
  <c r="H30" i="4"/>
  <c r="G30" i="4"/>
  <c r="O29" i="4"/>
  <c r="N29" i="4"/>
  <c r="M29" i="4"/>
  <c r="K29" i="4"/>
  <c r="J29" i="4"/>
  <c r="I29" i="4"/>
  <c r="H29" i="4"/>
  <c r="G29" i="4"/>
  <c r="O28" i="4"/>
  <c r="N28" i="4"/>
  <c r="M28" i="4"/>
  <c r="K28" i="4"/>
  <c r="J28" i="4"/>
  <c r="I28" i="4"/>
  <c r="H28" i="4"/>
  <c r="G28" i="4"/>
  <c r="O27" i="4"/>
  <c r="N27" i="4"/>
  <c r="M27" i="4"/>
  <c r="K27" i="4"/>
  <c r="J27" i="4"/>
  <c r="I27" i="4"/>
  <c r="H27" i="4"/>
  <c r="G27" i="4"/>
  <c r="O26" i="4"/>
  <c r="N26" i="4"/>
  <c r="M26" i="4"/>
  <c r="K26" i="4"/>
  <c r="J26" i="4"/>
  <c r="I26" i="4"/>
  <c r="H26" i="4"/>
  <c r="G26" i="4"/>
  <c r="O25" i="4"/>
  <c r="N25" i="4"/>
  <c r="M25" i="4"/>
  <c r="K25" i="4"/>
  <c r="G25" i="4"/>
  <c r="O24" i="4"/>
  <c r="N24" i="4"/>
  <c r="M24" i="4"/>
  <c r="K24" i="4"/>
  <c r="J24" i="4" s="1"/>
  <c r="I24" i="4"/>
  <c r="H24" i="4"/>
  <c r="G24" i="4"/>
  <c r="O23" i="4"/>
  <c r="N23" i="4"/>
  <c r="M23" i="4"/>
  <c r="K23" i="4"/>
  <c r="J23" i="4"/>
  <c r="I23" i="4"/>
  <c r="H23" i="4"/>
  <c r="G23" i="4"/>
  <c r="O22" i="4"/>
  <c r="N22" i="4"/>
  <c r="M22" i="4"/>
  <c r="K22" i="4"/>
  <c r="J22" i="4" s="1"/>
  <c r="I22" i="4"/>
  <c r="H22" i="4"/>
  <c r="G22" i="4"/>
  <c r="O21" i="4"/>
  <c r="N21" i="4"/>
  <c r="M21" i="4"/>
  <c r="K21" i="4"/>
  <c r="H21" i="4"/>
  <c r="G21" i="4"/>
  <c r="O20" i="4"/>
  <c r="N20" i="4"/>
  <c r="M20" i="4"/>
  <c r="K20" i="4"/>
  <c r="J20" i="4"/>
  <c r="I20" i="4"/>
  <c r="H20" i="4"/>
  <c r="G20" i="4"/>
  <c r="O19" i="4"/>
  <c r="N19" i="4"/>
  <c r="M19" i="4"/>
  <c r="K19" i="4"/>
  <c r="J19" i="4" s="1"/>
  <c r="I19" i="4"/>
  <c r="H19" i="4"/>
  <c r="G19" i="4"/>
  <c r="O18" i="4"/>
  <c r="N18" i="4"/>
  <c r="M18" i="4"/>
  <c r="K18" i="4"/>
  <c r="J18" i="4"/>
  <c r="I18" i="4"/>
  <c r="H18" i="4"/>
  <c r="G18" i="4"/>
  <c r="O17" i="4"/>
  <c r="N17" i="4"/>
  <c r="M17" i="4"/>
  <c r="K17" i="4"/>
  <c r="J17" i="4"/>
  <c r="I17" i="4"/>
  <c r="H17" i="4"/>
  <c r="G17" i="4"/>
  <c r="O16" i="4"/>
  <c r="N16" i="4"/>
  <c r="M16" i="4"/>
  <c r="K16" i="4"/>
  <c r="G16" i="4"/>
  <c r="O15" i="4"/>
  <c r="N15" i="4"/>
  <c r="M15" i="4"/>
  <c r="K15" i="4"/>
  <c r="H15" i="4"/>
  <c r="G15" i="4"/>
  <c r="O14" i="4"/>
  <c r="N14" i="4"/>
  <c r="M14" i="4"/>
  <c r="K14" i="4"/>
  <c r="G14" i="4"/>
  <c r="O13" i="4"/>
  <c r="N13" i="4"/>
  <c r="M13" i="4"/>
  <c r="K13" i="4"/>
  <c r="J13" i="4"/>
  <c r="I13" i="4"/>
  <c r="H13" i="4"/>
  <c r="G13" i="4"/>
  <c r="O12" i="4"/>
  <c r="N12" i="4"/>
  <c r="M12" i="4"/>
  <c r="K12" i="4"/>
  <c r="J12" i="4"/>
  <c r="I12" i="4"/>
  <c r="H12" i="4"/>
  <c r="G12" i="4"/>
  <c r="O11" i="4"/>
  <c r="N11" i="4"/>
  <c r="M11" i="4"/>
  <c r="K11" i="4"/>
  <c r="J11" i="4"/>
  <c r="I11" i="4"/>
  <c r="H11" i="4"/>
  <c r="G11" i="4"/>
  <c r="O10" i="4"/>
  <c r="N10" i="4"/>
  <c r="M10" i="4"/>
  <c r="K10" i="4"/>
  <c r="J10" i="4"/>
  <c r="I10" i="4"/>
  <c r="H10" i="4"/>
  <c r="G10" i="4"/>
  <c r="O9" i="4"/>
  <c r="N9" i="4"/>
  <c r="M9" i="4"/>
  <c r="K9" i="4"/>
  <c r="J9" i="4"/>
  <c r="I9" i="4"/>
  <c r="H9" i="4"/>
  <c r="G9" i="4"/>
  <c r="O8" i="4"/>
  <c r="K8" i="4" s="1"/>
  <c r="N8" i="4"/>
  <c r="M8" i="4"/>
  <c r="G8" i="4"/>
  <c r="O7" i="4"/>
  <c r="K7" i="4" s="1"/>
  <c r="N7" i="4"/>
  <c r="M7" i="4"/>
  <c r="G7" i="4"/>
  <c r="O6" i="4"/>
  <c r="N6" i="4"/>
  <c r="M6" i="4"/>
  <c r="K6" i="4"/>
  <c r="G6" i="4"/>
  <c r="A125" i="3"/>
  <c r="A124" i="3"/>
  <c r="A123" i="3"/>
  <c r="A122" i="3"/>
  <c r="A121" i="3"/>
  <c r="A120" i="3"/>
  <c r="A119" i="3"/>
  <c r="A118" i="3"/>
  <c r="A117" i="3"/>
  <c r="A116" i="3"/>
  <c r="A115" i="3"/>
  <c r="F114" i="3"/>
  <c r="A114" i="3"/>
  <c r="A113" i="3"/>
  <c r="A112" i="3"/>
  <c r="A111" i="3"/>
  <c r="A110" i="3"/>
  <c r="A109" i="3"/>
  <c r="H108" i="3"/>
  <c r="A108" i="3"/>
  <c r="A107" i="3"/>
  <c r="A106" i="3"/>
  <c r="A105" i="3"/>
  <c r="A104" i="3"/>
  <c r="A103" i="3"/>
  <c r="A102" i="3"/>
  <c r="A101" i="3"/>
  <c r="A100" i="3"/>
  <c r="A99" i="3"/>
  <c r="G98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H45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H9" i="2"/>
  <c r="E9" i="2"/>
  <c r="B4" i="2"/>
  <c r="C28" i="1"/>
  <c r="I16" i="1"/>
  <c r="E16" i="1"/>
  <c r="C16" i="1"/>
  <c r="B12" i="1"/>
  <c r="C10" i="1"/>
  <c r="C9" i="1"/>
  <c r="C8" i="1"/>
  <c r="C12" i="1" s="1"/>
  <c r="I559" i="4" l="1"/>
  <c r="H559" i="4"/>
  <c r="H553" i="4"/>
  <c r="I553" i="4"/>
  <c r="J553" i="4"/>
  <c r="I550" i="4"/>
  <c r="J550" i="4"/>
  <c r="H550" i="4"/>
  <c r="I549" i="4"/>
  <c r="J549" i="4"/>
  <c r="H549" i="4"/>
  <c r="J547" i="4"/>
  <c r="I547" i="4"/>
  <c r="H547" i="4"/>
  <c r="H509" i="4"/>
  <c r="J509" i="4"/>
  <c r="I509" i="4"/>
  <c r="J508" i="4"/>
  <c r="H508" i="4"/>
  <c r="I508" i="4"/>
  <c r="J507" i="4"/>
  <c r="I507" i="4"/>
  <c r="H507" i="4"/>
  <c r="I506" i="4"/>
  <c r="J506" i="4"/>
  <c r="I505" i="4"/>
  <c r="J505" i="4"/>
  <c r="J504" i="4"/>
  <c r="I504" i="4"/>
  <c r="H504" i="4"/>
  <c r="I503" i="4"/>
  <c r="J503" i="4"/>
  <c r="I502" i="4"/>
  <c r="J502" i="4"/>
  <c r="I501" i="4"/>
  <c r="H501" i="4"/>
  <c r="J501" i="4"/>
  <c r="H499" i="4"/>
  <c r="J499" i="4"/>
  <c r="I499" i="4"/>
  <c r="H498" i="4"/>
  <c r="I498" i="4"/>
  <c r="J498" i="4"/>
  <c r="J497" i="4"/>
  <c r="I497" i="4"/>
  <c r="H497" i="4"/>
  <c r="J496" i="4"/>
  <c r="I496" i="4"/>
  <c r="H496" i="4"/>
  <c r="H495" i="4"/>
  <c r="I495" i="4"/>
  <c r="J495" i="4"/>
  <c r="I494" i="4"/>
  <c r="J494" i="4"/>
  <c r="H494" i="4"/>
  <c r="I493" i="4"/>
  <c r="H493" i="4"/>
  <c r="J493" i="4"/>
  <c r="J492" i="4"/>
  <c r="H492" i="4"/>
  <c r="I492" i="4"/>
  <c r="I491" i="4"/>
  <c r="J491" i="4"/>
  <c r="J490" i="4"/>
  <c r="I490" i="4"/>
  <c r="H490" i="4"/>
  <c r="H489" i="4"/>
  <c r="I489" i="4"/>
  <c r="J489" i="4"/>
  <c r="I488" i="4"/>
  <c r="J488" i="4"/>
  <c r="H488" i="4"/>
  <c r="J487" i="4"/>
  <c r="H487" i="4"/>
  <c r="I487" i="4"/>
  <c r="J486" i="4"/>
  <c r="I486" i="4"/>
  <c r="J484" i="4"/>
  <c r="I484" i="4"/>
  <c r="H484" i="4"/>
  <c r="J483" i="4"/>
  <c r="H483" i="4"/>
  <c r="I483" i="4"/>
  <c r="H482" i="4"/>
  <c r="J482" i="4"/>
  <c r="I482" i="4"/>
  <c r="H481" i="4"/>
  <c r="I481" i="4"/>
  <c r="J481" i="4"/>
  <c r="J387" i="4"/>
  <c r="I387" i="4"/>
  <c r="H387" i="4"/>
  <c r="J386" i="4"/>
  <c r="I386" i="4"/>
  <c r="H386" i="4"/>
  <c r="I385" i="4"/>
  <c r="J385" i="4"/>
  <c r="H385" i="4"/>
  <c r="H383" i="4"/>
  <c r="I383" i="4"/>
  <c r="J383" i="4"/>
  <c r="J382" i="4"/>
  <c r="I382" i="4"/>
  <c r="H382" i="4"/>
  <c r="J381" i="4"/>
  <c r="I381" i="4"/>
  <c r="H381" i="4"/>
  <c r="J380" i="4"/>
  <c r="I380" i="4"/>
  <c r="H380" i="4"/>
  <c r="J379" i="4"/>
  <c r="I379" i="4"/>
  <c r="J378" i="4"/>
  <c r="I378" i="4"/>
  <c r="H378" i="4"/>
  <c r="I376" i="4"/>
  <c r="J376" i="4"/>
  <c r="J374" i="4"/>
  <c r="H374" i="4"/>
  <c r="I374" i="4"/>
  <c r="H372" i="4"/>
  <c r="I372" i="4"/>
  <c r="J372" i="4"/>
  <c r="H371" i="4"/>
  <c r="I371" i="4"/>
  <c r="J371" i="4"/>
  <c r="J369" i="4"/>
  <c r="I369" i="4"/>
  <c r="I367" i="4"/>
  <c r="H367" i="4"/>
  <c r="J367" i="4"/>
  <c r="H365" i="4"/>
  <c r="I365" i="4"/>
  <c r="J365" i="4"/>
  <c r="J364" i="4"/>
  <c r="I364" i="4"/>
  <c r="H364" i="4"/>
  <c r="J363" i="4"/>
  <c r="I363" i="4"/>
  <c r="H363" i="4"/>
  <c r="J360" i="4"/>
  <c r="I360" i="4"/>
  <c r="J357" i="4"/>
  <c r="I357" i="4"/>
  <c r="H357" i="4"/>
  <c r="J356" i="4"/>
  <c r="I356" i="4"/>
  <c r="I355" i="4"/>
  <c r="J355" i="4"/>
  <c r="H355" i="4"/>
  <c r="J354" i="4"/>
  <c r="I354" i="4"/>
  <c r="H354" i="4"/>
  <c r="I353" i="4"/>
  <c r="J353" i="4"/>
  <c r="I351" i="4"/>
  <c r="J351" i="4"/>
  <c r="J350" i="4"/>
  <c r="I350" i="4"/>
  <c r="H350" i="4"/>
  <c r="H347" i="4"/>
  <c r="J347" i="4"/>
  <c r="I347" i="4"/>
  <c r="I346" i="4"/>
  <c r="J346" i="4"/>
  <c r="J341" i="4"/>
  <c r="I341" i="4"/>
  <c r="I337" i="4"/>
  <c r="J337" i="4"/>
  <c r="I333" i="4"/>
  <c r="J333" i="4"/>
  <c r="H333" i="4"/>
  <c r="H331" i="4"/>
  <c r="I331" i="4"/>
  <c r="J331" i="4"/>
  <c r="J329" i="4"/>
  <c r="I329" i="4"/>
  <c r="J328" i="4"/>
  <c r="I328" i="4"/>
  <c r="J326" i="4"/>
  <c r="I326" i="4"/>
  <c r="H326" i="4"/>
  <c r="J292" i="4"/>
  <c r="I292" i="4"/>
  <c r="H292" i="4"/>
  <c r="H291" i="4"/>
  <c r="J291" i="4"/>
  <c r="I291" i="4"/>
  <c r="J290" i="4"/>
  <c r="I290" i="4"/>
  <c r="H289" i="4"/>
  <c r="J289" i="4"/>
  <c r="I289" i="4"/>
  <c r="J288" i="4"/>
  <c r="I288" i="4"/>
  <c r="H288" i="4"/>
  <c r="I287" i="4"/>
  <c r="J287" i="4"/>
  <c r="J286" i="4"/>
  <c r="I286" i="4"/>
  <c r="H286" i="4"/>
  <c r="J285" i="4"/>
  <c r="H285" i="4"/>
  <c r="I285" i="4"/>
  <c r="I284" i="4"/>
  <c r="J284" i="4"/>
  <c r="H283" i="4"/>
  <c r="I283" i="4"/>
  <c r="J283" i="4"/>
  <c r="J282" i="4"/>
  <c r="I282" i="4"/>
  <c r="H282" i="4"/>
  <c r="H281" i="4"/>
  <c r="J281" i="4"/>
  <c r="I281" i="4"/>
  <c r="I280" i="4"/>
  <c r="J280" i="4"/>
  <c r="H280" i="4"/>
  <c r="H279" i="4"/>
  <c r="I279" i="4"/>
  <c r="J279" i="4"/>
  <c r="H278" i="4"/>
  <c r="J278" i="4"/>
  <c r="I278" i="4"/>
  <c r="I277" i="4"/>
  <c r="J277" i="4"/>
  <c r="H277" i="4"/>
  <c r="H276" i="4"/>
  <c r="J276" i="4"/>
  <c r="I276" i="4"/>
  <c r="I275" i="4"/>
  <c r="J275" i="4"/>
  <c r="H275" i="4"/>
  <c r="J274" i="4"/>
  <c r="H274" i="4"/>
  <c r="I274" i="4"/>
  <c r="I273" i="4"/>
  <c r="H273" i="4"/>
  <c r="J273" i="4"/>
  <c r="I272" i="4"/>
  <c r="H272" i="4"/>
  <c r="J272" i="4"/>
  <c r="H271" i="4"/>
  <c r="J271" i="4"/>
  <c r="I271" i="4"/>
  <c r="I270" i="4"/>
  <c r="J270" i="4"/>
  <c r="H270" i="4"/>
  <c r="H269" i="4"/>
  <c r="I269" i="4"/>
  <c r="J269" i="4"/>
  <c r="J268" i="4"/>
  <c r="I268" i="4"/>
  <c r="I267" i="4"/>
  <c r="H267" i="4"/>
  <c r="J267" i="4"/>
  <c r="H266" i="4"/>
  <c r="J266" i="4"/>
  <c r="I266" i="4"/>
  <c r="H265" i="4"/>
  <c r="I265" i="4"/>
  <c r="J265" i="4"/>
  <c r="H264" i="4"/>
  <c r="J264" i="4"/>
  <c r="I264" i="4"/>
  <c r="H263" i="4"/>
  <c r="J263" i="4"/>
  <c r="I263" i="4"/>
  <c r="H262" i="4"/>
  <c r="I262" i="4"/>
  <c r="J262" i="4"/>
  <c r="H261" i="4"/>
  <c r="J261" i="4"/>
  <c r="I261" i="4"/>
  <c r="J260" i="4"/>
  <c r="H260" i="4"/>
  <c r="I260" i="4"/>
  <c r="H259" i="4"/>
  <c r="I259" i="4"/>
  <c r="J259" i="4"/>
  <c r="J258" i="4"/>
  <c r="I258" i="4"/>
  <c r="H258" i="4"/>
  <c r="I257" i="4"/>
  <c r="H257" i="4"/>
  <c r="J257" i="4"/>
  <c r="H256" i="4"/>
  <c r="J256" i="4"/>
  <c r="I256" i="4"/>
  <c r="I255" i="4"/>
  <c r="H255" i="4"/>
  <c r="J255" i="4"/>
  <c r="J254" i="4"/>
  <c r="H254" i="4"/>
  <c r="I254" i="4"/>
  <c r="I253" i="4"/>
  <c r="J253" i="4"/>
  <c r="H253" i="4"/>
  <c r="H252" i="4"/>
  <c r="J252" i="4"/>
  <c r="I252" i="4"/>
  <c r="J251" i="4"/>
  <c r="I251" i="4"/>
  <c r="H250" i="4"/>
  <c r="I250" i="4"/>
  <c r="J250" i="4"/>
  <c r="I249" i="4"/>
  <c r="J249" i="4"/>
  <c r="H249" i="4"/>
  <c r="J248" i="4"/>
  <c r="I248" i="4"/>
  <c r="H248" i="4"/>
  <c r="J246" i="4"/>
  <c r="I246" i="4"/>
  <c r="H246" i="4"/>
  <c r="H245" i="4"/>
  <c r="I245" i="4"/>
  <c r="J245" i="4"/>
  <c r="I244" i="4"/>
  <c r="H244" i="4"/>
  <c r="J244" i="4"/>
  <c r="I243" i="4"/>
  <c r="J243" i="4"/>
  <c r="H243" i="4"/>
  <c r="J242" i="4"/>
  <c r="H242" i="4"/>
  <c r="I242" i="4"/>
  <c r="J241" i="4"/>
  <c r="H241" i="4"/>
  <c r="I241" i="4"/>
  <c r="H240" i="4"/>
  <c r="J240" i="4"/>
  <c r="I240" i="4"/>
  <c r="J239" i="4"/>
  <c r="I239" i="4"/>
  <c r="H239" i="4"/>
  <c r="H238" i="4"/>
  <c r="J238" i="4"/>
  <c r="I238" i="4"/>
  <c r="H237" i="4"/>
  <c r="J237" i="4"/>
  <c r="I237" i="4"/>
  <c r="J236" i="4"/>
  <c r="I236" i="4"/>
  <c r="H236" i="4"/>
  <c r="J235" i="4"/>
  <c r="I235" i="4"/>
  <c r="H235" i="4"/>
  <c r="J234" i="4"/>
  <c r="I234" i="4"/>
  <c r="H234" i="4"/>
  <c r="J233" i="4"/>
  <c r="H233" i="4"/>
  <c r="I233" i="4"/>
  <c r="I232" i="4"/>
  <c r="H232" i="4"/>
  <c r="J232" i="4"/>
  <c r="J231" i="4"/>
  <c r="I231" i="4"/>
  <c r="H231" i="4"/>
  <c r="I230" i="4"/>
  <c r="J230" i="4"/>
  <c r="H230" i="4"/>
  <c r="H229" i="4"/>
  <c r="I229" i="4"/>
  <c r="J229" i="4"/>
  <c r="I228" i="4"/>
  <c r="H228" i="4"/>
  <c r="J228" i="4"/>
  <c r="I227" i="4"/>
  <c r="J227" i="4"/>
  <c r="H227" i="4"/>
  <c r="H226" i="4"/>
  <c r="J226" i="4"/>
  <c r="I226" i="4"/>
  <c r="H225" i="4"/>
  <c r="J225" i="4"/>
  <c r="I225" i="4"/>
  <c r="I224" i="4"/>
  <c r="J224" i="4"/>
  <c r="I223" i="4"/>
  <c r="J223" i="4"/>
  <c r="H223" i="4"/>
  <c r="I222" i="4"/>
  <c r="H222" i="4"/>
  <c r="J222" i="4"/>
  <c r="J221" i="4"/>
  <c r="H221" i="4"/>
  <c r="I221" i="4"/>
  <c r="I220" i="4"/>
  <c r="J220" i="4"/>
  <c r="H220" i="4"/>
  <c r="H219" i="4"/>
  <c r="J219" i="4"/>
  <c r="I219" i="4"/>
  <c r="J218" i="4"/>
  <c r="I218" i="4"/>
  <c r="H218" i="4"/>
  <c r="I217" i="4"/>
  <c r="H217" i="4"/>
  <c r="J217" i="4"/>
  <c r="J216" i="4"/>
  <c r="I216" i="4"/>
  <c r="H216" i="4"/>
  <c r="H215" i="4"/>
  <c r="J215" i="4"/>
  <c r="I215" i="4"/>
  <c r="H214" i="4"/>
  <c r="J214" i="4"/>
  <c r="I214" i="4"/>
  <c r="I213" i="4"/>
  <c r="H213" i="4"/>
  <c r="J213" i="4"/>
  <c r="J212" i="4"/>
  <c r="I212" i="4"/>
  <c r="H212" i="4"/>
  <c r="H211" i="4"/>
  <c r="J211" i="4"/>
  <c r="I211" i="4"/>
  <c r="H210" i="4"/>
  <c r="J210" i="4"/>
  <c r="I210" i="4"/>
  <c r="I209" i="4"/>
  <c r="H209" i="4"/>
  <c r="J209" i="4"/>
  <c r="J208" i="4"/>
  <c r="H208" i="4"/>
  <c r="I208" i="4"/>
  <c r="I207" i="4"/>
  <c r="H207" i="4"/>
  <c r="J207" i="4"/>
  <c r="H206" i="4"/>
  <c r="I206" i="4"/>
  <c r="J206" i="4"/>
  <c r="H205" i="4"/>
  <c r="J205" i="4"/>
  <c r="I205" i="4"/>
  <c r="I204" i="4"/>
  <c r="J204" i="4"/>
  <c r="H204" i="4"/>
  <c r="I203" i="4"/>
  <c r="H203" i="4"/>
  <c r="J203" i="4"/>
  <c r="J202" i="4"/>
  <c r="H202" i="4"/>
  <c r="I202" i="4"/>
  <c r="J201" i="4"/>
  <c r="H201" i="4"/>
  <c r="I201" i="4"/>
  <c r="I200" i="4"/>
  <c r="H200" i="4"/>
  <c r="J200" i="4"/>
  <c r="J199" i="4"/>
  <c r="I199" i="4"/>
  <c r="H199" i="4"/>
  <c r="J198" i="4"/>
  <c r="I198" i="4"/>
  <c r="J197" i="4"/>
  <c r="I197" i="4"/>
  <c r="H197" i="4"/>
  <c r="J196" i="4"/>
  <c r="H196" i="4"/>
  <c r="I196" i="4"/>
  <c r="J195" i="4"/>
  <c r="I195" i="4"/>
  <c r="H195" i="4"/>
  <c r="J194" i="4"/>
  <c r="H194" i="4"/>
  <c r="I194" i="4"/>
  <c r="I193" i="4"/>
  <c r="H193" i="4"/>
  <c r="J193" i="4"/>
  <c r="I192" i="4"/>
  <c r="H192" i="4"/>
  <c r="J192" i="4"/>
  <c r="I191" i="4"/>
  <c r="J191" i="4"/>
  <c r="H191" i="4"/>
  <c r="J190" i="4"/>
  <c r="I190" i="4"/>
  <c r="H190" i="4"/>
  <c r="I189" i="4"/>
  <c r="J189" i="4"/>
  <c r="H189" i="4"/>
  <c r="I188" i="4"/>
  <c r="H188" i="4"/>
  <c r="J188" i="4"/>
  <c r="H187" i="4"/>
  <c r="J187" i="4"/>
  <c r="I187" i="4"/>
  <c r="I186" i="4"/>
  <c r="H186" i="4"/>
  <c r="J186" i="4"/>
  <c r="J185" i="4"/>
  <c r="I185" i="4"/>
  <c r="H185" i="4"/>
  <c r="H184" i="4"/>
  <c r="J184" i="4"/>
  <c r="I184" i="4"/>
  <c r="I183" i="4"/>
  <c r="H183" i="4"/>
  <c r="J183" i="4"/>
  <c r="H182" i="4"/>
  <c r="I182" i="4"/>
  <c r="J182" i="4"/>
  <c r="J181" i="4"/>
  <c r="I181" i="4"/>
  <c r="H181" i="4"/>
  <c r="I180" i="4"/>
  <c r="H180" i="4"/>
  <c r="J180" i="4"/>
  <c r="H179" i="4"/>
  <c r="J179" i="4"/>
  <c r="I179" i="4"/>
  <c r="I178" i="4"/>
  <c r="H178" i="4"/>
  <c r="J178" i="4"/>
  <c r="J177" i="4"/>
  <c r="I177" i="4"/>
  <c r="H177" i="4"/>
  <c r="J176" i="4"/>
  <c r="I176" i="4"/>
  <c r="H176" i="4"/>
  <c r="I175" i="4"/>
  <c r="H175" i="4"/>
  <c r="J175" i="4"/>
  <c r="I174" i="4"/>
  <c r="J174" i="4"/>
  <c r="H174" i="4"/>
  <c r="J173" i="4"/>
  <c r="H173" i="4"/>
  <c r="I173" i="4"/>
  <c r="I172" i="4"/>
  <c r="H172" i="4"/>
  <c r="J172" i="4"/>
  <c r="H171" i="4"/>
  <c r="J171" i="4"/>
  <c r="I171" i="4"/>
  <c r="I170" i="4"/>
  <c r="H170" i="4"/>
  <c r="J170" i="4"/>
  <c r="J73" i="4"/>
  <c r="I73" i="4"/>
  <c r="H73" i="4"/>
  <c r="J72" i="4"/>
  <c r="I72" i="4"/>
  <c r="H72" i="4"/>
  <c r="J71" i="4"/>
  <c r="I71" i="4"/>
  <c r="H71" i="4"/>
  <c r="H69" i="4"/>
  <c r="I69" i="4"/>
  <c r="J69" i="4"/>
  <c r="J62" i="4"/>
  <c r="I62" i="4"/>
  <c r="J59" i="4"/>
  <c r="I59" i="4"/>
  <c r="J56" i="4"/>
  <c r="I56" i="4"/>
  <c r="H56" i="4"/>
  <c r="J53" i="4"/>
  <c r="I53" i="4"/>
  <c r="H53" i="4"/>
  <c r="H49" i="4"/>
  <c r="I49" i="4"/>
  <c r="J49" i="4"/>
  <c r="H25" i="4"/>
  <c r="J25" i="4"/>
  <c r="I25" i="4"/>
  <c r="J21" i="4"/>
  <c r="I21" i="4"/>
  <c r="I16" i="4"/>
  <c r="J16" i="4"/>
  <c r="H16" i="4"/>
  <c r="I15" i="4"/>
  <c r="J15" i="4"/>
  <c r="J14" i="4"/>
  <c r="I14" i="4"/>
  <c r="H14" i="4"/>
  <c r="J8" i="4"/>
  <c r="F10" i="1"/>
  <c r="N10" i="1" s="1"/>
  <c r="H8" i="4"/>
  <c r="I8" i="4"/>
  <c r="F9" i="1"/>
  <c r="N9" i="1" s="1"/>
  <c r="H7" i="4"/>
  <c r="I7" i="4"/>
  <c r="J7" i="4"/>
  <c r="J6" i="4"/>
  <c r="I6" i="4"/>
  <c r="F8" i="1" s="1"/>
  <c r="H6" i="4"/>
  <c r="F125" i="3"/>
  <c r="G125" i="3"/>
  <c r="A128" i="2"/>
  <c r="M128" i="2" s="1"/>
  <c r="N128" i="2" s="1"/>
  <c r="P128" i="2" s="1"/>
  <c r="H125" i="3"/>
  <c r="H124" i="3"/>
  <c r="A127" i="2"/>
  <c r="M127" i="2" s="1"/>
  <c r="N127" i="2" s="1"/>
  <c r="P127" i="2" s="1"/>
  <c r="G124" i="3"/>
  <c r="F124" i="3"/>
  <c r="I124" i="3" s="1"/>
  <c r="F123" i="3"/>
  <c r="G123" i="3"/>
  <c r="H123" i="3"/>
  <c r="A126" i="2"/>
  <c r="M126" i="2" s="1"/>
  <c r="N126" i="2" s="1"/>
  <c r="P126" i="2" s="1"/>
  <c r="F122" i="3"/>
  <c r="A125" i="2"/>
  <c r="M125" i="2" s="1"/>
  <c r="N125" i="2" s="1"/>
  <c r="P125" i="2" s="1"/>
  <c r="G122" i="3"/>
  <c r="H122" i="3"/>
  <c r="F121" i="3"/>
  <c r="G121" i="3"/>
  <c r="H121" i="3"/>
  <c r="A124" i="2"/>
  <c r="M124" i="2" s="1"/>
  <c r="N124" i="2" s="1"/>
  <c r="P124" i="2" s="1"/>
  <c r="H120" i="3"/>
  <c r="F120" i="3"/>
  <c r="G120" i="3"/>
  <c r="A123" i="2"/>
  <c r="M123" i="2" s="1"/>
  <c r="N123" i="2" s="1"/>
  <c r="P123" i="2" s="1"/>
  <c r="H119" i="3"/>
  <c r="G119" i="3"/>
  <c r="F119" i="3"/>
  <c r="I119" i="3" s="1"/>
  <c r="A122" i="2"/>
  <c r="M122" i="2" s="1"/>
  <c r="N122" i="2" s="1"/>
  <c r="P122" i="2" s="1"/>
  <c r="G118" i="3"/>
  <c r="A121" i="2"/>
  <c r="M121" i="2" s="1"/>
  <c r="N121" i="2" s="1"/>
  <c r="P121" i="2" s="1"/>
  <c r="F118" i="3"/>
  <c r="H118" i="3"/>
  <c r="G117" i="3"/>
  <c r="A120" i="2"/>
  <c r="M120" i="2" s="1"/>
  <c r="N120" i="2" s="1"/>
  <c r="P120" i="2" s="1"/>
  <c r="H117" i="3"/>
  <c r="F117" i="3"/>
  <c r="I117" i="3" s="1"/>
  <c r="G116" i="3"/>
  <c r="A119" i="2"/>
  <c r="M119" i="2" s="1"/>
  <c r="N119" i="2" s="1"/>
  <c r="P119" i="2" s="1"/>
  <c r="F116" i="3"/>
  <c r="H116" i="3"/>
  <c r="G115" i="3"/>
  <c r="A118" i="2"/>
  <c r="M118" i="2" s="1"/>
  <c r="N118" i="2" s="1"/>
  <c r="P118" i="2" s="1"/>
  <c r="F115" i="3"/>
  <c r="H115" i="3"/>
  <c r="G114" i="3"/>
  <c r="A117" i="2"/>
  <c r="M117" i="2" s="1"/>
  <c r="N117" i="2" s="1"/>
  <c r="P117" i="2" s="1"/>
  <c r="H114" i="3"/>
  <c r="A116" i="2"/>
  <c r="M116" i="2" s="1"/>
  <c r="N116" i="2" s="1"/>
  <c r="P116" i="2" s="1"/>
  <c r="G113" i="3"/>
  <c r="H113" i="3"/>
  <c r="F113" i="3"/>
  <c r="I113" i="3" s="1"/>
  <c r="G112" i="3"/>
  <c r="A115" i="2"/>
  <c r="M115" i="2" s="1"/>
  <c r="N115" i="2" s="1"/>
  <c r="P115" i="2" s="1"/>
  <c r="H112" i="3"/>
  <c r="F112" i="3"/>
  <c r="I112" i="3" s="1"/>
  <c r="F111" i="3"/>
  <c r="H111" i="3"/>
  <c r="G111" i="3"/>
  <c r="A114" i="2"/>
  <c r="M114" i="2" s="1"/>
  <c r="N114" i="2" s="1"/>
  <c r="P114" i="2" s="1"/>
  <c r="F110" i="3"/>
  <c r="H110" i="3"/>
  <c r="G110" i="3"/>
  <c r="A113" i="2"/>
  <c r="M113" i="2" s="1"/>
  <c r="N113" i="2" s="1"/>
  <c r="P113" i="2" s="1"/>
  <c r="F109" i="3"/>
  <c r="H109" i="3"/>
  <c r="A112" i="2"/>
  <c r="M112" i="2" s="1"/>
  <c r="N112" i="2" s="1"/>
  <c r="P112" i="2" s="1"/>
  <c r="G109" i="3"/>
  <c r="F108" i="3"/>
  <c r="G108" i="3"/>
  <c r="A111" i="2"/>
  <c r="M111" i="2" s="1"/>
  <c r="N111" i="2" s="1"/>
  <c r="P111" i="2" s="1"/>
  <c r="F107" i="3"/>
  <c r="G107" i="3"/>
  <c r="H107" i="3"/>
  <c r="A110" i="2"/>
  <c r="M110" i="2" s="1"/>
  <c r="N110" i="2" s="1"/>
  <c r="P110" i="2" s="1"/>
  <c r="F106" i="3"/>
  <c r="H106" i="3"/>
  <c r="G106" i="3"/>
  <c r="A109" i="2"/>
  <c r="M109" i="2" s="1"/>
  <c r="N109" i="2" s="1"/>
  <c r="P109" i="2" s="1"/>
  <c r="F105" i="3"/>
  <c r="H105" i="3"/>
  <c r="G105" i="3"/>
  <c r="A108" i="2"/>
  <c r="M108" i="2" s="1"/>
  <c r="N108" i="2" s="1"/>
  <c r="P108" i="2" s="1"/>
  <c r="F104" i="3"/>
  <c r="H104" i="3"/>
  <c r="G104" i="3"/>
  <c r="A107" i="2"/>
  <c r="M107" i="2" s="1"/>
  <c r="N107" i="2" s="1"/>
  <c r="P107" i="2" s="1"/>
  <c r="H103" i="3"/>
  <c r="G103" i="3"/>
  <c r="F103" i="3"/>
  <c r="I103" i="3" s="1"/>
  <c r="A106" i="2"/>
  <c r="M106" i="2" s="1"/>
  <c r="N106" i="2" s="1"/>
  <c r="P106" i="2" s="1"/>
  <c r="H102" i="3"/>
  <c r="G102" i="3"/>
  <c r="F102" i="3"/>
  <c r="I102" i="3" s="1"/>
  <c r="A105" i="2"/>
  <c r="M105" i="2" s="1"/>
  <c r="N105" i="2" s="1"/>
  <c r="P105" i="2" s="1"/>
  <c r="H101" i="3"/>
  <c r="F101" i="3"/>
  <c r="G101" i="3"/>
  <c r="A104" i="2"/>
  <c r="M104" i="2" s="1"/>
  <c r="N104" i="2" s="1"/>
  <c r="P104" i="2" s="1"/>
  <c r="G100" i="3"/>
  <c r="H100" i="3"/>
  <c r="F100" i="3"/>
  <c r="I100" i="3" s="1"/>
  <c r="A103" i="2"/>
  <c r="M103" i="2" s="1"/>
  <c r="N103" i="2" s="1"/>
  <c r="P103" i="2" s="1"/>
  <c r="F99" i="3"/>
  <c r="H99" i="3"/>
  <c r="G99" i="3"/>
  <c r="A102" i="2"/>
  <c r="M102" i="2" s="1"/>
  <c r="N102" i="2" s="1"/>
  <c r="P102" i="2" s="1"/>
  <c r="F98" i="3"/>
  <c r="I98" i="3" s="1"/>
  <c r="A101" i="2"/>
  <c r="M101" i="2" s="1"/>
  <c r="N101" i="2" s="1"/>
  <c r="P101" i="2" s="1"/>
  <c r="H98" i="3"/>
  <c r="H97" i="3"/>
  <c r="F97" i="3"/>
  <c r="G97" i="3"/>
  <c r="A100" i="2"/>
  <c r="M100" i="2" s="1"/>
  <c r="N100" i="2" s="1"/>
  <c r="P100" i="2" s="1"/>
  <c r="F96" i="3"/>
  <c r="H96" i="3"/>
  <c r="A99" i="2"/>
  <c r="M99" i="2" s="1"/>
  <c r="N99" i="2" s="1"/>
  <c r="P99" i="2" s="1"/>
  <c r="G96" i="3"/>
  <c r="H95" i="3"/>
  <c r="G95" i="3"/>
  <c r="A98" i="2"/>
  <c r="M98" i="2" s="1"/>
  <c r="N98" i="2" s="1"/>
  <c r="P98" i="2" s="1"/>
  <c r="F95" i="3"/>
  <c r="I95" i="3" s="1"/>
  <c r="F94" i="3"/>
  <c r="G94" i="3"/>
  <c r="A97" i="2"/>
  <c r="M97" i="2" s="1"/>
  <c r="N97" i="2" s="1"/>
  <c r="P97" i="2" s="1"/>
  <c r="H94" i="3"/>
  <c r="F93" i="3"/>
  <c r="H93" i="3"/>
  <c r="A96" i="2"/>
  <c r="M96" i="2" s="1"/>
  <c r="N96" i="2" s="1"/>
  <c r="P96" i="2" s="1"/>
  <c r="G93" i="3"/>
  <c r="A95" i="2"/>
  <c r="M95" i="2" s="1"/>
  <c r="N95" i="2" s="1"/>
  <c r="P95" i="2" s="1"/>
  <c r="F92" i="3"/>
  <c r="G92" i="3"/>
  <c r="H92" i="3"/>
  <c r="H91" i="3"/>
  <c r="F91" i="3"/>
  <c r="G91" i="3"/>
  <c r="A94" i="2"/>
  <c r="M94" i="2" s="1"/>
  <c r="N94" i="2" s="1"/>
  <c r="P94" i="2" s="1"/>
  <c r="G90" i="3"/>
  <c r="A93" i="2"/>
  <c r="M93" i="2" s="1"/>
  <c r="N93" i="2" s="1"/>
  <c r="P93" i="2" s="1"/>
  <c r="F90" i="3"/>
  <c r="H90" i="3"/>
  <c r="F89" i="3"/>
  <c r="H89" i="3"/>
  <c r="G89" i="3"/>
  <c r="A92" i="2"/>
  <c r="M92" i="2" s="1"/>
  <c r="N92" i="2" s="1"/>
  <c r="P92" i="2" s="1"/>
  <c r="F88" i="3"/>
  <c r="G88" i="3"/>
  <c r="A91" i="2"/>
  <c r="M91" i="2" s="1"/>
  <c r="N91" i="2" s="1"/>
  <c r="P91" i="2" s="1"/>
  <c r="H88" i="3"/>
  <c r="A90" i="2"/>
  <c r="M90" i="2" s="1"/>
  <c r="N90" i="2" s="1"/>
  <c r="P90" i="2" s="1"/>
  <c r="G87" i="3"/>
  <c r="H87" i="3"/>
  <c r="F87" i="3"/>
  <c r="I87" i="3" s="1"/>
  <c r="H86" i="3"/>
  <c r="F86" i="3"/>
  <c r="G86" i="3"/>
  <c r="A89" i="2"/>
  <c r="M89" i="2" s="1"/>
  <c r="N89" i="2" s="1"/>
  <c r="P89" i="2" s="1"/>
  <c r="A88" i="2"/>
  <c r="M88" i="2" s="1"/>
  <c r="N88" i="2" s="1"/>
  <c r="P88" i="2" s="1"/>
  <c r="H85" i="3"/>
  <c r="G85" i="3"/>
  <c r="F85" i="3"/>
  <c r="I85" i="3" s="1"/>
  <c r="A87" i="2"/>
  <c r="M87" i="2" s="1"/>
  <c r="N87" i="2" s="1"/>
  <c r="P87" i="2" s="1"/>
  <c r="F84" i="3"/>
  <c r="H84" i="3"/>
  <c r="G84" i="3"/>
  <c r="F83" i="3"/>
  <c r="A86" i="2"/>
  <c r="M86" i="2" s="1"/>
  <c r="N86" i="2" s="1"/>
  <c r="P86" i="2" s="1"/>
  <c r="G83" i="3"/>
  <c r="H83" i="3"/>
  <c r="G82" i="3"/>
  <c r="A85" i="2"/>
  <c r="M85" i="2" s="1"/>
  <c r="N85" i="2" s="1"/>
  <c r="P85" i="2" s="1"/>
  <c r="F82" i="3"/>
  <c r="I82" i="3" s="1"/>
  <c r="H82" i="3"/>
  <c r="G81" i="3"/>
  <c r="F81" i="3"/>
  <c r="A84" i="2"/>
  <c r="M84" i="2" s="1"/>
  <c r="N84" i="2" s="1"/>
  <c r="P84" i="2" s="1"/>
  <c r="H81" i="3"/>
  <c r="A83" i="2"/>
  <c r="M83" i="2" s="1"/>
  <c r="N83" i="2" s="1"/>
  <c r="P83" i="2" s="1"/>
  <c r="H80" i="3"/>
  <c r="G80" i="3"/>
  <c r="F80" i="3"/>
  <c r="I80" i="3" s="1"/>
  <c r="F79" i="3"/>
  <c r="G79" i="3"/>
  <c r="A82" i="2"/>
  <c r="M82" i="2" s="1"/>
  <c r="N82" i="2" s="1"/>
  <c r="P82" i="2" s="1"/>
  <c r="H79" i="3"/>
  <c r="H78" i="3"/>
  <c r="F78" i="3"/>
  <c r="A81" i="2"/>
  <c r="M81" i="2" s="1"/>
  <c r="N81" i="2" s="1"/>
  <c r="P81" i="2" s="1"/>
  <c r="G78" i="3"/>
  <c r="H77" i="3"/>
  <c r="F77" i="3"/>
  <c r="A80" i="2"/>
  <c r="M80" i="2" s="1"/>
  <c r="N80" i="2" s="1"/>
  <c r="P80" i="2" s="1"/>
  <c r="G77" i="3"/>
  <c r="G76" i="3"/>
  <c r="F76" i="3"/>
  <c r="A79" i="2"/>
  <c r="M79" i="2" s="1"/>
  <c r="N79" i="2" s="1"/>
  <c r="P79" i="2" s="1"/>
  <c r="H76" i="3"/>
  <c r="F75" i="3"/>
  <c r="H75" i="3"/>
  <c r="A78" i="2"/>
  <c r="M78" i="2" s="1"/>
  <c r="N78" i="2" s="1"/>
  <c r="P78" i="2" s="1"/>
  <c r="G75" i="3"/>
  <c r="F74" i="3"/>
  <c r="H74" i="3"/>
  <c r="G74" i="3"/>
  <c r="A77" i="2"/>
  <c r="M77" i="2" s="1"/>
  <c r="N77" i="2" s="1"/>
  <c r="P77" i="2" s="1"/>
  <c r="H73" i="3"/>
  <c r="A76" i="2"/>
  <c r="M76" i="2" s="1"/>
  <c r="N76" i="2" s="1"/>
  <c r="P76" i="2" s="1"/>
  <c r="F73" i="3"/>
  <c r="G73" i="3"/>
  <c r="H72" i="3"/>
  <c r="F72" i="3"/>
  <c r="G72" i="3"/>
  <c r="A75" i="2"/>
  <c r="M75" i="2" s="1"/>
  <c r="N75" i="2" s="1"/>
  <c r="P75" i="2" s="1"/>
  <c r="F71" i="3"/>
  <c r="G71" i="3"/>
  <c r="H71" i="3"/>
  <c r="A74" i="2"/>
  <c r="M74" i="2" s="1"/>
  <c r="N74" i="2" s="1"/>
  <c r="P74" i="2" s="1"/>
  <c r="F70" i="3"/>
  <c r="G70" i="3"/>
  <c r="H70" i="3"/>
  <c r="A73" i="2"/>
  <c r="M73" i="2" s="1"/>
  <c r="N73" i="2" s="1"/>
  <c r="P73" i="2" s="1"/>
  <c r="H69" i="3"/>
  <c r="A72" i="2"/>
  <c r="M72" i="2" s="1"/>
  <c r="N72" i="2" s="1"/>
  <c r="P72" i="2" s="1"/>
  <c r="F69" i="3"/>
  <c r="G69" i="3"/>
  <c r="F68" i="3"/>
  <c r="G68" i="3"/>
  <c r="H68" i="3"/>
  <c r="A71" i="2"/>
  <c r="M71" i="2" s="1"/>
  <c r="N71" i="2" s="1"/>
  <c r="P71" i="2" s="1"/>
  <c r="H67" i="3"/>
  <c r="F67" i="3"/>
  <c r="G67" i="3"/>
  <c r="A70" i="2"/>
  <c r="M70" i="2" s="1"/>
  <c r="N70" i="2" s="1"/>
  <c r="P70" i="2" s="1"/>
  <c r="F66" i="3"/>
  <c r="G66" i="3"/>
  <c r="H66" i="3"/>
  <c r="A69" i="2"/>
  <c r="M69" i="2" s="1"/>
  <c r="N69" i="2" s="1"/>
  <c r="P69" i="2" s="1"/>
  <c r="F65" i="3"/>
  <c r="H65" i="3"/>
  <c r="G65" i="3"/>
  <c r="A68" i="2"/>
  <c r="M68" i="2" s="1"/>
  <c r="N68" i="2" s="1"/>
  <c r="P68" i="2" s="1"/>
  <c r="H64" i="3"/>
  <c r="G64" i="3"/>
  <c r="F64" i="3"/>
  <c r="A67" i="2"/>
  <c r="M67" i="2" s="1"/>
  <c r="N67" i="2" s="1"/>
  <c r="P67" i="2" s="1"/>
  <c r="H63" i="3"/>
  <c r="F63" i="3"/>
  <c r="G63" i="3"/>
  <c r="A66" i="2"/>
  <c r="M66" i="2" s="1"/>
  <c r="N66" i="2" s="1"/>
  <c r="P66" i="2" s="1"/>
  <c r="H62" i="3"/>
  <c r="F62" i="3"/>
  <c r="G62" i="3"/>
  <c r="A65" i="2"/>
  <c r="M65" i="2" s="1"/>
  <c r="N65" i="2" s="1"/>
  <c r="P65" i="2" s="1"/>
  <c r="H61" i="3"/>
  <c r="G61" i="3"/>
  <c r="F61" i="3"/>
  <c r="I61" i="3" s="1"/>
  <c r="A64" i="2"/>
  <c r="M64" i="2" s="1"/>
  <c r="N64" i="2" s="1"/>
  <c r="P64" i="2" s="1"/>
  <c r="F60" i="3"/>
  <c r="G60" i="3"/>
  <c r="H60" i="3"/>
  <c r="A63" i="2"/>
  <c r="M63" i="2" s="1"/>
  <c r="N63" i="2" s="1"/>
  <c r="P63" i="2" s="1"/>
  <c r="F59" i="3"/>
  <c r="G59" i="3"/>
  <c r="H59" i="3"/>
  <c r="A62" i="2"/>
  <c r="M62" i="2" s="1"/>
  <c r="N62" i="2" s="1"/>
  <c r="P62" i="2" s="1"/>
  <c r="G58" i="3"/>
  <c r="H58" i="3"/>
  <c r="F58" i="3"/>
  <c r="A61" i="2"/>
  <c r="M61" i="2" s="1"/>
  <c r="N61" i="2" s="1"/>
  <c r="P61" i="2" s="1"/>
  <c r="A60" i="2"/>
  <c r="M60" i="2" s="1"/>
  <c r="N60" i="2" s="1"/>
  <c r="P60" i="2" s="1"/>
  <c r="G57" i="3"/>
  <c r="H57" i="3"/>
  <c r="F57" i="3"/>
  <c r="I57" i="3" s="1"/>
  <c r="A59" i="2"/>
  <c r="M59" i="2" s="1"/>
  <c r="N59" i="2" s="1"/>
  <c r="P59" i="2" s="1"/>
  <c r="F56" i="3"/>
  <c r="H56" i="3"/>
  <c r="G56" i="3"/>
  <c r="A58" i="2"/>
  <c r="M58" i="2" s="1"/>
  <c r="N58" i="2" s="1"/>
  <c r="P58" i="2" s="1"/>
  <c r="G55" i="3"/>
  <c r="F55" i="3"/>
  <c r="H55" i="3"/>
  <c r="A57" i="2"/>
  <c r="M57" i="2" s="1"/>
  <c r="N57" i="2" s="1"/>
  <c r="P57" i="2" s="1"/>
  <c r="F54" i="3"/>
  <c r="G54" i="3"/>
  <c r="H54" i="3"/>
  <c r="F53" i="3"/>
  <c r="G53" i="3"/>
  <c r="A56" i="2"/>
  <c r="M56" i="2" s="1"/>
  <c r="N56" i="2" s="1"/>
  <c r="P56" i="2" s="1"/>
  <c r="H53" i="3"/>
  <c r="F52" i="3"/>
  <c r="H52" i="3"/>
  <c r="A55" i="2"/>
  <c r="M55" i="2" s="1"/>
  <c r="N55" i="2" s="1"/>
  <c r="P55" i="2" s="1"/>
  <c r="G52" i="3"/>
  <c r="H51" i="3"/>
  <c r="G51" i="3"/>
  <c r="A54" i="2"/>
  <c r="M54" i="2" s="1"/>
  <c r="N54" i="2" s="1"/>
  <c r="P54" i="2" s="1"/>
  <c r="F51" i="3"/>
  <c r="I51" i="3" s="1"/>
  <c r="A53" i="2"/>
  <c r="M53" i="2" s="1"/>
  <c r="N53" i="2" s="1"/>
  <c r="P53" i="2" s="1"/>
  <c r="F50" i="3"/>
  <c r="G50" i="3"/>
  <c r="H50" i="3"/>
  <c r="F49" i="3"/>
  <c r="H49" i="3"/>
  <c r="A52" i="2"/>
  <c r="M52" i="2" s="1"/>
  <c r="N52" i="2" s="1"/>
  <c r="P52" i="2" s="1"/>
  <c r="G49" i="3"/>
  <c r="H48" i="3"/>
  <c r="F48" i="3"/>
  <c r="A51" i="2"/>
  <c r="M51" i="2" s="1"/>
  <c r="N51" i="2" s="1"/>
  <c r="P51" i="2" s="1"/>
  <c r="G48" i="3"/>
  <c r="G47" i="3"/>
  <c r="A50" i="2"/>
  <c r="M50" i="2" s="1"/>
  <c r="N50" i="2" s="1"/>
  <c r="P50" i="2" s="1"/>
  <c r="F47" i="3"/>
  <c r="I47" i="3" s="1"/>
  <c r="H47" i="3"/>
  <c r="F46" i="3"/>
  <c r="G46" i="3"/>
  <c r="H46" i="3"/>
  <c r="A49" i="2"/>
  <c r="M49" i="2" s="1"/>
  <c r="N49" i="2" s="1"/>
  <c r="P49" i="2" s="1"/>
  <c r="F45" i="3"/>
  <c r="G45" i="3"/>
  <c r="A48" i="2"/>
  <c r="M48" i="2" s="1"/>
  <c r="N48" i="2" s="1"/>
  <c r="P48" i="2" s="1"/>
  <c r="F44" i="3"/>
  <c r="G44" i="3"/>
  <c r="H44" i="3"/>
  <c r="A47" i="2"/>
  <c r="M47" i="2" s="1"/>
  <c r="N47" i="2" s="1"/>
  <c r="P47" i="2" s="1"/>
  <c r="H43" i="3"/>
  <c r="F43" i="3"/>
  <c r="I43" i="3" s="1"/>
  <c r="G43" i="3"/>
  <c r="A46" i="2"/>
  <c r="M46" i="2" s="1"/>
  <c r="N46" i="2" s="1"/>
  <c r="P46" i="2" s="1"/>
  <c r="A45" i="2"/>
  <c r="M45" i="2" s="1"/>
  <c r="N45" i="2" s="1"/>
  <c r="P45" i="2" s="1"/>
  <c r="F42" i="3"/>
  <c r="H42" i="3"/>
  <c r="G42" i="3"/>
  <c r="G41" i="3"/>
  <c r="F41" i="3"/>
  <c r="H41" i="3"/>
  <c r="A44" i="2"/>
  <c r="M44" i="2" s="1"/>
  <c r="N44" i="2" s="1"/>
  <c r="P44" i="2" s="1"/>
  <c r="F40" i="3"/>
  <c r="A43" i="2"/>
  <c r="M43" i="2" s="1"/>
  <c r="N43" i="2" s="1"/>
  <c r="P43" i="2" s="1"/>
  <c r="H40" i="3"/>
  <c r="G40" i="3"/>
  <c r="A42" i="2"/>
  <c r="M42" i="2" s="1"/>
  <c r="N42" i="2" s="1"/>
  <c r="P42" i="2" s="1"/>
  <c r="F39" i="3"/>
  <c r="G39" i="3"/>
  <c r="H39" i="3"/>
  <c r="G38" i="3"/>
  <c r="H38" i="3"/>
  <c r="A41" i="2"/>
  <c r="M41" i="2" s="1"/>
  <c r="N41" i="2" s="1"/>
  <c r="P41" i="2" s="1"/>
  <c r="F38" i="3"/>
  <c r="I38" i="3" s="1"/>
  <c r="H37" i="3"/>
  <c r="F37" i="3"/>
  <c r="G37" i="3"/>
  <c r="A40" i="2"/>
  <c r="M40" i="2" s="1"/>
  <c r="N40" i="2" s="1"/>
  <c r="P40" i="2" s="1"/>
  <c r="G36" i="3"/>
  <c r="F36" i="3"/>
  <c r="H36" i="3"/>
  <c r="A39" i="2"/>
  <c r="M39" i="2" s="1"/>
  <c r="N39" i="2" s="1"/>
  <c r="P39" i="2" s="1"/>
  <c r="A38" i="2"/>
  <c r="M38" i="2" s="1"/>
  <c r="N38" i="2" s="1"/>
  <c r="P38" i="2" s="1"/>
  <c r="F35" i="3"/>
  <c r="G35" i="3"/>
  <c r="H35" i="3"/>
  <c r="H34" i="3"/>
  <c r="G34" i="3"/>
  <c r="F34" i="3"/>
  <c r="I34" i="3" s="1"/>
  <c r="A37" i="2"/>
  <c r="M37" i="2" s="1"/>
  <c r="N37" i="2" s="1"/>
  <c r="P37" i="2" s="1"/>
  <c r="A36" i="2"/>
  <c r="M36" i="2" s="1"/>
  <c r="N36" i="2" s="1"/>
  <c r="P36" i="2" s="1"/>
  <c r="F33" i="3"/>
  <c r="H33" i="3"/>
  <c r="G33" i="3"/>
  <c r="F32" i="3"/>
  <c r="I32" i="3" s="1"/>
  <c r="A35" i="2"/>
  <c r="M35" i="2" s="1"/>
  <c r="N35" i="2" s="1"/>
  <c r="P35" i="2" s="1"/>
  <c r="G32" i="3"/>
  <c r="H32" i="3"/>
  <c r="H31" i="3"/>
  <c r="F31" i="3"/>
  <c r="G31" i="3"/>
  <c r="A34" i="2"/>
  <c r="M34" i="2" s="1"/>
  <c r="N34" i="2" s="1"/>
  <c r="P34" i="2" s="1"/>
  <c r="A33" i="2"/>
  <c r="M33" i="2" s="1"/>
  <c r="N33" i="2" s="1"/>
  <c r="P33" i="2" s="1"/>
  <c r="F30" i="3"/>
  <c r="G30" i="3"/>
  <c r="H30" i="3"/>
  <c r="A32" i="2"/>
  <c r="M32" i="2" s="1"/>
  <c r="N32" i="2" s="1"/>
  <c r="P32" i="2" s="1"/>
  <c r="G29" i="3"/>
  <c r="H29" i="3"/>
  <c r="F29" i="3"/>
  <c r="I29" i="3" s="1"/>
  <c r="A31" i="2"/>
  <c r="M31" i="2" s="1"/>
  <c r="N31" i="2" s="1"/>
  <c r="P31" i="2" s="1"/>
  <c r="H28" i="3"/>
  <c r="F28" i="3"/>
  <c r="G28" i="3"/>
  <c r="H27" i="3"/>
  <c r="G27" i="3"/>
  <c r="A30" i="2"/>
  <c r="M30" i="2" s="1"/>
  <c r="N30" i="2" s="1"/>
  <c r="P30" i="2" s="1"/>
  <c r="F27" i="3"/>
  <c r="I27" i="3" s="1"/>
  <c r="A29" i="2"/>
  <c r="M29" i="2" s="1"/>
  <c r="N29" i="2" s="1"/>
  <c r="P29" i="2" s="1"/>
  <c r="G26" i="3"/>
  <c r="H26" i="3"/>
  <c r="F26" i="3"/>
  <c r="I26" i="3" s="1"/>
  <c r="F25" i="3"/>
  <c r="H25" i="3"/>
  <c r="G25" i="3"/>
  <c r="A28" i="2"/>
  <c r="M28" i="2" s="1"/>
  <c r="N28" i="2" s="1"/>
  <c r="P28" i="2" s="1"/>
  <c r="H24" i="3"/>
  <c r="F24" i="3"/>
  <c r="G24" i="3"/>
  <c r="A27" i="2"/>
  <c r="M27" i="2" s="1"/>
  <c r="N27" i="2" s="1"/>
  <c r="P27" i="2" s="1"/>
  <c r="H23" i="3"/>
  <c r="G23" i="3"/>
  <c r="F23" i="3"/>
  <c r="I23" i="3" s="1"/>
  <c r="A26" i="2"/>
  <c r="M26" i="2" s="1"/>
  <c r="N26" i="2" s="1"/>
  <c r="P26" i="2" s="1"/>
  <c r="G22" i="3"/>
  <c r="F22" i="3"/>
  <c r="A25" i="2"/>
  <c r="M25" i="2" s="1"/>
  <c r="N25" i="2" s="1"/>
  <c r="P25" i="2" s="1"/>
  <c r="H22" i="3"/>
  <c r="F21" i="3"/>
  <c r="G21" i="3"/>
  <c r="H21" i="3"/>
  <c r="A24" i="2"/>
  <c r="M24" i="2" s="1"/>
  <c r="N24" i="2" s="1"/>
  <c r="P24" i="2" s="1"/>
  <c r="G20" i="3"/>
  <c r="A23" i="2"/>
  <c r="M23" i="2" s="1"/>
  <c r="N23" i="2" s="1"/>
  <c r="P23" i="2" s="1"/>
  <c r="H20" i="3"/>
  <c r="F20" i="3"/>
  <c r="I20" i="3" s="1"/>
  <c r="H19" i="3"/>
  <c r="G19" i="3"/>
  <c r="F19" i="3"/>
  <c r="I19" i="3" s="1"/>
  <c r="A22" i="2"/>
  <c r="M22" i="2" s="1"/>
  <c r="N22" i="2" s="1"/>
  <c r="P22" i="2" s="1"/>
  <c r="H18" i="3"/>
  <c r="G18" i="3"/>
  <c r="F18" i="3"/>
  <c r="I18" i="3" s="1"/>
  <c r="A21" i="2"/>
  <c r="M21" i="2" s="1"/>
  <c r="N21" i="2" s="1"/>
  <c r="P21" i="2" s="1"/>
  <c r="F17" i="3"/>
  <c r="G17" i="3"/>
  <c r="H17" i="3"/>
  <c r="A20" i="2"/>
  <c r="M20" i="2" s="1"/>
  <c r="N20" i="2" s="1"/>
  <c r="P20" i="2" s="1"/>
  <c r="H16" i="3"/>
  <c r="F16" i="3"/>
  <c r="G16" i="3"/>
  <c r="A19" i="2"/>
  <c r="M19" i="2" s="1"/>
  <c r="N19" i="2" s="1"/>
  <c r="P19" i="2" s="1"/>
  <c r="F15" i="3"/>
  <c r="G15" i="3"/>
  <c r="H15" i="3"/>
  <c r="A18" i="2"/>
  <c r="M18" i="2" s="1"/>
  <c r="N18" i="2" s="1"/>
  <c r="P18" i="2" s="1"/>
  <c r="H14" i="3"/>
  <c r="G14" i="3"/>
  <c r="F14" i="3"/>
  <c r="I14" i="3" s="1"/>
  <c r="A17" i="2"/>
  <c r="M17" i="2" s="1"/>
  <c r="N17" i="2" s="1"/>
  <c r="P17" i="2" s="1"/>
  <c r="F13" i="3"/>
  <c r="G13" i="3"/>
  <c r="H13" i="3"/>
  <c r="A16" i="2"/>
  <c r="M16" i="2" s="1"/>
  <c r="N16" i="2" s="1"/>
  <c r="P16" i="2" s="1"/>
  <c r="F12" i="3"/>
  <c r="G12" i="3"/>
  <c r="H12" i="3"/>
  <c r="A15" i="2"/>
  <c r="M15" i="2" s="1"/>
  <c r="N15" i="2" s="1"/>
  <c r="P15" i="2" s="1"/>
  <c r="F11" i="3"/>
  <c r="G11" i="3"/>
  <c r="H11" i="3"/>
  <c r="A14" i="2"/>
  <c r="M14" i="2" s="1"/>
  <c r="N14" i="2" s="1"/>
  <c r="P14" i="2" s="1"/>
  <c r="G10" i="3"/>
  <c r="H10" i="3"/>
  <c r="F10" i="3"/>
  <c r="I10" i="3" s="1"/>
  <c r="A13" i="2"/>
  <c r="M13" i="2" s="1"/>
  <c r="N13" i="2" s="1"/>
  <c r="P13" i="2" s="1"/>
  <c r="F9" i="3"/>
  <c r="H9" i="3"/>
  <c r="G9" i="3"/>
  <c r="A12" i="2"/>
  <c r="M12" i="2" s="1"/>
  <c r="N12" i="2" s="1"/>
  <c r="P12" i="2" s="1"/>
  <c r="G8" i="3"/>
  <c r="H8" i="3"/>
  <c r="F8" i="3"/>
  <c r="I8" i="3" s="1"/>
  <c r="A11" i="2"/>
  <c r="M11" i="2" s="1"/>
  <c r="N11" i="2" s="1"/>
  <c r="P11" i="2" s="1"/>
  <c r="G7" i="3"/>
  <c r="H7" i="3"/>
  <c r="F7" i="3"/>
  <c r="I7" i="3" s="1"/>
  <c r="A10" i="2"/>
  <c r="M10" i="2" s="1"/>
  <c r="N10" i="2" s="1"/>
  <c r="P10" i="2" s="1"/>
  <c r="A9" i="2"/>
  <c r="M9" i="2" s="1"/>
  <c r="N9" i="2" s="1"/>
  <c r="P9" i="2" s="1"/>
  <c r="G6" i="3"/>
  <c r="H6" i="3"/>
  <c r="F6" i="3"/>
  <c r="E10" i="2"/>
  <c r="F9" i="2"/>
  <c r="G9" i="2" s="1"/>
  <c r="I9" i="2" s="1"/>
  <c r="J9" i="2"/>
  <c r="I10" i="1" l="1"/>
  <c r="G10" i="1"/>
  <c r="H10" i="1" s="1"/>
  <c r="G9" i="1"/>
  <c r="H9" i="1" s="1"/>
  <c r="I9" i="1"/>
  <c r="I8" i="1"/>
  <c r="G8" i="1"/>
  <c r="N8" i="1"/>
  <c r="J124" i="3"/>
  <c r="K124" i="3"/>
  <c r="J119" i="3"/>
  <c r="K119" i="3"/>
  <c r="J117" i="3"/>
  <c r="K117" i="3"/>
  <c r="J113" i="3"/>
  <c r="K113" i="3"/>
  <c r="J112" i="3"/>
  <c r="K112" i="3"/>
  <c r="J103" i="3"/>
  <c r="K103" i="3"/>
  <c r="J102" i="3"/>
  <c r="K102" i="3"/>
  <c r="J100" i="3"/>
  <c r="K100" i="3"/>
  <c r="J98" i="3"/>
  <c r="K98" i="3"/>
  <c r="K95" i="3"/>
  <c r="J95" i="3"/>
  <c r="J87" i="3"/>
  <c r="K87" i="3"/>
  <c r="K85" i="3"/>
  <c r="J85" i="3"/>
  <c r="J82" i="3"/>
  <c r="K82" i="3"/>
  <c r="K80" i="3"/>
  <c r="J80" i="3"/>
  <c r="K61" i="3"/>
  <c r="J61" i="3"/>
  <c r="K57" i="3"/>
  <c r="J57" i="3"/>
  <c r="K51" i="3"/>
  <c r="J51" i="3"/>
  <c r="K47" i="3"/>
  <c r="J47" i="3"/>
  <c r="J43" i="3"/>
  <c r="K43" i="3"/>
  <c r="K38" i="3"/>
  <c r="J38" i="3"/>
  <c r="J34" i="3"/>
  <c r="K34" i="3"/>
  <c r="J32" i="3"/>
  <c r="K32" i="3"/>
  <c r="K29" i="3"/>
  <c r="J29" i="3"/>
  <c r="J27" i="3"/>
  <c r="K27" i="3"/>
  <c r="K26" i="3"/>
  <c r="J26" i="3"/>
  <c r="K23" i="3"/>
  <c r="J23" i="3"/>
  <c r="J20" i="3"/>
  <c r="K20" i="3"/>
  <c r="K19" i="3"/>
  <c r="J19" i="3"/>
  <c r="J18" i="3"/>
  <c r="K18" i="3"/>
  <c r="J14" i="3"/>
  <c r="K14" i="3"/>
  <c r="J10" i="3"/>
  <c r="K10" i="3"/>
  <c r="J8" i="3"/>
  <c r="K8" i="3"/>
  <c r="J7" i="3"/>
  <c r="K7" i="3"/>
  <c r="Q9" i="2"/>
  <c r="R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94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K4" i="2"/>
  <c r="F10" i="2"/>
  <c r="G10" i="2" s="1"/>
  <c r="I10" i="2" s="1"/>
  <c r="J10" i="2" s="1"/>
  <c r="E11" i="2"/>
  <c r="K9" i="2"/>
  <c r="L9" i="2"/>
  <c r="B6" i="3"/>
  <c r="I108" i="3"/>
  <c r="I107" i="3"/>
  <c r="I91" i="3"/>
  <c r="I90" i="3"/>
  <c r="I66" i="3"/>
  <c r="I59" i="3"/>
  <c r="I42" i="3"/>
  <c r="M16" i="1"/>
  <c r="I125" i="3"/>
  <c r="I115" i="3"/>
  <c r="I114" i="3"/>
  <c r="I110" i="3"/>
  <c r="I109" i="3"/>
  <c r="I64" i="3"/>
  <c r="I62" i="3"/>
  <c r="I58" i="3"/>
  <c r="I48" i="3"/>
  <c r="I36" i="3"/>
  <c r="I22" i="3"/>
  <c r="I6" i="3"/>
  <c r="I120" i="3"/>
  <c r="I111" i="3"/>
  <c r="I99" i="3"/>
  <c r="I81" i="3"/>
  <c r="I77" i="3"/>
  <c r="I37" i="3"/>
  <c r="I123" i="3"/>
  <c r="I122" i="3"/>
  <c r="I121" i="3"/>
  <c r="I118" i="3"/>
  <c r="I97" i="3"/>
  <c r="I83" i="3"/>
  <c r="I65" i="3"/>
  <c r="I54" i="3"/>
  <c r="I49" i="3"/>
  <c r="I33" i="3"/>
  <c r="I96" i="3"/>
  <c r="I88" i="3"/>
  <c r="I84" i="3"/>
  <c r="I44" i="3"/>
  <c r="I41" i="3"/>
  <c r="I116" i="3"/>
  <c r="I79" i="3"/>
  <c r="I78" i="3"/>
  <c r="I60" i="3"/>
  <c r="I53" i="3"/>
  <c r="I50" i="3"/>
  <c r="I106" i="3"/>
  <c r="I105" i="3"/>
  <c r="I104" i="3"/>
  <c r="I101" i="3"/>
  <c r="I89" i="3"/>
  <c r="I76" i="3"/>
  <c r="I35" i="3"/>
  <c r="I94" i="3"/>
  <c r="I93" i="3"/>
  <c r="I92" i="3"/>
  <c r="I86" i="3"/>
  <c r="I75" i="3"/>
  <c r="I63" i="3"/>
  <c r="I56" i="3"/>
  <c r="I55" i="3"/>
  <c r="I74" i="3"/>
  <c r="I73" i="3"/>
  <c r="I72" i="3"/>
  <c r="I71" i="3"/>
  <c r="I70" i="3"/>
  <c r="I69" i="3"/>
  <c r="I68" i="3"/>
  <c r="I67" i="3"/>
  <c r="I52" i="3"/>
  <c r="I46" i="3"/>
  <c r="I45" i="3"/>
  <c r="I40" i="3"/>
  <c r="I39" i="3"/>
  <c r="I31" i="3"/>
  <c r="I30" i="3"/>
  <c r="I28" i="3"/>
  <c r="I25" i="3"/>
  <c r="I24" i="3"/>
  <c r="I21" i="3"/>
  <c r="I17" i="3"/>
  <c r="I16" i="3"/>
  <c r="I15" i="3"/>
  <c r="I13" i="3"/>
  <c r="I12" i="3"/>
  <c r="I11" i="3"/>
  <c r="I9" i="3"/>
  <c r="I12" i="1" l="1"/>
  <c r="J8" i="1"/>
  <c r="R10" i="2"/>
  <c r="Q10" i="2"/>
  <c r="R11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94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N4" i="2"/>
  <c r="C30" i="1" s="1"/>
  <c r="C29" i="1"/>
  <c r="F11" i="2"/>
  <c r="G11" i="2" s="1"/>
  <c r="I11" i="2" s="1"/>
  <c r="J11" i="2" s="1"/>
  <c r="E12" i="2"/>
  <c r="C6" i="3"/>
  <c r="D6" i="3"/>
  <c r="E6" i="3"/>
  <c r="K108" i="3"/>
  <c r="J108" i="3"/>
  <c r="J107" i="3"/>
  <c r="K107" i="3"/>
  <c r="J91" i="3"/>
  <c r="K91" i="3"/>
  <c r="K90" i="3"/>
  <c r="J90" i="3"/>
  <c r="K66" i="3"/>
  <c r="J66" i="3"/>
  <c r="J59" i="3"/>
  <c r="K59" i="3"/>
  <c r="J42" i="3"/>
  <c r="K42" i="3"/>
  <c r="J125" i="3"/>
  <c r="K125" i="3"/>
  <c r="K115" i="3"/>
  <c r="J115" i="3"/>
  <c r="K114" i="3"/>
  <c r="J114" i="3"/>
  <c r="K110" i="3"/>
  <c r="J110" i="3"/>
  <c r="J109" i="3"/>
  <c r="K109" i="3"/>
  <c r="J64" i="3"/>
  <c r="K64" i="3"/>
  <c r="K62" i="3"/>
  <c r="J62" i="3"/>
  <c r="J58" i="3"/>
  <c r="K58" i="3"/>
  <c r="K48" i="3"/>
  <c r="J48" i="3"/>
  <c r="K36" i="3"/>
  <c r="J36" i="3"/>
  <c r="K22" i="3"/>
  <c r="J22" i="3"/>
  <c r="K6" i="3"/>
  <c r="J6" i="3"/>
  <c r="K120" i="3"/>
  <c r="J120" i="3"/>
  <c r="K111" i="3"/>
  <c r="J111" i="3"/>
  <c r="K99" i="3"/>
  <c r="J99" i="3"/>
  <c r="K81" i="3"/>
  <c r="J81" i="3"/>
  <c r="K77" i="3"/>
  <c r="J77" i="3"/>
  <c r="K37" i="3"/>
  <c r="J37" i="3"/>
  <c r="J123" i="3"/>
  <c r="K123" i="3"/>
  <c r="J122" i="3"/>
  <c r="K122" i="3"/>
  <c r="J121" i="3"/>
  <c r="K121" i="3"/>
  <c r="K118" i="3"/>
  <c r="J118" i="3"/>
  <c r="J97" i="3"/>
  <c r="K97" i="3"/>
  <c r="J83" i="3"/>
  <c r="K83" i="3"/>
  <c r="J65" i="3"/>
  <c r="K65" i="3"/>
  <c r="J54" i="3"/>
  <c r="K54" i="3"/>
  <c r="K49" i="3"/>
  <c r="J49" i="3"/>
  <c r="K33" i="3"/>
  <c r="J33" i="3"/>
  <c r="J96" i="3"/>
  <c r="K96" i="3"/>
  <c r="J88" i="3"/>
  <c r="K88" i="3"/>
  <c r="K84" i="3"/>
  <c r="J84" i="3"/>
  <c r="J44" i="3"/>
  <c r="K44" i="3"/>
  <c r="J41" i="3"/>
  <c r="K41" i="3"/>
  <c r="K116" i="3"/>
  <c r="J116" i="3"/>
  <c r="J79" i="3"/>
  <c r="K79" i="3"/>
  <c r="J78" i="3"/>
  <c r="K78" i="3"/>
  <c r="J60" i="3"/>
  <c r="K60" i="3"/>
  <c r="J53" i="3"/>
  <c r="K53" i="3"/>
  <c r="K50" i="3"/>
  <c r="J50" i="3"/>
  <c r="J106" i="3"/>
  <c r="K106" i="3"/>
  <c r="K105" i="3"/>
  <c r="J105" i="3"/>
  <c r="J104" i="3"/>
  <c r="K104" i="3"/>
  <c r="J101" i="3"/>
  <c r="K101" i="3"/>
  <c r="J89" i="3"/>
  <c r="K89" i="3"/>
  <c r="J76" i="3"/>
  <c r="K76" i="3"/>
  <c r="J35" i="3"/>
  <c r="K35" i="3"/>
  <c r="J94" i="3"/>
  <c r="K94" i="3"/>
  <c r="J93" i="3"/>
  <c r="K93" i="3"/>
  <c r="K92" i="3"/>
  <c r="J92" i="3"/>
  <c r="J86" i="3"/>
  <c r="K86" i="3"/>
  <c r="J75" i="3"/>
  <c r="K75" i="3"/>
  <c r="K63" i="3"/>
  <c r="J63" i="3"/>
  <c r="J56" i="3"/>
  <c r="K56" i="3"/>
  <c r="J55" i="3"/>
  <c r="K55" i="3"/>
  <c r="J74" i="3"/>
  <c r="K74" i="3"/>
  <c r="J73" i="3"/>
  <c r="K73" i="3"/>
  <c r="K72" i="3"/>
  <c r="J72" i="3"/>
  <c r="J71" i="3"/>
  <c r="K71" i="3"/>
  <c r="K70" i="3"/>
  <c r="J70" i="3"/>
  <c r="K69" i="3"/>
  <c r="J69" i="3"/>
  <c r="K68" i="3"/>
  <c r="J68" i="3"/>
  <c r="J67" i="3"/>
  <c r="K67" i="3"/>
  <c r="J52" i="3"/>
  <c r="K52" i="3"/>
  <c r="K46" i="3"/>
  <c r="J46" i="3"/>
  <c r="J45" i="3"/>
  <c r="K45" i="3"/>
  <c r="J40" i="3"/>
  <c r="K40" i="3"/>
  <c r="K39" i="3"/>
  <c r="J39" i="3"/>
  <c r="J31" i="3"/>
  <c r="K31" i="3"/>
  <c r="K30" i="3"/>
  <c r="J30" i="3"/>
  <c r="J28" i="3"/>
  <c r="K28" i="3"/>
  <c r="K25" i="3"/>
  <c r="J25" i="3"/>
  <c r="J24" i="3"/>
  <c r="K24" i="3"/>
  <c r="K21" i="3"/>
  <c r="J21" i="3"/>
  <c r="K17" i="3"/>
  <c r="J17" i="3"/>
  <c r="K16" i="3"/>
  <c r="J16" i="3"/>
  <c r="K15" i="3"/>
  <c r="J15" i="3"/>
  <c r="K13" i="3"/>
  <c r="J13" i="3"/>
  <c r="K12" i="3"/>
  <c r="J12" i="3"/>
  <c r="K11" i="3"/>
  <c r="J11" i="3"/>
  <c r="K9" i="3"/>
  <c r="J9" i="3"/>
  <c r="J9" i="1"/>
  <c r="K9" i="1" s="1"/>
  <c r="J10" i="1"/>
  <c r="K10" i="1" s="1"/>
  <c r="G12" i="1"/>
  <c r="H8" i="1"/>
  <c r="L10" i="2"/>
  <c r="K10" i="2"/>
  <c r="B7" i="3"/>
  <c r="L9" i="1" l="1"/>
  <c r="M9" i="1" s="1"/>
  <c r="L10" i="1"/>
  <c r="M10" i="1" s="1"/>
  <c r="E14" i="1"/>
  <c r="L8" i="1"/>
  <c r="M8" i="1" s="1"/>
  <c r="J12" i="1"/>
  <c r="K12" i="1" s="1"/>
  <c r="K8" i="1"/>
  <c r="B8" i="3"/>
  <c r="L11" i="2"/>
  <c r="K11" i="2"/>
  <c r="F12" i="2"/>
  <c r="E13" i="2"/>
  <c r="E7" i="3"/>
  <c r="D7" i="3"/>
  <c r="C7" i="3"/>
  <c r="C8" i="3" l="1"/>
  <c r="D8" i="3"/>
  <c r="E8" i="3"/>
  <c r="R12" i="2"/>
  <c r="G12" i="2"/>
  <c r="I12" i="2" s="1"/>
  <c r="J12" i="2" s="1"/>
  <c r="F13" i="2"/>
  <c r="E14" i="2"/>
  <c r="B9" i="3" l="1"/>
  <c r="L12" i="2"/>
  <c r="K12" i="2"/>
  <c r="R13" i="2"/>
  <c r="G13" i="2"/>
  <c r="I13" i="2" s="1"/>
  <c r="J13" i="2" s="1"/>
  <c r="F14" i="2"/>
  <c r="E15" i="2"/>
  <c r="C9" i="3" l="1"/>
  <c r="D9" i="3"/>
  <c r="E9" i="3"/>
  <c r="B10" i="3"/>
  <c r="L13" i="2"/>
  <c r="K13" i="2"/>
  <c r="R14" i="2"/>
  <c r="G14" i="2"/>
  <c r="I14" i="2" s="1"/>
  <c r="J14" i="2" s="1"/>
  <c r="F15" i="2"/>
  <c r="E16" i="2"/>
  <c r="C10" i="3" l="1"/>
  <c r="D10" i="3"/>
  <c r="E10" i="3"/>
  <c r="B11" i="3"/>
  <c r="L14" i="2"/>
  <c r="K14" i="2"/>
  <c r="R15" i="2"/>
  <c r="G15" i="2"/>
  <c r="I15" i="2" s="1"/>
  <c r="J15" i="2" s="1"/>
  <c r="F16" i="2"/>
  <c r="E17" i="2"/>
  <c r="C11" i="3" l="1"/>
  <c r="D11" i="3"/>
  <c r="E11" i="3"/>
  <c r="B12" i="3"/>
  <c r="L15" i="2"/>
  <c r="K15" i="2"/>
  <c r="R16" i="2"/>
  <c r="G16" i="2"/>
  <c r="I16" i="2" s="1"/>
  <c r="J16" i="2" s="1"/>
  <c r="F17" i="2"/>
  <c r="E18" i="2"/>
  <c r="C12" i="3" l="1"/>
  <c r="D12" i="3"/>
  <c r="E12" i="3"/>
  <c r="B13" i="3"/>
  <c r="L16" i="2"/>
  <c r="K16" i="2"/>
  <c r="R17" i="2"/>
  <c r="G17" i="2"/>
  <c r="I17" i="2" s="1"/>
  <c r="J17" i="2" s="1"/>
  <c r="F18" i="2"/>
  <c r="E19" i="2"/>
  <c r="C13" i="3" l="1"/>
  <c r="D13" i="3"/>
  <c r="E13" i="3"/>
  <c r="B14" i="3"/>
  <c r="L17" i="2"/>
  <c r="K17" i="2"/>
  <c r="R18" i="2"/>
  <c r="G18" i="2"/>
  <c r="I18" i="2" s="1"/>
  <c r="J18" i="2" s="1"/>
  <c r="F19" i="2"/>
  <c r="E20" i="2"/>
  <c r="C14" i="3" l="1"/>
  <c r="D14" i="3"/>
  <c r="E14" i="3"/>
  <c r="B15" i="3"/>
  <c r="L18" i="2"/>
  <c r="K18" i="2"/>
  <c r="R19" i="2"/>
  <c r="G19" i="2"/>
  <c r="I19" i="2" s="1"/>
  <c r="J19" i="2" s="1"/>
  <c r="F20" i="2"/>
  <c r="E21" i="2"/>
  <c r="C15" i="3" l="1"/>
  <c r="D15" i="3"/>
  <c r="E15" i="3"/>
  <c r="B16" i="3"/>
  <c r="L19" i="2"/>
  <c r="K19" i="2"/>
  <c r="R20" i="2"/>
  <c r="G20" i="2"/>
  <c r="I20" i="2" s="1"/>
  <c r="J20" i="2" s="1"/>
  <c r="F21" i="2"/>
  <c r="E22" i="2"/>
  <c r="C16" i="3" l="1"/>
  <c r="D16" i="3"/>
  <c r="E16" i="3"/>
  <c r="B17" i="3"/>
  <c r="L20" i="2"/>
  <c r="K20" i="2"/>
  <c r="R21" i="2"/>
  <c r="G21" i="2"/>
  <c r="I21" i="2" s="1"/>
  <c r="J21" i="2" s="1"/>
  <c r="F22" i="2"/>
  <c r="E23" i="2"/>
  <c r="C17" i="3" l="1"/>
  <c r="D17" i="3"/>
  <c r="E17" i="3"/>
  <c r="B18" i="3"/>
  <c r="L21" i="2"/>
  <c r="K21" i="2"/>
  <c r="R22" i="2"/>
  <c r="G22" i="2"/>
  <c r="I22" i="2" s="1"/>
  <c r="J22" i="2" s="1"/>
  <c r="F23" i="2"/>
  <c r="E24" i="2"/>
  <c r="C18" i="3" l="1"/>
  <c r="D18" i="3"/>
  <c r="E18" i="3"/>
  <c r="B19" i="3"/>
  <c r="L22" i="2"/>
  <c r="K22" i="2"/>
  <c r="R23" i="2"/>
  <c r="G23" i="2"/>
  <c r="I23" i="2" s="1"/>
  <c r="J23" i="2" s="1"/>
  <c r="F24" i="2"/>
  <c r="E25" i="2"/>
  <c r="D19" i="3" l="1"/>
  <c r="C19" i="3"/>
  <c r="E19" i="3"/>
  <c r="B20" i="3"/>
  <c r="L23" i="2"/>
  <c r="K23" i="2"/>
  <c r="R24" i="2"/>
  <c r="G24" i="2"/>
  <c r="I24" i="2" s="1"/>
  <c r="J24" i="2" s="1"/>
  <c r="F25" i="2"/>
  <c r="E26" i="2"/>
  <c r="D20" i="3" l="1"/>
  <c r="E20" i="3"/>
  <c r="C20" i="3"/>
  <c r="B21" i="3"/>
  <c r="L24" i="2"/>
  <c r="K24" i="2"/>
  <c r="R25" i="2"/>
  <c r="G25" i="2"/>
  <c r="I25" i="2" s="1"/>
  <c r="J25" i="2" s="1"/>
  <c r="F26" i="2"/>
  <c r="E27" i="2"/>
  <c r="D21" i="3" l="1"/>
  <c r="E21" i="3"/>
  <c r="C21" i="3"/>
  <c r="B22" i="3"/>
  <c r="L25" i="2"/>
  <c r="K25" i="2"/>
  <c r="R26" i="2"/>
  <c r="G26" i="2"/>
  <c r="I26" i="2" s="1"/>
  <c r="J26" i="2" s="1"/>
  <c r="F27" i="2"/>
  <c r="E28" i="2"/>
  <c r="E22" i="3" l="1"/>
  <c r="C22" i="3"/>
  <c r="D22" i="3"/>
  <c r="B23" i="3"/>
  <c r="L26" i="2"/>
  <c r="K26" i="2"/>
  <c r="R27" i="2"/>
  <c r="G27" i="2"/>
  <c r="I27" i="2" s="1"/>
  <c r="J27" i="2" s="1"/>
  <c r="F28" i="2"/>
  <c r="E29" i="2"/>
  <c r="D23" i="3" l="1"/>
  <c r="C23" i="3"/>
  <c r="E23" i="3"/>
  <c r="B24" i="3"/>
  <c r="L27" i="2"/>
  <c r="K27" i="2"/>
  <c r="R28" i="2"/>
  <c r="G28" i="2"/>
  <c r="I28" i="2" s="1"/>
  <c r="J28" i="2" s="1"/>
  <c r="F29" i="2"/>
  <c r="E30" i="2"/>
  <c r="D24" i="3" l="1"/>
  <c r="C24" i="3"/>
  <c r="E24" i="3"/>
  <c r="B25" i="3"/>
  <c r="L28" i="2"/>
  <c r="K28" i="2"/>
  <c r="R29" i="2"/>
  <c r="G29" i="2"/>
  <c r="I29" i="2" s="1"/>
  <c r="J29" i="2" s="1"/>
  <c r="F30" i="2"/>
  <c r="E31" i="2"/>
  <c r="C25" i="3" l="1"/>
  <c r="E25" i="3"/>
  <c r="D25" i="3"/>
  <c r="B26" i="3"/>
  <c r="L29" i="2"/>
  <c r="K29" i="2"/>
  <c r="R30" i="2"/>
  <c r="G30" i="2"/>
  <c r="I30" i="2" s="1"/>
  <c r="J30" i="2" s="1"/>
  <c r="F31" i="2"/>
  <c r="E32" i="2"/>
  <c r="E26" i="3" l="1"/>
  <c r="C26" i="3"/>
  <c r="D26" i="3"/>
  <c r="B27" i="3"/>
  <c r="L30" i="2"/>
  <c r="K30" i="2"/>
  <c r="R31" i="2"/>
  <c r="G31" i="2"/>
  <c r="I31" i="2" s="1"/>
  <c r="J31" i="2" s="1"/>
  <c r="F32" i="2"/>
  <c r="E33" i="2"/>
  <c r="E27" i="3" l="1"/>
  <c r="D27" i="3"/>
  <c r="C27" i="3"/>
  <c r="B28" i="3"/>
  <c r="L31" i="2"/>
  <c r="K31" i="2"/>
  <c r="R32" i="2"/>
  <c r="G32" i="2"/>
  <c r="I32" i="2" s="1"/>
  <c r="J32" i="2" s="1"/>
  <c r="F33" i="2"/>
  <c r="E34" i="2"/>
  <c r="E28" i="3" l="1"/>
  <c r="C28" i="3"/>
  <c r="D28" i="3"/>
  <c r="B29" i="3"/>
  <c r="L32" i="2"/>
  <c r="K32" i="2"/>
  <c r="R33" i="2"/>
  <c r="G33" i="2"/>
  <c r="I33" i="2" s="1"/>
  <c r="J33" i="2" s="1"/>
  <c r="F34" i="2"/>
  <c r="E35" i="2"/>
  <c r="E29" i="3" l="1"/>
  <c r="D29" i="3"/>
  <c r="C29" i="3"/>
  <c r="B30" i="3"/>
  <c r="L33" i="2"/>
  <c r="K33" i="2"/>
  <c r="R34" i="2"/>
  <c r="G34" i="2"/>
  <c r="I34" i="2" s="1"/>
  <c r="J34" i="2" s="1"/>
  <c r="F35" i="2"/>
  <c r="E36" i="2"/>
  <c r="E30" i="3" l="1"/>
  <c r="C30" i="3"/>
  <c r="D30" i="3"/>
  <c r="B31" i="3"/>
  <c r="L34" i="2"/>
  <c r="K34" i="2"/>
  <c r="R35" i="2"/>
  <c r="G35" i="2"/>
  <c r="I35" i="2" s="1"/>
  <c r="J35" i="2" s="1"/>
  <c r="F36" i="2"/>
  <c r="E37" i="2"/>
  <c r="C31" i="3" l="1"/>
  <c r="E31" i="3"/>
  <c r="D31" i="3"/>
  <c r="B32" i="3"/>
  <c r="L35" i="2"/>
  <c r="K35" i="2"/>
  <c r="R36" i="2"/>
  <c r="G36" i="2"/>
  <c r="I36" i="2" s="1"/>
  <c r="J36" i="2" s="1"/>
  <c r="F37" i="2"/>
  <c r="E38" i="2"/>
  <c r="C32" i="3" l="1"/>
  <c r="E32" i="3"/>
  <c r="D32" i="3"/>
  <c r="B33" i="3"/>
  <c r="L36" i="2"/>
  <c r="K36" i="2"/>
  <c r="R37" i="2"/>
  <c r="G37" i="2"/>
  <c r="I37" i="2" s="1"/>
  <c r="J37" i="2" s="1"/>
  <c r="F38" i="2"/>
  <c r="E39" i="2"/>
  <c r="E33" i="3" l="1"/>
  <c r="D33" i="3"/>
  <c r="C33" i="3"/>
  <c r="B34" i="3"/>
  <c r="L37" i="2"/>
  <c r="K37" i="2"/>
  <c r="R38" i="2"/>
  <c r="G38" i="2"/>
  <c r="I38" i="2" s="1"/>
  <c r="J38" i="2" s="1"/>
  <c r="F39" i="2"/>
  <c r="E40" i="2"/>
  <c r="E34" i="3" l="1"/>
  <c r="C34" i="3"/>
  <c r="D34" i="3"/>
  <c r="B35" i="3"/>
  <c r="L38" i="2"/>
  <c r="K38" i="2"/>
  <c r="R39" i="2"/>
  <c r="G39" i="2"/>
  <c r="I39" i="2" s="1"/>
  <c r="J39" i="2" s="1"/>
  <c r="F40" i="2"/>
  <c r="E41" i="2"/>
  <c r="C35" i="3" l="1"/>
  <c r="D35" i="3"/>
  <c r="E35" i="3"/>
  <c r="B36" i="3"/>
  <c r="L39" i="2"/>
  <c r="K39" i="2"/>
  <c r="R40" i="2"/>
  <c r="G40" i="2"/>
  <c r="I40" i="2" s="1"/>
  <c r="J40" i="2" s="1"/>
  <c r="F41" i="2"/>
  <c r="E42" i="2"/>
  <c r="C36" i="3" l="1"/>
  <c r="E36" i="3"/>
  <c r="D36" i="3"/>
  <c r="B37" i="3"/>
  <c r="L40" i="2"/>
  <c r="K40" i="2"/>
  <c r="R41" i="2"/>
  <c r="G41" i="2"/>
  <c r="I41" i="2" s="1"/>
  <c r="J41" i="2" s="1"/>
  <c r="F42" i="2"/>
  <c r="E43" i="2"/>
  <c r="E37" i="3" l="1"/>
  <c r="D37" i="3"/>
  <c r="C37" i="3"/>
  <c r="B38" i="3"/>
  <c r="L41" i="2"/>
  <c r="K41" i="2"/>
  <c r="R42" i="2"/>
  <c r="G42" i="2"/>
  <c r="I42" i="2" s="1"/>
  <c r="J42" i="2" s="1"/>
  <c r="F43" i="2"/>
  <c r="E44" i="2"/>
  <c r="D38" i="3" l="1"/>
  <c r="C38" i="3"/>
  <c r="E38" i="3"/>
  <c r="B39" i="3"/>
  <c r="L42" i="2"/>
  <c r="K42" i="2"/>
  <c r="R43" i="2"/>
  <c r="G43" i="2"/>
  <c r="I43" i="2" s="1"/>
  <c r="J43" i="2" s="1"/>
  <c r="F44" i="2"/>
  <c r="E45" i="2"/>
  <c r="C39" i="3" l="1"/>
  <c r="E39" i="3"/>
  <c r="D39" i="3"/>
  <c r="B40" i="3"/>
  <c r="L43" i="2"/>
  <c r="K43" i="2"/>
  <c r="R44" i="2"/>
  <c r="G44" i="2"/>
  <c r="I44" i="2" s="1"/>
  <c r="J44" i="2" s="1"/>
  <c r="F45" i="2"/>
  <c r="E46" i="2"/>
  <c r="C40" i="3" l="1"/>
  <c r="E40" i="3"/>
  <c r="D40" i="3"/>
  <c r="B41" i="3"/>
  <c r="L44" i="2"/>
  <c r="K44" i="2"/>
  <c r="R45" i="2"/>
  <c r="G45" i="2"/>
  <c r="I45" i="2" s="1"/>
  <c r="J45" i="2" s="1"/>
  <c r="F46" i="2"/>
  <c r="E47" i="2"/>
  <c r="E41" i="3" l="1"/>
  <c r="D41" i="3"/>
  <c r="C41" i="3"/>
  <c r="B42" i="3"/>
  <c r="L45" i="2"/>
  <c r="K45" i="2"/>
  <c r="R46" i="2"/>
  <c r="G46" i="2"/>
  <c r="I46" i="2" s="1"/>
  <c r="J46" i="2" s="1"/>
  <c r="F47" i="2"/>
  <c r="E48" i="2"/>
  <c r="E42" i="3" l="1"/>
  <c r="C42" i="3"/>
  <c r="D42" i="3"/>
  <c r="B43" i="3"/>
  <c r="L46" i="2"/>
  <c r="K46" i="2"/>
  <c r="R47" i="2"/>
  <c r="G47" i="2"/>
  <c r="I47" i="2" s="1"/>
  <c r="J47" i="2" s="1"/>
  <c r="F48" i="2"/>
  <c r="E49" i="2"/>
  <c r="E43" i="3" l="1"/>
  <c r="C43" i="3"/>
  <c r="D43" i="3"/>
  <c r="B44" i="3"/>
  <c r="L47" i="2"/>
  <c r="K47" i="2"/>
  <c r="R48" i="2"/>
  <c r="G48" i="2"/>
  <c r="I48" i="2" s="1"/>
  <c r="J48" i="2" s="1"/>
  <c r="F49" i="2"/>
  <c r="E50" i="2"/>
  <c r="E44" i="3" l="1"/>
  <c r="D44" i="3"/>
  <c r="C44" i="3"/>
  <c r="B45" i="3"/>
  <c r="L48" i="2"/>
  <c r="K48" i="2"/>
  <c r="R49" i="2"/>
  <c r="G49" i="2"/>
  <c r="I49" i="2" s="1"/>
  <c r="J49" i="2" s="1"/>
  <c r="F50" i="2"/>
  <c r="E51" i="2"/>
  <c r="E45" i="3" l="1"/>
  <c r="C45" i="3"/>
  <c r="D45" i="3"/>
  <c r="B46" i="3"/>
  <c r="L49" i="2"/>
  <c r="K49" i="2"/>
  <c r="R50" i="2"/>
  <c r="G50" i="2"/>
  <c r="I50" i="2" s="1"/>
  <c r="J50" i="2" s="1"/>
  <c r="F51" i="2"/>
  <c r="E52" i="2"/>
  <c r="D46" i="3" l="1"/>
  <c r="C46" i="3"/>
  <c r="E46" i="3"/>
  <c r="K50" i="2"/>
  <c r="L50" i="2"/>
  <c r="B47" i="3"/>
  <c r="R51" i="2"/>
  <c r="G51" i="2"/>
  <c r="I51" i="2" s="1"/>
  <c r="J51" i="2" s="1"/>
  <c r="F52" i="2"/>
  <c r="E53" i="2"/>
  <c r="C47" i="3" l="1"/>
  <c r="E47" i="3"/>
  <c r="D47" i="3"/>
  <c r="K51" i="2"/>
  <c r="L51" i="2"/>
  <c r="B48" i="3"/>
  <c r="R52" i="2"/>
  <c r="G52" i="2"/>
  <c r="I52" i="2" s="1"/>
  <c r="J52" i="2" s="1"/>
  <c r="F53" i="2"/>
  <c r="E54" i="2"/>
  <c r="D48" i="3" l="1"/>
  <c r="C48" i="3"/>
  <c r="E48" i="3"/>
  <c r="K52" i="2"/>
  <c r="L52" i="2"/>
  <c r="B49" i="3"/>
  <c r="R53" i="2"/>
  <c r="G53" i="2"/>
  <c r="I53" i="2" s="1"/>
  <c r="J53" i="2" s="1"/>
  <c r="F54" i="2"/>
  <c r="E55" i="2"/>
  <c r="C49" i="3" l="1"/>
  <c r="E49" i="3"/>
  <c r="D49" i="3"/>
  <c r="K53" i="2"/>
  <c r="L53" i="2"/>
  <c r="B50" i="3"/>
  <c r="R54" i="2"/>
  <c r="G54" i="2"/>
  <c r="I54" i="2" s="1"/>
  <c r="J54" i="2" s="1"/>
  <c r="F55" i="2"/>
  <c r="E56" i="2"/>
  <c r="C50" i="3" l="1"/>
  <c r="D50" i="3"/>
  <c r="E50" i="3"/>
  <c r="K54" i="2"/>
  <c r="L54" i="2"/>
  <c r="B51" i="3"/>
  <c r="R55" i="2"/>
  <c r="G55" i="2"/>
  <c r="I55" i="2" s="1"/>
  <c r="J55" i="2" s="1"/>
  <c r="F56" i="2"/>
  <c r="E57" i="2"/>
  <c r="C51" i="3" l="1"/>
  <c r="E51" i="3"/>
  <c r="D51" i="3"/>
  <c r="K55" i="2"/>
  <c r="L55" i="2"/>
  <c r="B52" i="3"/>
  <c r="R56" i="2"/>
  <c r="G56" i="2"/>
  <c r="I56" i="2" s="1"/>
  <c r="J56" i="2" s="1"/>
  <c r="F57" i="2"/>
  <c r="E58" i="2"/>
  <c r="E52" i="3" l="1"/>
  <c r="C52" i="3"/>
  <c r="D52" i="3"/>
  <c r="K56" i="2"/>
  <c r="L56" i="2"/>
  <c r="B53" i="3"/>
  <c r="R57" i="2"/>
  <c r="G57" i="2"/>
  <c r="I57" i="2" s="1"/>
  <c r="J57" i="2" s="1"/>
  <c r="F58" i="2"/>
  <c r="E59" i="2"/>
  <c r="E53" i="3" l="1"/>
  <c r="D53" i="3"/>
  <c r="C53" i="3"/>
  <c r="K57" i="2"/>
  <c r="L57" i="2"/>
  <c r="B54" i="3"/>
  <c r="R58" i="2"/>
  <c r="G58" i="2"/>
  <c r="I58" i="2" s="1"/>
  <c r="J58" i="2" s="1"/>
  <c r="F59" i="2"/>
  <c r="E60" i="2"/>
  <c r="E54" i="3" l="1"/>
  <c r="D54" i="3"/>
  <c r="C54" i="3"/>
  <c r="K58" i="2"/>
  <c r="L58" i="2"/>
  <c r="B55" i="3"/>
  <c r="R59" i="2"/>
  <c r="G59" i="2"/>
  <c r="I59" i="2" s="1"/>
  <c r="J59" i="2" s="1"/>
  <c r="F60" i="2"/>
  <c r="E61" i="2"/>
  <c r="D55" i="3" l="1"/>
  <c r="C55" i="3"/>
  <c r="E55" i="3"/>
  <c r="K59" i="2"/>
  <c r="L59" i="2"/>
  <c r="B56" i="3"/>
  <c r="R60" i="2"/>
  <c r="G60" i="2"/>
  <c r="I60" i="2" s="1"/>
  <c r="J60" i="2" s="1"/>
  <c r="F61" i="2"/>
  <c r="E62" i="2"/>
  <c r="D56" i="3" l="1"/>
  <c r="E56" i="3"/>
  <c r="C56" i="3"/>
  <c r="K60" i="2"/>
  <c r="L60" i="2"/>
  <c r="B57" i="3"/>
  <c r="R61" i="2"/>
  <c r="G61" i="2"/>
  <c r="I61" i="2" s="1"/>
  <c r="J61" i="2" s="1"/>
  <c r="F62" i="2"/>
  <c r="E63" i="2"/>
  <c r="D57" i="3" l="1"/>
  <c r="E57" i="3"/>
  <c r="C57" i="3"/>
  <c r="K61" i="2"/>
  <c r="L61" i="2"/>
  <c r="B58" i="3"/>
  <c r="R62" i="2"/>
  <c r="G62" i="2"/>
  <c r="I62" i="2" s="1"/>
  <c r="J62" i="2" s="1"/>
  <c r="F63" i="2"/>
  <c r="E64" i="2"/>
  <c r="E58" i="3" l="1"/>
  <c r="C58" i="3"/>
  <c r="D58" i="3"/>
  <c r="K62" i="2"/>
  <c r="L62" i="2"/>
  <c r="B59" i="3"/>
  <c r="R63" i="2"/>
  <c r="G63" i="2"/>
  <c r="I63" i="2" s="1"/>
  <c r="J63" i="2" s="1"/>
  <c r="F64" i="2"/>
  <c r="E65" i="2"/>
  <c r="C59" i="3" l="1"/>
  <c r="D59" i="3"/>
  <c r="E59" i="3"/>
  <c r="K63" i="2"/>
  <c r="L63" i="2"/>
  <c r="B60" i="3"/>
  <c r="R64" i="2"/>
  <c r="G64" i="2"/>
  <c r="I64" i="2" s="1"/>
  <c r="J64" i="2" s="1"/>
  <c r="F65" i="2"/>
  <c r="E66" i="2"/>
  <c r="E60" i="3" l="1"/>
  <c r="C60" i="3"/>
  <c r="D60" i="3"/>
  <c r="K64" i="2"/>
  <c r="L64" i="2"/>
  <c r="B61" i="3"/>
  <c r="R65" i="2"/>
  <c r="G65" i="2"/>
  <c r="I65" i="2" s="1"/>
  <c r="J65" i="2" s="1"/>
  <c r="F66" i="2"/>
  <c r="E67" i="2"/>
  <c r="E61" i="3" l="1"/>
  <c r="C61" i="3"/>
  <c r="D61" i="3"/>
  <c r="K65" i="2"/>
  <c r="L65" i="2"/>
  <c r="B62" i="3"/>
  <c r="R66" i="2"/>
  <c r="G66" i="2"/>
  <c r="I66" i="2" s="1"/>
  <c r="J66" i="2" s="1"/>
  <c r="F67" i="2"/>
  <c r="E68" i="2"/>
  <c r="D62" i="3" l="1"/>
  <c r="E62" i="3"/>
  <c r="C62" i="3"/>
  <c r="K66" i="2"/>
  <c r="L66" i="2"/>
  <c r="B63" i="3"/>
  <c r="R67" i="2"/>
  <c r="G67" i="2"/>
  <c r="I67" i="2" s="1"/>
  <c r="J67" i="2" s="1"/>
  <c r="F68" i="2"/>
  <c r="E69" i="2"/>
  <c r="C63" i="3" l="1"/>
  <c r="E63" i="3"/>
  <c r="D63" i="3"/>
  <c r="K67" i="2"/>
  <c r="L67" i="2"/>
  <c r="B64" i="3"/>
  <c r="R68" i="2"/>
  <c r="G68" i="2"/>
  <c r="I68" i="2" s="1"/>
  <c r="J68" i="2" s="1"/>
  <c r="F69" i="2"/>
  <c r="E70" i="2"/>
  <c r="D64" i="3" l="1"/>
  <c r="E64" i="3"/>
  <c r="C64" i="3"/>
  <c r="K68" i="2"/>
  <c r="L68" i="2"/>
  <c r="B65" i="3"/>
  <c r="R69" i="2"/>
  <c r="G69" i="2"/>
  <c r="I69" i="2" s="1"/>
  <c r="J69" i="2" s="1"/>
  <c r="F70" i="2"/>
  <c r="E71" i="2"/>
  <c r="E65" i="3" l="1"/>
  <c r="C65" i="3"/>
  <c r="D65" i="3"/>
  <c r="K69" i="2"/>
  <c r="L69" i="2"/>
  <c r="B66" i="3"/>
  <c r="R70" i="2"/>
  <c r="G70" i="2"/>
  <c r="I70" i="2" s="1"/>
  <c r="J70" i="2" s="1"/>
  <c r="F71" i="2"/>
  <c r="E72" i="2"/>
  <c r="D66" i="3" l="1"/>
  <c r="C66" i="3"/>
  <c r="E66" i="3"/>
  <c r="K70" i="2"/>
  <c r="L70" i="2"/>
  <c r="B67" i="3"/>
  <c r="R71" i="2"/>
  <c r="G71" i="2"/>
  <c r="I71" i="2" s="1"/>
  <c r="J71" i="2" s="1"/>
  <c r="F72" i="2"/>
  <c r="E73" i="2"/>
  <c r="E67" i="3" l="1"/>
  <c r="D67" i="3"/>
  <c r="C67" i="3"/>
  <c r="K71" i="2"/>
  <c r="L71" i="2"/>
  <c r="B68" i="3"/>
  <c r="R72" i="2"/>
  <c r="G72" i="2"/>
  <c r="I72" i="2" s="1"/>
  <c r="J72" i="2" s="1"/>
  <c r="F73" i="2"/>
  <c r="E74" i="2"/>
  <c r="E68" i="3" l="1"/>
  <c r="D68" i="3"/>
  <c r="C68" i="3"/>
  <c r="K72" i="2"/>
  <c r="L72" i="2"/>
  <c r="B69" i="3"/>
  <c r="R73" i="2"/>
  <c r="G73" i="2"/>
  <c r="I73" i="2" s="1"/>
  <c r="J73" i="2" s="1"/>
  <c r="F74" i="2"/>
  <c r="E75" i="2"/>
  <c r="D69" i="3" l="1"/>
  <c r="C69" i="3"/>
  <c r="E69" i="3"/>
  <c r="K73" i="2"/>
  <c r="L73" i="2"/>
  <c r="B70" i="3"/>
  <c r="R74" i="2"/>
  <c r="G74" i="2"/>
  <c r="I74" i="2" s="1"/>
  <c r="J74" i="2" s="1"/>
  <c r="F75" i="2"/>
  <c r="E76" i="2"/>
  <c r="D70" i="3" l="1"/>
  <c r="C70" i="3"/>
  <c r="E70" i="3"/>
  <c r="K74" i="2"/>
  <c r="L74" i="2"/>
  <c r="B71" i="3"/>
  <c r="R75" i="2"/>
  <c r="G75" i="2"/>
  <c r="I75" i="2" s="1"/>
  <c r="J75" i="2" s="1"/>
  <c r="F76" i="2"/>
  <c r="E77" i="2"/>
  <c r="E71" i="3" l="1"/>
  <c r="D71" i="3"/>
  <c r="C71" i="3"/>
  <c r="K75" i="2"/>
  <c r="L75" i="2"/>
  <c r="B72" i="3"/>
  <c r="R76" i="2"/>
  <c r="G76" i="2"/>
  <c r="I76" i="2" s="1"/>
  <c r="J76" i="2" s="1"/>
  <c r="F77" i="2"/>
  <c r="E78" i="2"/>
  <c r="C72" i="3" l="1"/>
  <c r="D72" i="3"/>
  <c r="E72" i="3"/>
  <c r="K76" i="2"/>
  <c r="L76" i="2"/>
  <c r="B73" i="3"/>
  <c r="R77" i="2"/>
  <c r="G77" i="2"/>
  <c r="I77" i="2" s="1"/>
  <c r="J77" i="2" s="1"/>
  <c r="F78" i="2"/>
  <c r="E79" i="2"/>
  <c r="C73" i="3" l="1"/>
  <c r="D73" i="3"/>
  <c r="E73" i="3"/>
  <c r="K77" i="2"/>
  <c r="L77" i="2"/>
  <c r="B74" i="3"/>
  <c r="R78" i="2"/>
  <c r="G78" i="2"/>
  <c r="I78" i="2" s="1"/>
  <c r="J78" i="2" s="1"/>
  <c r="F79" i="2"/>
  <c r="E80" i="2"/>
  <c r="D74" i="3" l="1"/>
  <c r="E74" i="3"/>
  <c r="C74" i="3"/>
  <c r="K78" i="2"/>
  <c r="L78" i="2"/>
  <c r="B75" i="3"/>
  <c r="R79" i="2"/>
  <c r="G79" i="2"/>
  <c r="I79" i="2" s="1"/>
  <c r="J79" i="2" s="1"/>
  <c r="F80" i="2"/>
  <c r="E81" i="2"/>
  <c r="C75" i="3" l="1"/>
  <c r="D75" i="3"/>
  <c r="E75" i="3"/>
  <c r="K79" i="2"/>
  <c r="L79" i="2"/>
  <c r="B76" i="3"/>
  <c r="R80" i="2"/>
  <c r="G80" i="2"/>
  <c r="I80" i="2" s="1"/>
  <c r="J80" i="2" s="1"/>
  <c r="F81" i="2"/>
  <c r="E82" i="2"/>
  <c r="E76" i="3" l="1"/>
  <c r="C76" i="3"/>
  <c r="D76" i="3"/>
  <c r="K80" i="2"/>
  <c r="L80" i="2"/>
  <c r="B77" i="3"/>
  <c r="R81" i="2"/>
  <c r="G81" i="2"/>
  <c r="I81" i="2" s="1"/>
  <c r="J81" i="2" s="1"/>
  <c r="F82" i="2"/>
  <c r="E83" i="2"/>
  <c r="E77" i="3" l="1"/>
  <c r="C77" i="3"/>
  <c r="D77" i="3"/>
  <c r="K81" i="2"/>
  <c r="L81" i="2"/>
  <c r="B78" i="3"/>
  <c r="R82" i="2"/>
  <c r="G82" i="2"/>
  <c r="I82" i="2" s="1"/>
  <c r="J82" i="2" s="1"/>
  <c r="F83" i="2"/>
  <c r="E84" i="2"/>
  <c r="E78" i="3" l="1"/>
  <c r="D78" i="3"/>
  <c r="C78" i="3"/>
  <c r="K82" i="2"/>
  <c r="L82" i="2"/>
  <c r="B79" i="3"/>
  <c r="R83" i="2"/>
  <c r="G83" i="2"/>
  <c r="I83" i="2" s="1"/>
  <c r="J83" i="2" s="1"/>
  <c r="F84" i="2"/>
  <c r="E85" i="2"/>
  <c r="E79" i="3" l="1"/>
  <c r="D79" i="3"/>
  <c r="C79" i="3"/>
  <c r="K83" i="2"/>
  <c r="L83" i="2"/>
  <c r="B80" i="3"/>
  <c r="R84" i="2"/>
  <c r="G84" i="2"/>
  <c r="I84" i="2" s="1"/>
  <c r="J84" i="2" s="1"/>
  <c r="F85" i="2"/>
  <c r="E86" i="2"/>
  <c r="E80" i="3" l="1"/>
  <c r="C80" i="3"/>
  <c r="D80" i="3"/>
  <c r="K84" i="2"/>
  <c r="L84" i="2"/>
  <c r="B81" i="3"/>
  <c r="R85" i="2"/>
  <c r="G85" i="2"/>
  <c r="I85" i="2" s="1"/>
  <c r="J85" i="2" s="1"/>
  <c r="F86" i="2"/>
  <c r="E87" i="2"/>
  <c r="D81" i="3" l="1"/>
  <c r="C81" i="3"/>
  <c r="E81" i="3"/>
  <c r="K85" i="2"/>
  <c r="L85" i="2"/>
  <c r="B82" i="3"/>
  <c r="R86" i="2"/>
  <c r="G86" i="2"/>
  <c r="I86" i="2" s="1"/>
  <c r="J86" i="2" s="1"/>
  <c r="F87" i="2"/>
  <c r="E88" i="2"/>
  <c r="D82" i="3" l="1"/>
  <c r="E82" i="3"/>
  <c r="C82" i="3"/>
  <c r="K86" i="2"/>
  <c r="L86" i="2"/>
  <c r="B83" i="3"/>
  <c r="R87" i="2"/>
  <c r="G87" i="2"/>
  <c r="I87" i="2" s="1"/>
  <c r="J87" i="2" s="1"/>
  <c r="F88" i="2"/>
  <c r="E89" i="2"/>
  <c r="C83" i="3" l="1"/>
  <c r="E83" i="3"/>
  <c r="D83" i="3"/>
  <c r="K87" i="2"/>
  <c r="L87" i="2"/>
  <c r="B84" i="3"/>
  <c r="R88" i="2"/>
  <c r="G88" i="2"/>
  <c r="I88" i="2" s="1"/>
  <c r="J88" i="2" s="1"/>
  <c r="F89" i="2"/>
  <c r="E90" i="2"/>
  <c r="C84" i="3" l="1"/>
  <c r="D84" i="3"/>
  <c r="E84" i="3"/>
  <c r="K88" i="2"/>
  <c r="L88" i="2"/>
  <c r="B85" i="3"/>
  <c r="R89" i="2"/>
  <c r="G89" i="2"/>
  <c r="I89" i="2" s="1"/>
  <c r="J89" i="2" s="1"/>
  <c r="F90" i="2"/>
  <c r="E91" i="2"/>
  <c r="C85" i="3" l="1"/>
  <c r="E85" i="3"/>
  <c r="D85" i="3"/>
  <c r="K89" i="2"/>
  <c r="L89" i="2"/>
  <c r="B86" i="3"/>
  <c r="R90" i="2"/>
  <c r="G90" i="2"/>
  <c r="I90" i="2" s="1"/>
  <c r="J90" i="2" s="1"/>
  <c r="F91" i="2"/>
  <c r="E92" i="2"/>
  <c r="E86" i="3" l="1"/>
  <c r="D86" i="3"/>
  <c r="C86" i="3"/>
  <c r="K90" i="2"/>
  <c r="L90" i="2"/>
  <c r="B87" i="3"/>
  <c r="R91" i="2"/>
  <c r="G91" i="2"/>
  <c r="I91" i="2" s="1"/>
  <c r="J91" i="2" s="1"/>
  <c r="F92" i="2"/>
  <c r="E93" i="2"/>
  <c r="C87" i="3" l="1"/>
  <c r="E87" i="3"/>
  <c r="D87" i="3"/>
  <c r="K91" i="2"/>
  <c r="L91" i="2"/>
  <c r="B88" i="3"/>
  <c r="R92" i="2"/>
  <c r="G92" i="2"/>
  <c r="I92" i="2" s="1"/>
  <c r="J92" i="2" s="1"/>
  <c r="F93" i="2"/>
  <c r="E94" i="2"/>
  <c r="D88" i="3" l="1"/>
  <c r="C88" i="3"/>
  <c r="E88" i="3"/>
  <c r="K92" i="2"/>
  <c r="L92" i="2"/>
  <c r="B89" i="3"/>
  <c r="R93" i="2"/>
  <c r="G93" i="2"/>
  <c r="I93" i="2" s="1"/>
  <c r="J93" i="2" s="1"/>
  <c r="F94" i="2"/>
  <c r="E95" i="2"/>
  <c r="E89" i="3" l="1"/>
  <c r="D89" i="3"/>
  <c r="C89" i="3"/>
  <c r="K93" i="2"/>
  <c r="L93" i="2"/>
  <c r="B90" i="3"/>
  <c r="R94" i="2"/>
  <c r="G94" i="2"/>
  <c r="I94" i="2" s="1"/>
  <c r="J94" i="2" s="1"/>
  <c r="F95" i="2"/>
  <c r="E96" i="2"/>
  <c r="E90" i="3" l="1"/>
  <c r="D90" i="3"/>
  <c r="C90" i="3"/>
  <c r="B91" i="3"/>
  <c r="L94" i="2"/>
  <c r="K94" i="2"/>
  <c r="R95" i="2"/>
  <c r="G95" i="2"/>
  <c r="I95" i="2" s="1"/>
  <c r="J95" i="2" s="1"/>
  <c r="F96" i="2"/>
  <c r="E97" i="2"/>
  <c r="D91" i="3" l="1"/>
  <c r="E91" i="3"/>
  <c r="C91" i="3"/>
  <c r="K95" i="2"/>
  <c r="L95" i="2"/>
  <c r="B92" i="3"/>
  <c r="R96" i="2"/>
  <c r="G96" i="2"/>
  <c r="I96" i="2" s="1"/>
  <c r="J96" i="2" s="1"/>
  <c r="F97" i="2"/>
  <c r="E98" i="2"/>
  <c r="D92" i="3" l="1"/>
  <c r="E92" i="3"/>
  <c r="C92" i="3"/>
  <c r="K96" i="2"/>
  <c r="L96" i="2"/>
  <c r="B93" i="3"/>
  <c r="R97" i="2"/>
  <c r="G97" i="2"/>
  <c r="I97" i="2" s="1"/>
  <c r="J97" i="2" s="1"/>
  <c r="F98" i="2"/>
  <c r="E99" i="2"/>
  <c r="C93" i="3" l="1"/>
  <c r="E93" i="3"/>
  <c r="D93" i="3"/>
  <c r="K97" i="2"/>
  <c r="L97" i="2"/>
  <c r="B94" i="3"/>
  <c r="R98" i="2"/>
  <c r="G98" i="2"/>
  <c r="I98" i="2" s="1"/>
  <c r="J98" i="2" s="1"/>
  <c r="F99" i="2"/>
  <c r="E100" i="2"/>
  <c r="C94" i="3" l="1"/>
  <c r="D94" i="3"/>
  <c r="E94" i="3"/>
  <c r="K98" i="2"/>
  <c r="L98" i="2"/>
  <c r="B95" i="3"/>
  <c r="R99" i="2"/>
  <c r="G99" i="2"/>
  <c r="I99" i="2" s="1"/>
  <c r="J99" i="2" s="1"/>
  <c r="F100" i="2"/>
  <c r="E101" i="2"/>
  <c r="D95" i="3" l="1"/>
  <c r="E95" i="3"/>
  <c r="C95" i="3"/>
  <c r="K99" i="2"/>
  <c r="L99" i="2"/>
  <c r="B96" i="3"/>
  <c r="R100" i="2"/>
  <c r="G100" i="2"/>
  <c r="I100" i="2" s="1"/>
  <c r="J100" i="2" s="1"/>
  <c r="F101" i="2"/>
  <c r="E102" i="2"/>
  <c r="E96" i="3" l="1"/>
  <c r="C96" i="3"/>
  <c r="D96" i="3"/>
  <c r="K100" i="2"/>
  <c r="L100" i="2"/>
  <c r="B97" i="3"/>
  <c r="R101" i="2"/>
  <c r="G101" i="2"/>
  <c r="I101" i="2" s="1"/>
  <c r="J101" i="2" s="1"/>
  <c r="F102" i="2"/>
  <c r="E103" i="2"/>
  <c r="E97" i="3" l="1"/>
  <c r="C97" i="3"/>
  <c r="D97" i="3"/>
  <c r="K101" i="2"/>
  <c r="L101" i="2"/>
  <c r="B98" i="3"/>
  <c r="R102" i="2"/>
  <c r="G102" i="2"/>
  <c r="I102" i="2" s="1"/>
  <c r="J102" i="2" s="1"/>
  <c r="F103" i="2"/>
  <c r="E104" i="2"/>
  <c r="D98" i="3" l="1"/>
  <c r="C98" i="3"/>
  <c r="E98" i="3"/>
  <c r="K102" i="2"/>
  <c r="L102" i="2"/>
  <c r="B99" i="3"/>
  <c r="R103" i="2"/>
  <c r="G103" i="2"/>
  <c r="I103" i="2" s="1"/>
  <c r="J103" i="2" s="1"/>
  <c r="F104" i="2"/>
  <c r="E105" i="2"/>
  <c r="E99" i="3" l="1"/>
  <c r="C99" i="3"/>
  <c r="D99" i="3"/>
  <c r="K103" i="2"/>
  <c r="L103" i="2"/>
  <c r="B100" i="3"/>
  <c r="R104" i="2"/>
  <c r="G104" i="2"/>
  <c r="I104" i="2" s="1"/>
  <c r="J104" i="2" s="1"/>
  <c r="F105" i="2"/>
  <c r="E106" i="2"/>
  <c r="D100" i="3" l="1"/>
  <c r="C100" i="3"/>
  <c r="E100" i="3"/>
  <c r="K104" i="2"/>
  <c r="L104" i="2"/>
  <c r="B101" i="3"/>
  <c r="R105" i="2"/>
  <c r="G105" i="2"/>
  <c r="I105" i="2" s="1"/>
  <c r="J105" i="2" s="1"/>
  <c r="F106" i="2"/>
  <c r="E107" i="2"/>
  <c r="C101" i="3" l="1"/>
  <c r="E101" i="3"/>
  <c r="D101" i="3"/>
  <c r="K105" i="2"/>
  <c r="L105" i="2"/>
  <c r="B102" i="3"/>
  <c r="R106" i="2"/>
  <c r="G106" i="2"/>
  <c r="I106" i="2" s="1"/>
  <c r="J106" i="2" s="1"/>
  <c r="F107" i="2"/>
  <c r="E108" i="2"/>
  <c r="C102" i="3" l="1"/>
  <c r="D102" i="3"/>
  <c r="E102" i="3"/>
  <c r="K106" i="2"/>
  <c r="L106" i="2"/>
  <c r="B103" i="3"/>
  <c r="R107" i="2"/>
  <c r="G107" i="2"/>
  <c r="I107" i="2" s="1"/>
  <c r="J107" i="2" s="1"/>
  <c r="F108" i="2"/>
  <c r="E109" i="2"/>
  <c r="E103" i="3" l="1"/>
  <c r="C103" i="3"/>
  <c r="D103" i="3"/>
  <c r="K107" i="2"/>
  <c r="L107" i="2"/>
  <c r="B104" i="3"/>
  <c r="R108" i="2"/>
  <c r="G108" i="2"/>
  <c r="I108" i="2" s="1"/>
  <c r="J108" i="2" s="1"/>
  <c r="F109" i="2"/>
  <c r="E110" i="2"/>
  <c r="C104" i="3" l="1"/>
  <c r="E104" i="3"/>
  <c r="D104" i="3"/>
  <c r="K108" i="2"/>
  <c r="L108" i="2"/>
  <c r="B105" i="3"/>
  <c r="R109" i="2"/>
  <c r="G109" i="2"/>
  <c r="I109" i="2" s="1"/>
  <c r="J109" i="2" s="1"/>
  <c r="F110" i="2"/>
  <c r="E111" i="2"/>
  <c r="E105" i="3" l="1"/>
  <c r="C105" i="3"/>
  <c r="D105" i="3"/>
  <c r="K109" i="2"/>
  <c r="L109" i="2"/>
  <c r="B106" i="3"/>
  <c r="R110" i="2"/>
  <c r="G110" i="2"/>
  <c r="I110" i="2" s="1"/>
  <c r="J110" i="2" s="1"/>
  <c r="F111" i="2"/>
  <c r="E112" i="2"/>
  <c r="C106" i="3" l="1"/>
  <c r="E106" i="3"/>
  <c r="D106" i="3"/>
  <c r="K110" i="2"/>
  <c r="L110" i="2"/>
  <c r="B107" i="3"/>
  <c r="R111" i="2"/>
  <c r="G111" i="2"/>
  <c r="I111" i="2" s="1"/>
  <c r="J111" i="2" s="1"/>
  <c r="F112" i="2"/>
  <c r="E113" i="2"/>
  <c r="D107" i="3" l="1"/>
  <c r="C107" i="3"/>
  <c r="E107" i="3"/>
  <c r="K111" i="2"/>
  <c r="L111" i="2"/>
  <c r="B108" i="3"/>
  <c r="R112" i="2"/>
  <c r="G112" i="2"/>
  <c r="I112" i="2" s="1"/>
  <c r="J112" i="2" s="1"/>
  <c r="F113" i="2"/>
  <c r="E114" i="2"/>
  <c r="C108" i="3" l="1"/>
  <c r="D108" i="3"/>
  <c r="E108" i="3"/>
  <c r="K112" i="2"/>
  <c r="L112" i="2"/>
  <c r="B109" i="3"/>
  <c r="R113" i="2"/>
  <c r="G113" i="2"/>
  <c r="I113" i="2" s="1"/>
  <c r="J113" i="2" s="1"/>
  <c r="F114" i="2"/>
  <c r="E115" i="2"/>
  <c r="E109" i="3" l="1"/>
  <c r="C109" i="3"/>
  <c r="D109" i="3"/>
  <c r="K113" i="2"/>
  <c r="L113" i="2"/>
  <c r="B110" i="3"/>
  <c r="R114" i="2"/>
  <c r="G114" i="2"/>
  <c r="I114" i="2" s="1"/>
  <c r="J114" i="2" s="1"/>
  <c r="F115" i="2"/>
  <c r="E116" i="2"/>
  <c r="E110" i="3" l="1"/>
  <c r="D110" i="3"/>
  <c r="C110" i="3"/>
  <c r="K114" i="2"/>
  <c r="L114" i="2"/>
  <c r="B111" i="3"/>
  <c r="R115" i="2"/>
  <c r="G115" i="2"/>
  <c r="I115" i="2" s="1"/>
  <c r="J115" i="2" s="1"/>
  <c r="F116" i="2"/>
  <c r="E117" i="2"/>
  <c r="E111" i="3" l="1"/>
  <c r="C111" i="3"/>
  <c r="D111" i="3"/>
  <c r="K115" i="2"/>
  <c r="L115" i="2"/>
  <c r="B112" i="3"/>
  <c r="R116" i="2"/>
  <c r="G116" i="2"/>
  <c r="I116" i="2" s="1"/>
  <c r="J116" i="2" s="1"/>
  <c r="F117" i="2"/>
  <c r="E118" i="2"/>
  <c r="C112" i="3" l="1"/>
  <c r="E112" i="3"/>
  <c r="D112" i="3"/>
  <c r="K116" i="2"/>
  <c r="L116" i="2"/>
  <c r="B113" i="3"/>
  <c r="R117" i="2"/>
  <c r="G117" i="2"/>
  <c r="I117" i="2" s="1"/>
  <c r="J117" i="2" s="1"/>
  <c r="F118" i="2"/>
  <c r="E119" i="2"/>
  <c r="E113" i="3" l="1"/>
  <c r="C113" i="3"/>
  <c r="D113" i="3"/>
  <c r="K117" i="2"/>
  <c r="L117" i="2"/>
  <c r="B114" i="3"/>
  <c r="R118" i="2"/>
  <c r="G118" i="2"/>
  <c r="I118" i="2" s="1"/>
  <c r="J118" i="2" s="1"/>
  <c r="F119" i="2"/>
  <c r="E120" i="2"/>
  <c r="E114" i="3" l="1"/>
  <c r="C114" i="3"/>
  <c r="D114" i="3"/>
  <c r="K118" i="2"/>
  <c r="L118" i="2"/>
  <c r="B115" i="3"/>
  <c r="R119" i="2"/>
  <c r="G119" i="2"/>
  <c r="I119" i="2" s="1"/>
  <c r="J119" i="2" s="1"/>
  <c r="F120" i="2"/>
  <c r="E121" i="2"/>
  <c r="D115" i="3" l="1"/>
  <c r="C115" i="3"/>
  <c r="E115" i="3"/>
  <c r="K119" i="2"/>
  <c r="L119" i="2"/>
  <c r="B116" i="3"/>
  <c r="R120" i="2"/>
  <c r="G120" i="2"/>
  <c r="I120" i="2" s="1"/>
  <c r="J120" i="2" s="1"/>
  <c r="F121" i="2"/>
  <c r="E122" i="2"/>
  <c r="E116" i="3" l="1"/>
  <c r="D116" i="3"/>
  <c r="C116" i="3"/>
  <c r="K120" i="2"/>
  <c r="L120" i="2"/>
  <c r="B117" i="3"/>
  <c r="R121" i="2"/>
  <c r="G121" i="2"/>
  <c r="I121" i="2" s="1"/>
  <c r="J121" i="2" s="1"/>
  <c r="F122" i="2"/>
  <c r="E123" i="2"/>
  <c r="C117" i="3" l="1"/>
  <c r="E117" i="3"/>
  <c r="D117" i="3"/>
  <c r="K121" i="2"/>
  <c r="L121" i="2"/>
  <c r="B118" i="3"/>
  <c r="R122" i="2"/>
  <c r="G122" i="2"/>
  <c r="I122" i="2" s="1"/>
  <c r="J122" i="2" s="1"/>
  <c r="F123" i="2"/>
  <c r="E124" i="2"/>
  <c r="E118" i="3" l="1"/>
  <c r="D118" i="3"/>
  <c r="C118" i="3"/>
  <c r="K122" i="2"/>
  <c r="L122" i="2"/>
  <c r="B119" i="3"/>
  <c r="R123" i="2"/>
  <c r="G123" i="2"/>
  <c r="I123" i="2" s="1"/>
  <c r="J123" i="2" s="1"/>
  <c r="F124" i="2"/>
  <c r="E125" i="2"/>
  <c r="D119" i="3" l="1"/>
  <c r="E119" i="3"/>
  <c r="C119" i="3"/>
  <c r="K123" i="2"/>
  <c r="L123" i="2"/>
  <c r="B120" i="3"/>
  <c r="R124" i="2"/>
  <c r="G124" i="2"/>
  <c r="I124" i="2" s="1"/>
  <c r="J124" i="2" s="1"/>
  <c r="F125" i="2"/>
  <c r="E126" i="2"/>
  <c r="E120" i="3" l="1"/>
  <c r="C120" i="3"/>
  <c r="D120" i="3"/>
  <c r="K124" i="2"/>
  <c r="L124" i="2"/>
  <c r="B121" i="3"/>
  <c r="R125" i="2"/>
  <c r="G125" i="2"/>
  <c r="I125" i="2" s="1"/>
  <c r="J125" i="2" s="1"/>
  <c r="F126" i="2"/>
  <c r="E127" i="2"/>
  <c r="C121" i="3" l="1"/>
  <c r="E121" i="3"/>
  <c r="D121" i="3"/>
  <c r="K125" i="2"/>
  <c r="L125" i="2"/>
  <c r="B122" i="3"/>
  <c r="R126" i="2"/>
  <c r="G126" i="2"/>
  <c r="I126" i="2" s="1"/>
  <c r="J126" i="2" s="1"/>
  <c r="F127" i="2"/>
  <c r="E128" i="2"/>
  <c r="F128" i="2" s="1"/>
  <c r="E122" i="3" l="1"/>
  <c r="D122" i="3"/>
  <c r="C122" i="3"/>
  <c r="K126" i="2"/>
  <c r="L126" i="2"/>
  <c r="B123" i="3"/>
  <c r="R127" i="2"/>
  <c r="G127" i="2"/>
  <c r="I127" i="2" s="1"/>
  <c r="J127" i="2" s="1"/>
  <c r="R128" i="2"/>
  <c r="G128" i="2"/>
  <c r="I128" i="2" s="1"/>
  <c r="J128" i="2" s="1"/>
  <c r="C123" i="3" l="1"/>
  <c r="E123" i="3"/>
  <c r="D123" i="3"/>
  <c r="K127" i="2"/>
  <c r="L127" i="2"/>
  <c r="B124" i="3"/>
  <c r="K128" i="2"/>
  <c r="L128" i="2"/>
  <c r="B125" i="3"/>
  <c r="D124" i="3" l="1"/>
  <c r="C124" i="3"/>
  <c r="E124" i="3"/>
  <c r="D125" i="3"/>
  <c r="C125" i="3"/>
  <c r="E1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说明</author>
  </authors>
  <commentList>
    <comment ref="E16" authorId="0" shapeId="0" xr:uid="{00000000-0006-0000-0000-000001000000}">
      <text>
        <r>
          <rPr>
            <sz val="10"/>
            <rFont val="Noto Sans"/>
            <family val="2"/>
          </rPr>
          <t>累计已录美元入金：直接换汇至嘉信证券的</t>
        </r>
        <r>
          <rPr>
            <sz val="10"/>
            <rFont val="Arial"/>
            <family val="2"/>
          </rPr>
          <t>USD</t>
        </r>
        <r>
          <rPr>
            <sz val="10"/>
            <rFont val="Noto Sans"/>
            <family val="2"/>
          </rPr>
          <t>，加上入金记录中实际转入嘉信证券的</t>
        </r>
        <r>
          <rPr>
            <sz val="10"/>
            <rFont val="Arial"/>
            <family val="2"/>
          </rPr>
          <t>USD</t>
        </r>
        <r>
          <rPr>
            <sz val="10"/>
            <rFont val="Noto Sans"/>
            <family val="2"/>
          </rPr>
          <t>。换汇到嘉信入金中转的美元由最后一段入金计入一次，不再重复相加。直接换汇已记为证券账户收到时，不要再为同一笔虚构一段</t>
        </r>
        <r>
          <rPr>
            <sz val="10"/>
            <rFont val="Arial"/>
            <family val="2"/>
          </rPr>
          <t>USD</t>
        </r>
        <r>
          <rPr>
            <sz val="10"/>
            <rFont val="Noto Sans"/>
            <family val="2"/>
          </rPr>
          <t>入金。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说明</author>
  </authors>
  <commentList>
    <comment ref="H4" authorId="0" shapeId="0" xr:uid="{00000000-0006-0000-0100-000001000000}">
      <text>
        <r>
          <rPr>
            <sz val="10"/>
            <rFont val="Noto Sans"/>
            <family val="2"/>
          </rPr>
          <t>必须是真正历史最高的“每日收盘”值，不是最近</t>
        </r>
        <r>
          <rPr>
            <sz val="10"/>
            <rFont val="Arial"/>
            <family val="2"/>
          </rPr>
          <t>52</t>
        </r>
        <r>
          <rPr>
            <sz val="10"/>
            <rFont val="Noto Sans"/>
            <family val="2"/>
          </rPr>
          <t>周高点或盘中高点。请在</t>
        </r>
        <r>
          <rPr>
            <sz val="10"/>
            <rFont val="Arial"/>
            <family val="2"/>
          </rPr>
          <t>S</t>
        </r>
        <r>
          <rPr>
            <sz val="10"/>
            <rFont val="Noto Sans"/>
            <family val="2"/>
          </rPr>
          <t>列注明来源、截止日。未填历史基准时不计算档位，只显示基础</t>
        </r>
        <r>
          <rPr>
            <sz val="10"/>
            <rFont val="Arial"/>
            <family val="2"/>
          </rPr>
          <t>500</t>
        </r>
        <r>
          <rPr>
            <sz val="10"/>
            <rFont val="Noto Sans"/>
            <family val="2"/>
          </rPr>
          <t>且提示待补资料。</t>
        </r>
      </text>
    </comment>
    <comment ref="O8" authorId="0" shapeId="0" xr:uid="{00000000-0006-0000-0100-000002000000}">
      <text>
        <r>
          <rPr>
            <sz val="10"/>
            <rFont val="Noto Sans"/>
            <family val="2"/>
          </rPr>
          <t>选填实际用了多少额外预算；不是本月买入总额。空白按</t>
        </r>
        <r>
          <rPr>
            <sz val="10"/>
            <rFont val="Arial"/>
            <family val="2"/>
          </rPr>
          <t>N</t>
        </r>
        <r>
          <rPr>
            <sz val="10"/>
            <rFont val="Noto Sans"/>
            <family val="2"/>
          </rPr>
          <t>列参考值计入；填</t>
        </r>
        <r>
          <rPr>
            <sz val="10"/>
            <rFont val="Arial"/>
            <family val="2"/>
          </rPr>
          <t>0</t>
        </r>
        <r>
          <rPr>
            <sz val="10"/>
            <rFont val="Noto Sans"/>
            <family val="2"/>
          </rPr>
          <t>表示本月没有动用预算。可用于修正资金来源、分批交易或同月其他现金流。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说明</author>
  </authors>
  <commentList>
    <comment ref="D5" authorId="0" shapeId="0" xr:uid="{00000000-0006-0000-0300-000001000000}">
      <text>
        <r>
          <rPr>
            <sz val="10"/>
            <rFont val="Noto Sans"/>
            <family val="2"/>
          </rPr>
          <t>买入或卖出的成交总金额，不含额外交易手续费。若券商只显示已含费用的扣款</t>
        </r>
        <r>
          <rPr>
            <sz val="10"/>
            <rFont val="Arial"/>
            <family val="2"/>
          </rPr>
          <t>/</t>
        </r>
        <r>
          <rPr>
            <sz val="10"/>
            <rFont val="Noto Sans"/>
            <family val="2"/>
          </rPr>
          <t>到账金额，请先扣除</t>
        </r>
        <r>
          <rPr>
            <sz val="10"/>
            <rFont val="Arial"/>
            <family val="2"/>
          </rPr>
          <t>/</t>
        </r>
        <r>
          <rPr>
            <sz val="10"/>
            <rFont val="Noto Sans"/>
            <family val="2"/>
          </rPr>
          <t>加回费用，避免重复计费。</t>
        </r>
      </text>
    </comment>
    <comment ref="F5" authorId="0" shapeId="0" xr:uid="{00000000-0006-0000-0300-000002000000}">
      <text>
        <r>
          <rPr>
            <sz val="10"/>
            <rFont val="Noto Sans"/>
            <family val="2"/>
          </rPr>
          <t>填写券商成交单中的实际份额，保留碎股份额小数。分红再投资也记为一笔买入，并同时填写分红记录。</t>
        </r>
      </text>
    </comment>
    <comment ref="P5" authorId="1" shapeId="0" xr:uid="{00000000-0006-0000-0300-000003000000}">
      <text>
        <r>
          <rPr>
            <sz val="10"/>
            <rFont val="Noto Sans"/>
            <family val="2"/>
          </rPr>
          <t>空白默认定投。分红再投和其他买入请明确选择，回撤计划不将它们扣入加投预算。买入手续费计入定投现金支出。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说明</author>
  </authors>
  <commentList>
    <comment ref="K5" authorId="0" shapeId="0" xr:uid="{00000000-0006-0000-0400-000001000000}">
      <text>
        <r>
          <rPr>
            <sz val="10"/>
            <rFont val="Noto Sans"/>
            <family val="2"/>
          </rPr>
          <t xml:space="preserve">付出本金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"/>
            <family val="2"/>
          </rPr>
          <t>实收金额，单位为“付出币种／收到币种”。含汇价点差；另付费用未折算，不是完整人民币／美元成本。</t>
        </r>
      </text>
    </comment>
    <comment ref="L5" authorId="0" shapeId="0" xr:uid="{00000000-0006-0000-0400-000002000000}">
      <text>
        <r>
          <rPr>
            <sz val="10"/>
            <rFont val="Noto Sans"/>
            <family val="2"/>
          </rPr>
          <t>收到币种为</t>
        </r>
        <r>
          <rPr>
            <sz val="10"/>
            <rFont val="Arial"/>
            <family val="2"/>
          </rPr>
          <t>USD</t>
        </r>
        <r>
          <rPr>
            <sz val="10"/>
            <rFont val="Noto Sans"/>
            <family val="2"/>
          </rPr>
          <t>、收币账户为嘉信证券或嘉信入金中转时，显示已填写的实际收到美元。人民币换港元等其他换汇显示</t>
        </r>
        <r>
          <rPr>
            <sz val="10"/>
            <rFont val="Arial"/>
            <family val="2"/>
          </rPr>
          <t>0</t>
        </r>
        <r>
          <rPr>
            <sz val="10"/>
            <rFont val="Noto Sans"/>
            <family val="2"/>
          </rPr>
          <t>。经中转到账的资金由入金记录确认终端到账，总览不会把两个步骤相加。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说明</author>
  </authors>
  <commentList>
    <comment ref="E5" authorId="0" shapeId="0" xr:uid="{00000000-0006-0000-0500-000001000000}">
      <text>
        <r>
          <rPr>
            <sz val="10"/>
            <rFont val="Noto Sans"/>
            <family val="2"/>
          </rPr>
          <t>汇出本金：银行实际划转的本金。若费用已包含在汇出</t>
        </r>
        <r>
          <rPr>
            <sz val="10"/>
            <rFont val="Arial"/>
            <family val="2"/>
          </rPr>
          <t>/</t>
        </r>
        <r>
          <rPr>
            <sz val="10"/>
            <rFont val="Noto Sans"/>
            <family val="2"/>
          </rPr>
          <t>到账差额中，不要在另付费用再次填写。另付费用只记本金之外从汇出账户额外扣除的金额。</t>
        </r>
      </text>
    </comment>
    <comment ref="G5" authorId="0" shapeId="0" xr:uid="{00000000-0006-0000-0500-000002000000}">
      <text>
        <r>
          <rPr>
            <sz val="10"/>
            <rFont val="Noto Sans"/>
            <family val="2"/>
          </rPr>
          <t>按收款方流水填写同币种实收金额；不知道中转港元实收时先留空，不能把汇出本金假设成净到账。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E5" authorId="0" shapeId="0" xr:uid="{00000000-0006-0000-0800-000001000000}">
      <text>
        <r>
          <rPr>
            <sz val="10"/>
            <rFont val="Noto Sans"/>
            <family val="2"/>
          </rPr>
          <t>额外人民币费用：只填未包含在购汇本金里的费用，整批计入人民币成本。若费用已包含在本金，勿重复填写。</t>
        </r>
      </text>
    </comment>
    <comment ref="I5" authorId="0" shapeId="0" xr:uid="{00000000-0006-0000-0800-000002000000}">
      <text>
        <r>
          <rPr>
            <sz val="10"/>
            <rFont val="Noto Sans"/>
            <family val="2"/>
          </rPr>
          <t>只填从本批汇丰港元余额另扣的费用；已从汇出款中扣除、反映在实际到账里的费用不要再填。若另用其他资金支付费用，请在备注记录；整批成本不会自动涵盖它。</t>
        </r>
      </text>
    </comment>
    <comment ref="M5" authorId="0" shapeId="0" xr:uid="{00000000-0006-0000-0800-000003000000}">
      <text>
        <r>
          <rPr>
            <sz val="10"/>
            <rFont val="Noto Sans"/>
            <family val="2"/>
          </rPr>
          <t>国内汇出港元减汇丰到账港元；仅反映此段实际扣减，不等于全流程总手续费。</t>
        </r>
      </text>
    </comment>
    <comment ref="P5" authorId="0" shapeId="0" xr:uid="{00000000-0006-0000-0800-000004000000}">
      <text>
        <r>
          <rPr>
            <sz val="10"/>
            <rFont val="Noto Sans"/>
            <family val="2"/>
          </rPr>
          <t xml:space="preserve">汇丰实际汇出港元 </t>
        </r>
        <r>
          <rPr>
            <sz val="10"/>
            <rFont val="Arial"/>
            <family val="2"/>
          </rPr>
          <t xml:space="preserve">÷ </t>
        </r>
        <r>
          <rPr>
            <sz val="10"/>
            <rFont val="Noto Sans"/>
            <family val="2"/>
          </rPr>
          <t>嘉信实际到账美元，反映该段综合到账比率，可能包含中转扣费，不等于纯换汇牌价。</t>
        </r>
      </text>
    </comment>
    <comment ref="R5" authorId="0" shapeId="0" xr:uid="{00000000-0006-0000-0800-000005000000}">
      <text>
        <r>
          <rPr>
            <sz val="10"/>
            <rFont val="Noto Sans"/>
            <family val="2"/>
          </rPr>
          <t>仅当本批港元全部划转时显示：</t>
        </r>
        <r>
          <rPr>
            <sz val="10"/>
            <rFont val="Arial"/>
            <family val="2"/>
          </rPr>
          <t>(</t>
        </r>
        <r>
          <rPr>
            <sz val="10"/>
            <rFont val="Noto Sans"/>
            <family val="2"/>
          </rPr>
          <t>购汇人民币本金＋额外人民币费用</t>
        </r>
        <r>
          <rPr>
            <sz val="10"/>
            <rFont val="Arial"/>
            <family val="2"/>
          </rPr>
          <t xml:space="preserve">) ÷ </t>
        </r>
        <r>
          <rPr>
            <sz val="10"/>
            <rFont val="Noto Sans"/>
            <family val="2"/>
          </rPr>
          <t>实际到账美元。所有费用须来自本批资金或额外人民币费用栏。</t>
        </r>
      </text>
    </comment>
  </commentList>
</comments>
</file>

<file path=xl/sharedStrings.xml><?xml version="1.0" encoding="utf-8"?>
<sst xmlns="http://schemas.openxmlformats.org/spreadsheetml/2006/main" count="256" uniqueCount="175">
  <si>
    <t>总览</t>
  </si>
  <si>
    <t>蓝色格填写；灰色格自动计算。当前持仓比例按市值计算，月度购买金额按目标比例计算。</t>
  </si>
  <si>
    <r>
      <rPr>
        <b/>
        <sz val="12"/>
        <color rgb="FF153449"/>
        <rFont val="Noto Sans"/>
        <family val="2"/>
      </rPr>
      <t xml:space="preserve">基础月投 </t>
    </r>
    <r>
      <rPr>
        <b/>
        <sz val="12"/>
        <color rgb="FF153449"/>
        <rFont val="Noto Sans"/>
        <family val="2"/>
        <charset val="1"/>
      </rPr>
      <t>USD</t>
    </r>
  </si>
  <si>
    <t>每月计划日</t>
  </si>
  <si>
    <r>
      <rPr>
        <sz val="10"/>
        <color rgb="FF795600"/>
        <rFont val="Noto Sans"/>
        <family val="2"/>
      </rPr>
      <t>新投入：</t>
    </r>
    <r>
      <rPr>
        <sz val="10"/>
        <color rgb="FF795600"/>
        <rFont val="Noto Sans"/>
        <family val="2"/>
        <charset val="1"/>
      </rPr>
      <t>VOO 90%</t>
    </r>
    <r>
      <rPr>
        <sz val="10"/>
        <color rgb="FF795600"/>
        <rFont val="Noto Sans"/>
        <family val="2"/>
      </rPr>
      <t>＋</t>
    </r>
    <r>
      <rPr>
        <sz val="10"/>
        <color rgb="FF795600"/>
        <rFont val="Noto Sans"/>
        <family val="2"/>
        <charset val="1"/>
      </rPr>
      <t>QQQM 10%</t>
    </r>
    <r>
      <rPr>
        <sz val="10"/>
        <color rgb="FF795600"/>
        <rFont val="Noto Sans"/>
        <family val="2"/>
      </rPr>
      <t>；</t>
    </r>
    <r>
      <rPr>
        <sz val="10"/>
        <color rgb="FF795600"/>
        <rFont val="Noto Sans"/>
        <family val="2"/>
        <charset val="1"/>
      </rPr>
      <t xml:space="preserve">SMH </t>
    </r>
    <r>
      <rPr>
        <sz val="10"/>
        <color rgb="FF795600"/>
        <rFont val="Noto Sans"/>
        <family val="2"/>
      </rPr>
      <t xml:space="preserve">为历史持仓，后续计划投入 </t>
    </r>
    <r>
      <rPr>
        <sz val="10"/>
        <color rgb="FF795600"/>
        <rFont val="Noto Sans"/>
        <family val="2"/>
        <charset val="1"/>
      </rPr>
      <t>0</t>
    </r>
    <r>
      <rPr>
        <sz val="10"/>
        <color rgb="FF795600"/>
        <rFont val="Noto Sans"/>
        <family val="2"/>
      </rPr>
      <t>。</t>
    </r>
  </si>
  <si>
    <t>ETF</t>
  </si>
  <si>
    <t>目标比例</t>
  </si>
  <si>
    <r>
      <rPr>
        <b/>
        <sz val="10"/>
        <color rgb="FFFFFFFF"/>
        <rFont val="Noto Sans"/>
        <family val="2"/>
      </rPr>
      <t xml:space="preserve">基础计划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</si>
  <si>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现价 </t>
    </r>
    <r>
      <rPr>
        <b/>
        <sz val="10"/>
        <color rgb="FFFFFFFF"/>
        <rFont val="Noto Sans"/>
        <family val="2"/>
        <charset val="1"/>
      </rPr>
      <t>USD</t>
    </r>
    <r>
      <rPr>
        <b/>
        <sz val="10"/>
        <color rgb="FFFFFFFF"/>
        <rFont val="Noto Sans"/>
        <family val="2"/>
      </rPr>
      <t>／份</t>
    </r>
  </si>
  <si>
    <t>价格日期</t>
  </si>
  <si>
    <t>当前份额</t>
  </si>
  <si>
    <r>
      <rPr>
        <b/>
        <sz val="10"/>
        <color rgb="FFFFFFFF"/>
        <rFont val="Noto Sans"/>
        <family val="2"/>
      </rPr>
      <t xml:space="preserve">持仓成本 </t>
    </r>
    <r>
      <rPr>
        <b/>
        <sz val="10"/>
        <color rgb="FFFFFFFF"/>
        <rFont val="Noto Sans"/>
        <family val="2"/>
        <charset val="1"/>
      </rPr>
      <t>USD</t>
    </r>
  </si>
  <si>
    <t>平均成本／份</t>
  </si>
  <si>
    <r>
      <rPr>
        <b/>
        <sz val="10"/>
        <color rgb="FFFFFFFF"/>
        <rFont val="Noto Sans"/>
        <family val="2"/>
      </rPr>
      <t xml:space="preserve">市值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</si>
  <si>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未实现盈亏 </t>
    </r>
    <r>
      <rPr>
        <b/>
        <sz val="10"/>
        <color rgb="FFFFFFFF"/>
        <rFont val="Noto Sans"/>
        <family val="2"/>
        <charset val="1"/>
      </rPr>
      <t>USD</t>
    </r>
  </si>
  <si>
    <t>持仓收益率</t>
  </si>
  <si>
    <t>市值占比</t>
  </si>
  <si>
    <t>偏离目标</t>
  </si>
  <si>
    <t>状态</t>
  </si>
  <si>
    <t>VOO</t>
  </si>
  <si>
    <t>QQQM</t>
  </si>
  <si>
    <t>SMH</t>
  </si>
  <si>
    <t>合计</t>
  </si>
  <si>
    <r>
      <rPr>
        <b/>
        <sz val="12"/>
        <color rgb="FF153449"/>
        <rFont val="Noto Sans"/>
        <family val="2"/>
      </rPr>
      <t xml:space="preserve">现金 </t>
    </r>
    <r>
      <rPr>
        <b/>
        <sz val="12"/>
        <color rgb="FF153449"/>
        <rFont val="Noto Sans"/>
        <family val="2"/>
        <charset val="1"/>
      </rPr>
      <t>USD</t>
    </r>
  </si>
  <si>
    <r>
      <rPr>
        <b/>
        <sz val="12"/>
        <color rgb="FF153449"/>
        <rFont val="Noto Sans"/>
        <family val="2"/>
      </rPr>
      <t xml:space="preserve">总值 </t>
    </r>
    <r>
      <rPr>
        <b/>
        <sz val="12"/>
        <color rgb="FF153449"/>
        <rFont val="Noto Sans"/>
        <family val="2"/>
        <charset val="1"/>
      </rPr>
      <t>USD</t>
    </r>
  </si>
  <si>
    <r>
      <rPr>
        <sz val="10"/>
        <color rgb="FF536774"/>
        <rFont val="Noto Sans"/>
        <family val="2"/>
      </rPr>
      <t>现金请按嘉信余额手动填写；账户总值＝</t>
    </r>
    <r>
      <rPr>
        <sz val="10"/>
        <color rgb="FF536774"/>
        <rFont val="Noto Sans"/>
        <family val="2"/>
        <charset val="1"/>
      </rPr>
      <t xml:space="preserve">ETF </t>
    </r>
    <r>
      <rPr>
        <sz val="10"/>
        <color rgb="FF536774"/>
        <rFont val="Noto Sans"/>
        <family val="2"/>
      </rPr>
      <t>市值＋现金。</t>
    </r>
  </si>
  <si>
    <t>累计买入</t>
  </si>
  <si>
    <r>
      <rPr>
        <b/>
        <sz val="12"/>
        <color rgb="FF153449"/>
        <rFont val="Noto Sans"/>
        <family val="2"/>
      </rPr>
      <t xml:space="preserve">到账 </t>
    </r>
    <r>
      <rPr>
        <b/>
        <sz val="12"/>
        <color rgb="FF153449"/>
        <rFont val="Noto Sans"/>
        <family val="2"/>
        <charset val="1"/>
      </rPr>
      <t>USD</t>
    </r>
  </si>
  <si>
    <t>税后分红</t>
  </si>
  <si>
    <t>已实现盈亏</t>
  </si>
  <si>
    <r>
      <rPr>
        <sz val="10"/>
        <color rgb="FF795600"/>
        <rFont val="Noto Sans"/>
        <family val="2"/>
      </rPr>
      <t>每月先填回撤计划指数数据，再分别记录换汇、转账和</t>
    </r>
    <r>
      <rPr>
        <sz val="10"/>
        <color rgb="FF795600"/>
        <rFont val="Noto Sans"/>
        <family val="2"/>
        <charset val="1"/>
      </rPr>
      <t>ETF</t>
    </r>
    <r>
      <rPr>
        <sz val="10"/>
        <color rgb="FF795600"/>
        <rFont val="Noto Sans"/>
        <family val="2"/>
      </rPr>
      <t>成交。已保留你填写的各笔金额、日期、账户、备注、份额及行情；美元到账按实际终端记录汇总，避免重复计入。</t>
    </r>
  </si>
  <si>
    <r>
      <rPr>
        <sz val="10"/>
        <color rgb="FF344F60"/>
        <rFont val="Noto Sans"/>
        <family val="2"/>
      </rPr>
      <t xml:space="preserve">说明：持仓收益率为未实现盈亏 </t>
    </r>
    <r>
      <rPr>
        <sz val="10"/>
        <color rgb="FF344F60"/>
        <rFont val="Noto Sans"/>
        <family val="2"/>
        <charset val="1"/>
      </rPr>
      <t xml:space="preserve">÷ </t>
    </r>
    <r>
      <rPr>
        <sz val="10"/>
        <color rgb="FF344F60"/>
        <rFont val="Noto Sans"/>
        <family val="2"/>
      </rPr>
      <t xml:space="preserve">当前持仓成本，并非年化收益率。买卖成本采用移动加权平均法作投资分析；券商成交记录和税务成本口径可能不同。已有 </t>
    </r>
    <r>
      <rPr>
        <sz val="10"/>
        <color rgb="FF344F60"/>
        <rFont val="Noto Sans"/>
        <family val="2"/>
        <charset val="1"/>
      </rPr>
      <t xml:space="preserve">SMH </t>
    </r>
    <r>
      <rPr>
        <sz val="10"/>
        <color rgb="FF344F60"/>
        <rFont val="Noto Sans"/>
        <family val="2"/>
      </rPr>
      <t>只记录，不触发卖出。</t>
    </r>
  </si>
  <si>
    <r>
      <rPr>
        <sz val="10"/>
        <color rgb="FF344F60"/>
        <rFont val="Noto Sans"/>
        <family val="2"/>
      </rPr>
      <t>本表执行</t>
    </r>
    <r>
      <rPr>
        <sz val="10"/>
        <color rgb="FF344F60"/>
        <rFont val="Noto Sans"/>
        <family val="2"/>
        <charset val="1"/>
      </rPr>
      <t>500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750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1000</t>
    </r>
    <r>
      <rPr>
        <sz val="10"/>
        <color rgb="FF344F60"/>
        <rFont val="Noto Sans"/>
        <family val="2"/>
      </rPr>
      <t>美元回撤计划，额外预算累计</t>
    </r>
    <r>
      <rPr>
        <sz val="10"/>
        <color rgb="FF344F60"/>
        <rFont val="Noto Sans"/>
        <family val="2"/>
        <charset val="1"/>
      </rPr>
      <t>5000</t>
    </r>
    <r>
      <rPr>
        <sz val="10"/>
        <color rgb="FF344F60"/>
        <rFont val="Noto Sans"/>
        <family val="2"/>
      </rPr>
      <t>美元，实际耗尽后回到</t>
    </r>
    <r>
      <rPr>
        <sz val="10"/>
        <color rgb="FF344F60"/>
        <rFont val="Noto Sans"/>
        <family val="2"/>
        <charset val="1"/>
      </rPr>
      <t>500</t>
    </r>
    <r>
      <rPr>
        <sz val="10"/>
        <color rgb="FF344F60"/>
        <rFont val="Noto Sans"/>
        <family val="2"/>
      </rPr>
      <t>。目标比例</t>
    </r>
    <r>
      <rPr>
        <sz val="10"/>
        <color rgb="FF344F60"/>
        <rFont val="Noto Sans"/>
        <family val="2"/>
        <charset val="1"/>
      </rPr>
      <t>90%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10%</t>
    </r>
    <r>
      <rPr>
        <sz val="10"/>
        <color rgb="FF344F60"/>
        <rFont val="Noto Sans"/>
        <family val="2"/>
      </rPr>
      <t>；</t>
    </r>
    <r>
      <rPr>
        <sz val="10"/>
        <color rgb="FF344F60"/>
        <rFont val="Noto Sans"/>
        <family val="2"/>
        <charset val="1"/>
      </rPr>
      <t>SMH</t>
    </r>
    <r>
      <rPr>
        <sz val="10"/>
        <color rgb="FF344F60"/>
        <rFont val="Noto Sans"/>
        <family val="2"/>
      </rPr>
      <t>历史持仓继续记录。修改基础额、预算或目标会重算计划及统计，请先备份。</t>
    </r>
  </si>
  <si>
    <r>
      <rPr>
        <sz val="10"/>
        <color rgb="FF153449"/>
        <rFont val="Noto Sans"/>
        <family val="2"/>
      </rPr>
      <t xml:space="preserve">额外预算 </t>
    </r>
    <r>
      <rPr>
        <sz val="10"/>
        <color rgb="FF153449"/>
        <rFont val="Noto Sans"/>
        <family val="2"/>
        <charset val="1"/>
      </rPr>
      <t>USD</t>
    </r>
  </si>
  <si>
    <r>
      <rPr>
        <sz val="10"/>
        <color rgb="FF153449"/>
        <rFont val="Noto Sans"/>
        <family val="2"/>
      </rPr>
      <t>实际加投按回撤计划记录扣减。分红再投／其他买入在交易记录</t>
    </r>
    <r>
      <rPr>
        <sz val="10"/>
        <color rgb="FF153449"/>
        <rFont val="Noto Sans"/>
        <family val="2"/>
        <charset val="1"/>
      </rPr>
      <t>P</t>
    </r>
    <r>
      <rPr>
        <sz val="10"/>
        <color rgb="FF153449"/>
        <rFont val="Noto Sans"/>
        <family val="2"/>
      </rPr>
      <t>列分类；必要时在回撤计划</t>
    </r>
    <r>
      <rPr>
        <sz val="10"/>
        <color rgb="FF153449"/>
        <rFont val="Noto Sans"/>
        <family val="2"/>
        <charset val="1"/>
      </rPr>
      <t>O</t>
    </r>
    <r>
      <rPr>
        <sz val="10"/>
        <color rgb="FF153449"/>
        <rFont val="Noto Sans"/>
        <family val="2"/>
      </rPr>
      <t>列修正实际使用额外预算。嘉信可用现金仍按实际账户余额手动更新。</t>
    </r>
  </si>
  <si>
    <r>
      <rPr>
        <sz val="10"/>
        <color rgb="FF153449"/>
        <rFont val="Noto Sans"/>
        <family val="2"/>
      </rPr>
      <t xml:space="preserve">额外已用 </t>
    </r>
    <r>
      <rPr>
        <sz val="10"/>
        <color rgb="FF153449"/>
        <rFont val="Noto Sans"/>
        <family val="2"/>
        <charset val="1"/>
      </rPr>
      <t>USD</t>
    </r>
  </si>
  <si>
    <r>
      <rPr>
        <sz val="10"/>
        <color rgb="FF153449"/>
        <rFont val="Noto Sans"/>
        <family val="2"/>
      </rPr>
      <t xml:space="preserve">额外剩余 </t>
    </r>
    <r>
      <rPr>
        <sz val="10"/>
        <color rgb="FF153449"/>
        <rFont val="Noto Sans"/>
        <family val="2"/>
        <charset val="1"/>
      </rPr>
      <t>USD</t>
    </r>
  </si>
  <si>
    <t>回撤计划</t>
  </si>
  <si>
    <r>
      <rPr>
        <sz val="10"/>
        <color rgb="FF536774"/>
        <rFont val="Microsoft YaHei"/>
        <family val="2"/>
        <charset val="134"/>
      </rPr>
      <t>10%</t>
    </r>
    <r>
      <rPr>
        <sz val="10"/>
        <color rgb="FF536774"/>
        <rFont val="Noto Sans"/>
        <family val="2"/>
      </rPr>
      <t>以下</t>
    </r>
    <r>
      <rPr>
        <sz val="10"/>
        <color rgb="FF536774"/>
        <rFont val="Microsoft YaHei"/>
        <family val="2"/>
        <charset val="134"/>
      </rPr>
      <t>500</t>
    </r>
    <r>
      <rPr>
        <sz val="10"/>
        <color rgb="FF536774"/>
        <rFont val="Noto Sans"/>
        <family val="2"/>
      </rPr>
      <t>；</t>
    </r>
    <r>
      <rPr>
        <sz val="10"/>
        <color rgb="FF536774"/>
        <rFont val="Microsoft YaHei"/>
        <family val="2"/>
        <charset val="134"/>
      </rPr>
      <t>10%</t>
    </r>
    <r>
      <rPr>
        <sz val="10"/>
        <color rgb="FF536774"/>
        <rFont val="Noto Sans"/>
        <family val="2"/>
      </rPr>
      <t>至不足</t>
    </r>
    <r>
      <rPr>
        <sz val="10"/>
        <color rgb="FF536774"/>
        <rFont val="Microsoft YaHei"/>
        <family val="2"/>
        <charset val="134"/>
      </rPr>
      <t>20%</t>
    </r>
    <r>
      <rPr>
        <sz val="10"/>
        <color rgb="FF536774"/>
        <rFont val="Noto Sans"/>
        <family val="2"/>
      </rPr>
      <t>为</t>
    </r>
    <r>
      <rPr>
        <sz val="10"/>
        <color rgb="FF536774"/>
        <rFont val="Microsoft YaHei"/>
        <family val="2"/>
        <charset val="134"/>
      </rPr>
      <t>750</t>
    </r>
    <r>
      <rPr>
        <sz val="10"/>
        <color rgb="FF536774"/>
        <rFont val="Noto Sans"/>
        <family val="2"/>
      </rPr>
      <t>；</t>
    </r>
    <r>
      <rPr>
        <sz val="10"/>
        <color rgb="FF536774"/>
        <rFont val="Microsoft YaHei"/>
        <family val="2"/>
        <charset val="134"/>
      </rPr>
      <t>20%</t>
    </r>
    <r>
      <rPr>
        <sz val="10"/>
        <color rgb="FF536774"/>
        <rFont val="Noto Sans"/>
        <family val="2"/>
      </rPr>
      <t>及以上</t>
    </r>
    <r>
      <rPr>
        <sz val="10"/>
        <color rgb="FF536774"/>
        <rFont val="Microsoft YaHei"/>
        <family val="2"/>
        <charset val="134"/>
      </rPr>
      <t>1000</t>
    </r>
    <r>
      <rPr>
        <sz val="10"/>
        <color rgb="FF536774"/>
        <rFont val="Noto Sans"/>
        <family val="2"/>
      </rPr>
      <t>。</t>
    </r>
    <r>
      <rPr>
        <sz val="10"/>
        <color rgb="FF536774"/>
        <rFont val="Microsoft YaHei"/>
        <family val="2"/>
        <charset val="134"/>
      </rPr>
      <t>5000</t>
    </r>
    <r>
      <rPr>
        <sz val="10"/>
        <color rgb="FF536774"/>
        <rFont val="Noto Sans"/>
        <family val="2"/>
      </rPr>
      <t>美元仅约束额外投入，按实际买入扣减，用完恢复</t>
    </r>
    <r>
      <rPr>
        <sz val="10"/>
        <color rgb="FF536774"/>
        <rFont val="Microsoft YaHei"/>
        <family val="2"/>
        <charset val="134"/>
      </rPr>
      <t>500</t>
    </r>
    <r>
      <rPr>
        <sz val="10"/>
        <color rgb="FF536774"/>
        <rFont val="Noto Sans"/>
        <family val="2"/>
      </rPr>
      <t>。每月</t>
    </r>
    <r>
      <rPr>
        <sz val="10"/>
        <color rgb="FF536774"/>
        <rFont val="Microsoft YaHei"/>
        <family val="2"/>
        <charset val="134"/>
      </rPr>
      <t>10</t>
    </r>
    <r>
      <rPr>
        <sz val="10"/>
        <color rgb="FF536774"/>
        <rFont val="Noto Sans"/>
        <family val="2"/>
      </rPr>
      <t>日交易前填最近已结束美股交易日收盘；遇休市顺延。</t>
    </r>
  </si>
  <si>
    <r>
      <rPr>
        <sz val="10"/>
        <color rgb="FF153449"/>
        <rFont val="Noto Sans"/>
        <family val="2"/>
      </rPr>
      <t xml:space="preserve">基础月投 </t>
    </r>
    <r>
      <rPr>
        <sz val="10"/>
        <color rgb="FF153449"/>
        <rFont val="Noto Sans"/>
        <family val="2"/>
        <charset val="1"/>
      </rPr>
      <t>USD</t>
    </r>
  </si>
  <si>
    <t>起始历史高收盘</t>
  </si>
  <si>
    <r>
      <rPr>
        <sz val="10"/>
        <color rgb="FF795600"/>
        <rFont val="Noto Sans"/>
        <family val="2"/>
      </rPr>
      <t>先在</t>
    </r>
    <r>
      <rPr>
        <sz val="10"/>
        <color rgb="FF795600"/>
        <rFont val="Noto Sans"/>
        <family val="2"/>
        <charset val="1"/>
      </rPr>
      <t>H4</t>
    </r>
    <r>
      <rPr>
        <sz val="10"/>
        <color rgb="FF795600"/>
        <rFont val="Noto Sans"/>
        <family val="2"/>
      </rPr>
      <t>填写核对过的起始历史最高收盘；后续出现更高收盘，填对应月</t>
    </r>
    <r>
      <rPr>
        <sz val="10"/>
        <color rgb="FF795600"/>
        <rFont val="Noto Sans"/>
        <family val="2"/>
        <charset val="1"/>
      </rPr>
      <t>D</t>
    </r>
    <r>
      <rPr>
        <sz val="10"/>
        <color rgb="FF795600"/>
        <rFont val="Noto Sans"/>
        <family val="2"/>
      </rPr>
      <t>列（当月收盘创新高也会自动上调）。高点不随反弹下调；预算不自动重置。</t>
    </r>
  </si>
  <si>
    <r>
      <rPr>
        <sz val="10"/>
        <color rgb="FF536774"/>
        <rFont val="Noto Sans"/>
        <family val="2"/>
      </rPr>
      <t>实际定投仅计</t>
    </r>
    <r>
      <rPr>
        <sz val="10"/>
        <color rgb="FF536774"/>
        <rFont val="Noto Sans"/>
        <family val="2"/>
        <charset val="1"/>
      </rPr>
      <t>VOO</t>
    </r>
    <r>
      <rPr>
        <sz val="10"/>
        <color rgb="FF536774"/>
        <rFont val="Noto Sans"/>
        <family val="2"/>
      </rPr>
      <t>／</t>
    </r>
    <r>
      <rPr>
        <sz val="10"/>
        <color rgb="FF536774"/>
        <rFont val="Noto Sans"/>
        <family val="2"/>
        <charset val="1"/>
      </rPr>
      <t>QQQM</t>
    </r>
    <r>
      <rPr>
        <sz val="10"/>
        <color rgb="FF536774"/>
        <rFont val="Noto Sans"/>
        <family val="2"/>
      </rPr>
      <t>买入及手续费，排除</t>
    </r>
    <r>
      <rPr>
        <sz val="10"/>
        <color rgb="FF536774"/>
        <rFont val="Noto Sans"/>
        <family val="2"/>
        <charset val="1"/>
      </rPr>
      <t>P</t>
    </r>
    <r>
      <rPr>
        <sz val="10"/>
        <color rgb="FF536774"/>
        <rFont val="Noto Sans"/>
        <family val="2"/>
      </rPr>
      <t>列“分红再投／其他”。额外参考</t>
    </r>
    <r>
      <rPr>
        <sz val="10"/>
        <color rgb="FF536774"/>
        <rFont val="Noto Sans"/>
        <family val="2"/>
        <charset val="1"/>
      </rPr>
      <t>=max(</t>
    </r>
    <r>
      <rPr>
        <sz val="10"/>
        <color rgb="FF536774"/>
        <rFont val="Noto Sans"/>
        <family val="2"/>
      </rPr>
      <t>当月实际定投−</t>
    </r>
    <r>
      <rPr>
        <sz val="10"/>
        <color rgb="FF536774"/>
        <rFont val="Noto Sans"/>
        <family val="2"/>
        <charset val="1"/>
      </rPr>
      <t>500,0)</t>
    </r>
    <r>
      <rPr>
        <sz val="10"/>
        <color rgb="FF536774"/>
        <rFont val="Noto Sans"/>
        <family val="2"/>
      </rPr>
      <t>；若资金用途不同，在</t>
    </r>
    <r>
      <rPr>
        <sz val="10"/>
        <color rgb="FF536774"/>
        <rFont val="Noto Sans"/>
        <family val="2"/>
        <charset val="1"/>
      </rPr>
      <t>O</t>
    </r>
    <r>
      <rPr>
        <sz val="10"/>
        <color rgb="FF536774"/>
        <rFont val="Noto Sans"/>
        <family val="2"/>
      </rPr>
      <t>列填实际动用预算（</t>
    </r>
    <r>
      <rPr>
        <sz val="10"/>
        <color rgb="FF536774"/>
        <rFont val="Noto Sans"/>
        <family val="2"/>
        <charset val="1"/>
      </rPr>
      <t>0</t>
    </r>
    <r>
      <rPr>
        <sz val="10"/>
        <color rgb="FF536774"/>
        <rFont val="Noto Sans"/>
        <family val="2"/>
      </rPr>
      <t>也有效）。交易未记入前不扣预算。</t>
    </r>
  </si>
  <si>
    <t>计划日期</t>
  </si>
  <si>
    <t>观察收盘日</t>
  </si>
  <si>
    <r>
      <rPr>
        <b/>
        <sz val="10"/>
        <color rgb="FFFFFFFF"/>
        <rFont val="Noto Sans"/>
        <family val="2"/>
      </rPr>
      <t>标普</t>
    </r>
    <r>
      <rPr>
        <b/>
        <sz val="10"/>
        <color rgb="FFFFFFFF"/>
        <rFont val="Noto Sans"/>
        <family val="2"/>
        <charset val="1"/>
      </rPr>
      <t>500</t>
    </r>
    <r>
      <rPr>
        <b/>
        <sz val="10"/>
        <color rgb="FFFFFFFF"/>
        <rFont val="Noto Sans"/>
        <family val="2"/>
      </rPr>
      <t>收盘</t>
    </r>
  </si>
  <si>
    <t>新历史高收盘</t>
  </si>
  <si>
    <t>沿用历史高点</t>
  </si>
  <si>
    <t>回撤幅度</t>
  </si>
  <si>
    <r>
      <rPr>
        <b/>
        <sz val="10"/>
        <color rgb="FFFFFFFF"/>
        <rFont val="Noto Sans"/>
        <family val="2"/>
      </rPr>
      <t xml:space="preserve">标准月额 </t>
    </r>
    <r>
      <rPr>
        <b/>
        <sz val="10"/>
        <color rgb="FFFFFFFF"/>
        <rFont val="Noto Sans"/>
        <family val="2"/>
        <charset val="1"/>
      </rPr>
      <t>USD</t>
    </r>
  </si>
  <si>
    <t>月初加投余款</t>
  </si>
  <si>
    <r>
      <rPr>
        <b/>
        <sz val="10"/>
        <color rgb="FFFFFFFF"/>
        <rFont val="Noto Sans"/>
        <family val="2"/>
      </rPr>
      <t xml:space="preserve">计划额外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</si>
  <si>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本月合计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</si>
  <si>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34"/>
      </rPr>
      <t>VOO</t>
    </r>
    <r>
      <rPr>
        <b/>
        <sz val="10"/>
        <color rgb="FFFFFFFF"/>
        <rFont val="Noto Sans"/>
        <family val="2"/>
      </rPr>
      <t xml:space="preserve">计划 </t>
    </r>
    <r>
      <rPr>
        <b/>
        <sz val="10"/>
        <color rgb="FFFFFFFF"/>
        <rFont val="Microsoft YaHei"/>
        <family val="2"/>
        <charset val="134"/>
      </rPr>
      <t>USD</t>
    </r>
  </si>
  <si>
    <r>
      <rPr>
        <b/>
        <sz val="10"/>
        <color rgb="FFFFFFFF"/>
        <rFont val="Microsoft YaHei"/>
        <family val="2"/>
        <charset val="134"/>
      </rPr>
      <t>QQQM</t>
    </r>
    <r>
      <rPr>
        <b/>
        <sz val="10"/>
        <color rgb="FFFFFFFF"/>
        <rFont val="Noto Sans"/>
        <family val="2"/>
      </rPr>
      <t xml:space="preserve">计划 </t>
    </r>
    <r>
      <rPr>
        <b/>
        <sz val="10"/>
        <color rgb="FFFFFFFF"/>
        <rFont val="Microsoft YaHei"/>
        <family val="2"/>
        <charset val="134"/>
      </rPr>
      <t>USD</t>
    </r>
  </si>
  <si>
    <r>
      <rPr>
        <b/>
        <sz val="10"/>
        <color rgb="FFFFFFFF"/>
        <rFont val="Noto Sans"/>
        <family val="2"/>
      </rPr>
      <t xml:space="preserve">实际定投 </t>
    </r>
    <r>
      <rPr>
        <b/>
        <sz val="10"/>
        <color rgb="FFFFFFFF"/>
        <rFont val="Noto Sans"/>
        <family val="2"/>
        <charset val="1"/>
      </rPr>
      <t>USD</t>
    </r>
  </si>
  <si>
    <t>额外支出参考</t>
  </si>
  <si>
    <t>实际额外（选填）</t>
  </si>
  <si>
    <r>
      <rPr>
        <b/>
        <sz val="10"/>
        <color rgb="FFFFFFFF"/>
        <rFont val="Noto Sans"/>
        <family val="2"/>
      </rPr>
      <t xml:space="preserve">已用额外 </t>
    </r>
    <r>
      <rPr>
        <b/>
        <sz val="10"/>
        <color rgb="FFFFFFFF"/>
        <rFont val="Noto Sans"/>
        <family val="2"/>
        <charset val="1"/>
      </rPr>
      <t>USD</t>
    </r>
  </si>
  <si>
    <t>月底加投余款</t>
  </si>
  <si>
    <t>备注</t>
  </si>
  <si>
    <t>月度计划</t>
  </si>
  <si>
    <r>
      <rPr>
        <sz val="10"/>
        <color rgb="FF536774"/>
        <rFont val="Noto Sans"/>
        <family val="2"/>
      </rPr>
      <t>每月金额关联“回撤计划”，</t>
    </r>
    <r>
      <rPr>
        <sz val="10"/>
        <color rgb="FF536774"/>
        <rFont val="Noto Sans"/>
        <family val="2"/>
        <charset val="1"/>
      </rPr>
      <t>VOO 90%</t>
    </r>
    <r>
      <rPr>
        <sz val="10"/>
        <color rgb="FF536774"/>
        <rFont val="Noto Sans"/>
        <family val="2"/>
      </rPr>
      <t>／</t>
    </r>
    <r>
      <rPr>
        <sz val="10"/>
        <color rgb="FF536774"/>
        <rFont val="Noto Sans"/>
        <family val="2"/>
        <charset val="1"/>
      </rPr>
      <t>QQQM 10%</t>
    </r>
    <r>
      <rPr>
        <sz val="10"/>
        <color rgb="FF536774"/>
        <rFont val="Noto Sans"/>
        <family val="2"/>
      </rPr>
      <t>。指数资料未填时仅列基础</t>
    </r>
    <r>
      <rPr>
        <sz val="10"/>
        <color rgb="FF536774"/>
        <rFont val="Noto Sans"/>
        <family val="2"/>
        <charset val="1"/>
      </rPr>
      <t>500</t>
    </r>
    <r>
      <rPr>
        <sz val="10"/>
        <color rgb="FF536774"/>
        <rFont val="Noto Sans"/>
        <family val="2"/>
      </rPr>
      <t>；实际买入含手续费，分红再投／其他仍显示在实际合计，请结合回撤表常规定投核对。</t>
    </r>
  </si>
  <si>
    <r>
      <rPr>
        <b/>
        <sz val="10"/>
        <color rgb="FFFFFFFF"/>
        <rFont val="Noto Sans"/>
        <family val="2"/>
      </rPr>
      <t xml:space="preserve">回撤计划总额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</si>
  <si>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VOO</t>
    </r>
    <r>
      <rPr>
        <b/>
        <sz val="10"/>
        <color rgb="FFFFFFFF"/>
        <rFont val="Noto Sans"/>
        <family val="2"/>
      </rPr>
      <t xml:space="preserve">计划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</si>
  <si>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QQQM</t>
    </r>
    <r>
      <rPr>
        <b/>
        <sz val="10"/>
        <color rgb="FFFFFFFF"/>
        <rFont val="Noto Sans"/>
        <family val="2"/>
      </rPr>
      <t xml:space="preserve">计划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</si>
  <si>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SMH</t>
    </r>
    <r>
      <rPr>
        <b/>
        <sz val="10"/>
        <color rgb="FFFFFFFF"/>
        <rFont val="Noto Sans"/>
        <family val="2"/>
      </rPr>
      <t xml:space="preserve">计划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</si>
  <si>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VOO</t>
    </r>
    <r>
      <rPr>
        <b/>
        <sz val="10"/>
        <color rgb="FFFFFFFF"/>
        <rFont val="Noto Sans"/>
        <family val="2"/>
      </rPr>
      <t xml:space="preserve">实际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</si>
  <si>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QQQM</t>
    </r>
    <r>
      <rPr>
        <b/>
        <sz val="10"/>
        <color rgb="FFFFFFFF"/>
        <rFont val="Noto Sans"/>
        <family val="2"/>
      </rPr>
      <t xml:space="preserve">实际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</si>
  <si>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Microsoft YaHei"/>
        <family val="2"/>
        <charset val="1"/>
      </rPr>
      <t>SMH</t>
    </r>
    <r>
      <rPr>
        <b/>
        <sz val="10"/>
        <color rgb="FFFFFFFF"/>
        <rFont val="Noto Sans"/>
        <family val="2"/>
      </rPr>
      <t xml:space="preserve">实际 </t>
    </r>
    <r>
      <rPr>
        <b/>
        <sz val="10"/>
        <color rgb="FFFFFFFF"/>
        <rFont val="Microsoft YaHei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</si>
  <si>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实际合计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</si>
  <si>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实际－预算 </t>
    </r>
    <r>
      <rPr>
        <b/>
        <sz val="10"/>
        <color rgb="FFFFFFFF"/>
        <rFont val="Noto Sans"/>
        <family val="2"/>
        <charset val="1"/>
      </rPr>
      <t>USD</t>
    </r>
  </si>
  <si>
    <t>执行状态</t>
  </si>
  <si>
    <t>交易记录</t>
  </si>
  <si>
    <r>
      <rPr>
        <sz val="10"/>
        <color rgb="FF536774"/>
        <rFont val="Noto Sans"/>
        <family val="2"/>
      </rPr>
      <t>每笔成交一行；按实际日期排序。</t>
    </r>
    <r>
      <rPr>
        <sz val="10"/>
        <color rgb="FF536774"/>
        <rFont val="Noto Sans"/>
        <family val="2"/>
        <charset val="1"/>
      </rPr>
      <t>P</t>
    </r>
    <r>
      <rPr>
        <sz val="10"/>
        <color rgb="FF536774"/>
        <rFont val="Noto Sans"/>
        <family val="2"/>
      </rPr>
      <t>列空白默认定投；分红再投／其他买入请标明用途。蓝色格填写；成交金额不含手续费。</t>
    </r>
  </si>
  <si>
    <t>成交日期</t>
  </si>
  <si>
    <t>方向</t>
  </si>
  <si>
    <r>
      <rPr>
        <b/>
        <sz val="10"/>
        <color rgb="FFFFFFFF"/>
        <rFont val="Noto Sans"/>
        <family val="2"/>
      </rPr>
      <t xml:space="preserve">成交金额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</si>
  <si>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手续费 </t>
    </r>
    <r>
      <rPr>
        <b/>
        <sz val="10"/>
        <color rgb="FFFFFFFF"/>
        <rFont val="Noto Sans"/>
        <family val="2"/>
        <charset val="1"/>
      </rPr>
      <t>USD</t>
    </r>
  </si>
  <si>
    <t>成交份额</t>
  </si>
  <si>
    <r>
      <rPr>
        <b/>
        <sz val="10"/>
        <color rgb="FFFFFFFF"/>
        <rFont val="Noto Sans"/>
        <family val="2"/>
      </rPr>
      <t xml:space="preserve">现金变动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</si>
  <si>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成本变动 </t>
    </r>
    <r>
      <rPr>
        <b/>
        <sz val="10"/>
        <color rgb="FFFFFFFF"/>
        <rFont val="Noto Sans"/>
        <family val="2"/>
        <charset val="1"/>
      </rPr>
      <t>USD</t>
    </r>
  </si>
  <si>
    <t>份额变动</t>
  </si>
  <si>
    <r>
      <rPr>
        <b/>
        <sz val="10"/>
        <color rgb="FFFFFFFF"/>
        <rFont val="Noto Sans"/>
        <family val="2"/>
      </rPr>
      <t xml:space="preserve">已实现盈亏 </t>
    </r>
    <r>
      <rPr>
        <b/>
        <sz val="10"/>
        <color rgb="FFFFFFFF"/>
        <rFont val="Noto Sans"/>
        <family val="2"/>
        <charset val="1"/>
      </rPr>
      <t>USD</t>
    </r>
  </si>
  <si>
    <t>检查状态</t>
  </si>
  <si>
    <t>前序份额</t>
  </si>
  <si>
    <t>前序成本</t>
  </si>
  <si>
    <t>前序缺项</t>
  </si>
  <si>
    <t>买入用途</t>
  </si>
  <si>
    <t>买入</t>
  </si>
  <si>
    <t>其他</t>
  </si>
  <si>
    <t>换汇记录</t>
  </si>
  <si>
    <t>每次换币一行：人民币→港元、嘉信入金港元→美元分别记录。可多次转账、保留港元；不会把整笔购汇本金算作已投入美元。流水号可与对应转账相同。</t>
  </si>
  <si>
    <t>换汇日期</t>
  </si>
  <si>
    <t>流水／关联编号</t>
  </si>
  <si>
    <t>付币账户</t>
  </si>
  <si>
    <t>付出币种</t>
  </si>
  <si>
    <t>换汇本金</t>
  </si>
  <si>
    <t>收币账户</t>
  </si>
  <si>
    <t>收到币种</t>
  </si>
  <si>
    <t>实际收到金额</t>
  </si>
  <si>
    <t>另付费币种</t>
  </si>
  <si>
    <t>另付费用</t>
  </si>
  <si>
    <t>付币／收币汇率</t>
  </si>
  <si>
    <r>
      <rPr>
        <b/>
        <sz val="10"/>
        <color rgb="FFFFFFFF"/>
        <rFont val="Noto Sans"/>
        <family val="2"/>
      </rPr>
      <t xml:space="preserve">计入嘉信入金 </t>
    </r>
    <r>
      <rPr>
        <b/>
        <sz val="10"/>
        <color rgb="FFFFFFFF"/>
        <rFont val="Noto Sans"/>
        <family val="2"/>
        <charset val="134"/>
      </rPr>
      <t>USD</t>
    </r>
  </si>
  <si>
    <t>国内银行</t>
  </si>
  <si>
    <t>RMB</t>
  </si>
  <si>
    <t>香港汇丰</t>
  </si>
  <si>
    <t>HKD</t>
  </si>
  <si>
    <t>交通银行跨境支付通</t>
  </si>
  <si>
    <t>嘉信入金中转</t>
  </si>
  <si>
    <t>USD</t>
  </si>
  <si>
    <t>业兴银行购汇并转账</t>
  </si>
  <si>
    <t>入金记录</t>
  </si>
  <si>
    <t>每次转账一行，可只转出部分港元。转账两端为同一币种；涉及自动换汇时另填“换汇记录”。本金不含另外支付的费用；同一笔资金可沿用关联编号。</t>
  </si>
  <si>
    <t>汇出日期</t>
  </si>
  <si>
    <t>汇出账户</t>
  </si>
  <si>
    <t>币种</t>
  </si>
  <si>
    <t>汇出本金</t>
  </si>
  <si>
    <t>收款账户</t>
  </si>
  <si>
    <t>实际到账本金</t>
  </si>
  <si>
    <t>到账日期</t>
  </si>
  <si>
    <t>到账差额</t>
  </si>
  <si>
    <t>嘉信证券</t>
  </si>
  <si>
    <t>分红记录</t>
  </si>
  <si>
    <t>每次分红一行。税前、预扣税、其他费用按嘉信流水填写；税后分红自动计算。再投资另记一笔买入。</t>
  </si>
  <si>
    <r>
      <rPr>
        <b/>
        <sz val="10"/>
        <color rgb="FFFFFFFF"/>
        <rFont val="Noto Sans"/>
        <family val="2"/>
      </rPr>
      <t xml:space="preserve">税前分红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</si>
  <si>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预扣税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</si>
  <si>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其他费用 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</si>
  <si>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税后分红 </t>
    </r>
    <r>
      <rPr>
        <b/>
        <sz val="10"/>
        <color rgb="FFFFFFFF"/>
        <rFont val="Noto Sans"/>
        <family val="2"/>
        <charset val="1"/>
      </rPr>
      <t>USD</t>
    </r>
  </si>
  <si>
    <t>使用说明</t>
  </si>
  <si>
    <r>
      <rPr>
        <sz val="10"/>
        <color rgb="FF536774"/>
        <rFont val="Noto Sans"/>
        <family val="2"/>
      </rPr>
      <t xml:space="preserve">适用：电脑 </t>
    </r>
    <r>
      <rPr>
        <sz val="10"/>
        <color rgb="FF536774"/>
        <rFont val="Noto Sans"/>
        <family val="2"/>
        <charset val="1"/>
      </rPr>
      <t>Excel</t>
    </r>
    <r>
      <rPr>
        <sz val="10"/>
        <color rgb="FF536774"/>
        <rFont val="Noto Sans"/>
        <family val="2"/>
      </rPr>
      <t>／</t>
    </r>
    <r>
      <rPr>
        <sz val="10"/>
        <color rgb="FF536774"/>
        <rFont val="Noto Sans"/>
        <family val="2"/>
        <charset val="1"/>
      </rPr>
      <t>WPS</t>
    </r>
    <r>
      <rPr>
        <sz val="10"/>
        <color rgb="FF536774"/>
        <rFont val="Noto Sans"/>
        <family val="2"/>
      </rPr>
      <t xml:space="preserve">；人民币—港元—美元入金；长期 </t>
    </r>
    <r>
      <rPr>
        <sz val="10"/>
        <color rgb="FF536774"/>
        <rFont val="Noto Sans"/>
        <family val="2"/>
        <charset val="1"/>
      </rPr>
      <t xml:space="preserve">ETF </t>
    </r>
    <r>
      <rPr>
        <sz val="10"/>
        <color rgb="FF536774"/>
        <rFont val="Noto Sans"/>
        <family val="2"/>
      </rPr>
      <t>定投。无宏，无实时行情连接。</t>
    </r>
  </si>
  <si>
    <t>首次填写与已保留数据</t>
  </si>
  <si>
    <t>已保留你填写的历史买入、实际份额、行情、嘉信现金及换汇／入金记录。“资金余额”工作表已移除；隐藏的“原入金记录”继续留作备份。金额和份额均以你的记录为准。</t>
  </si>
  <si>
    <t>每月操作顺序</t>
  </si>
  <si>
    <r>
      <rPr>
        <sz val="10"/>
        <color rgb="FF344F60"/>
        <rFont val="Noto Sans"/>
        <family val="2"/>
      </rPr>
      <t>① 交易前在回撤计划填最近已结束美股交易日收盘日、指数收盘，核对历史最高收盘；② 按计算结果安排换汇、转账；③ 成交后逐笔记录实际金额、费用、份额；④ 更新现金／行情，有分红则另记。每月</t>
    </r>
    <r>
      <rPr>
        <sz val="10"/>
        <color rgb="FF344F60"/>
        <rFont val="Noto Sans"/>
        <family val="2"/>
        <charset val="1"/>
      </rPr>
      <t>10</t>
    </r>
    <r>
      <rPr>
        <sz val="10"/>
        <color rgb="FF344F60"/>
        <rFont val="Noto Sans"/>
        <family val="2"/>
      </rPr>
      <t>日遇休市顺延，不自动下单。</t>
    </r>
  </si>
  <si>
    <t>金额与费用</t>
  </si>
  <si>
    <t>所有本金均不含另付费用。费用已体现在汇出与到账差额或换汇实收中时，不再重复登记；“另付费用”默认从该行付币／汇出账户扣除，用币种字段区分。若费用由另一账户承担，调整备注并另行核对余额；不能直接相加不同币种。</t>
  </si>
  <si>
    <t>转账与换汇分开；允许部分入金</t>
  </si>
  <si>
    <r>
      <rPr>
        <sz val="10"/>
        <color rgb="FF344F60"/>
        <rFont val="Noto Sans"/>
        <family val="2"/>
      </rPr>
      <t>每次换汇和每次转账分别记一行，允许只转出部分港元。兼容两条记录路径：① 香港汇丰</t>
    </r>
    <r>
      <rPr>
        <sz val="10"/>
        <color rgb="FF344F60"/>
        <rFont val="Noto Sans"/>
        <family val="2"/>
        <charset val="1"/>
      </rPr>
      <t>HKD→</t>
    </r>
    <r>
      <rPr>
        <sz val="10"/>
        <color rgb="FF344F60"/>
        <rFont val="Noto Sans"/>
        <family val="2"/>
      </rPr>
      <t>嘉信入金中转</t>
    </r>
    <r>
      <rPr>
        <sz val="10"/>
        <color rgb="FF344F60"/>
        <rFont val="Noto Sans"/>
        <family val="2"/>
        <charset val="1"/>
      </rPr>
      <t>USD</t>
    </r>
    <r>
      <rPr>
        <sz val="10"/>
        <color rgb="FF344F60"/>
        <rFont val="Noto Sans"/>
        <family val="2"/>
      </rPr>
      <t>（换汇记录），再中转</t>
    </r>
    <r>
      <rPr>
        <sz val="10"/>
        <color rgb="FF344F60"/>
        <rFont val="Noto Sans"/>
        <family val="2"/>
        <charset val="1"/>
      </rPr>
      <t>USD→</t>
    </r>
    <r>
      <rPr>
        <sz val="10"/>
        <color rgb="FF344F60"/>
        <rFont val="Noto Sans"/>
        <family val="2"/>
      </rPr>
      <t>嘉信证券</t>
    </r>
    <r>
      <rPr>
        <sz val="10"/>
        <color rgb="FF344F60"/>
        <rFont val="Noto Sans"/>
        <family val="2"/>
        <charset val="1"/>
      </rPr>
      <t>USD</t>
    </r>
    <r>
      <rPr>
        <sz val="10"/>
        <color rgb="FF344F60"/>
        <rFont val="Noto Sans"/>
        <family val="2"/>
      </rPr>
      <t>（入金记录）；② 港元转至中转（入金记录），再中转</t>
    </r>
    <r>
      <rPr>
        <sz val="10"/>
        <color rgb="FF344F60"/>
        <rFont val="Noto Sans"/>
        <family val="2"/>
        <charset val="1"/>
      </rPr>
      <t>HKD→</t>
    </r>
    <r>
      <rPr>
        <sz val="10"/>
        <color rgb="FF344F60"/>
        <rFont val="Noto Sans"/>
        <family val="2"/>
      </rPr>
      <t>嘉信证券</t>
    </r>
    <r>
      <rPr>
        <sz val="10"/>
        <color rgb="FF344F60"/>
        <rFont val="Noto Sans"/>
        <family val="2"/>
        <charset val="1"/>
      </rPr>
      <t>USD</t>
    </r>
    <r>
      <rPr>
        <sz val="10"/>
        <color rgb="FF344F60"/>
        <rFont val="Noto Sans"/>
        <family val="2"/>
      </rPr>
      <t>（换汇记录）。按实际流水选择对应步骤，勿把同一到账重复记录。</t>
    </r>
  </si>
  <si>
    <t>部分入金与余额示例</t>
  </si>
  <si>
    <r>
      <rPr>
        <sz val="10"/>
        <color rgb="FF344F60"/>
        <rFont val="Noto Sans"/>
        <family val="2"/>
      </rPr>
      <t>示例（未写入实际流水）：购得</t>
    </r>
    <r>
      <rPr>
        <sz val="10"/>
        <color rgb="FF344F60"/>
        <rFont val="Noto Sans"/>
        <family val="2"/>
        <charset val="1"/>
      </rPr>
      <t>10000HKD</t>
    </r>
    <r>
      <rPr>
        <sz val="10"/>
        <color rgb="FF344F60"/>
        <rFont val="Noto Sans"/>
        <family val="2"/>
      </rPr>
      <t>，只汇</t>
    </r>
    <r>
      <rPr>
        <sz val="10"/>
        <color rgb="FF344F60"/>
        <rFont val="Noto Sans"/>
        <family val="2"/>
        <charset val="1"/>
      </rPr>
      <t>6000HKD</t>
    </r>
    <r>
      <rPr>
        <sz val="10"/>
        <color rgb="FF344F60"/>
        <rFont val="Noto Sans"/>
        <family val="2"/>
      </rPr>
      <t>至汇丰，再汇</t>
    </r>
    <r>
      <rPr>
        <sz val="10"/>
        <color rgb="FF344F60"/>
        <rFont val="Noto Sans"/>
        <family val="2"/>
        <charset val="1"/>
      </rPr>
      <t>4000HKD</t>
    </r>
    <r>
      <rPr>
        <sz val="10"/>
        <color rgb="FF344F60"/>
        <rFont val="Noto Sans"/>
        <family val="2"/>
      </rPr>
      <t>至嘉信；其余港元可以保留。不必全部转出，也不要用全部购汇人民币本金除以部分美元到账。每次实际金额、账户、币种和到账日期分别填，相关步骤可共用流水编号。</t>
    </r>
  </si>
  <si>
    <t>交易顺序与卖出</t>
  </si>
  <si>
    <t>始终按实际日期从早到晚填写，同一天按实际成交顺序。持仓成本采用移动加权平均法：卖出按此前平均成本扣减，差额计入已实现盈亏。它用于投资分析；报税或核对券商成本时使用正式资料。排序时必须选中整张表全部列，包含隐藏计算列，不可只排序某一列。</t>
  </si>
  <si>
    <r>
      <rPr>
        <b/>
        <sz val="12"/>
        <color rgb="FF153449"/>
        <rFont val="Noto Sans"/>
        <family val="2"/>
      </rPr>
      <t>回撤档位与</t>
    </r>
    <r>
      <rPr>
        <b/>
        <sz val="12"/>
        <color rgb="FF153449"/>
        <rFont val="Noto Sans"/>
        <family val="2"/>
        <charset val="1"/>
      </rPr>
      <t>5000</t>
    </r>
    <r>
      <rPr>
        <b/>
        <sz val="12"/>
        <color rgb="FF153449"/>
        <rFont val="Noto Sans"/>
        <family val="2"/>
      </rPr>
      <t>美元预算</t>
    </r>
  </si>
  <si>
    <r>
      <rPr>
        <sz val="10"/>
        <color rgb="FF344F60"/>
        <rFont val="Noto Sans"/>
        <family val="2"/>
      </rPr>
      <t>回撤</t>
    </r>
    <r>
      <rPr>
        <sz val="10"/>
        <color rgb="FF344F60"/>
        <rFont val="Noto Sans"/>
        <family val="2"/>
        <charset val="1"/>
      </rPr>
      <t>=max(0,1−</t>
    </r>
    <r>
      <rPr>
        <sz val="10"/>
        <color rgb="FF344F60"/>
        <rFont val="Noto Sans"/>
        <family val="2"/>
      </rPr>
      <t>观察收盘／历史最高收盘</t>
    </r>
    <r>
      <rPr>
        <sz val="10"/>
        <color rgb="FF344F60"/>
        <rFont val="Noto Sans"/>
        <family val="2"/>
        <charset val="1"/>
      </rPr>
      <t>)</t>
    </r>
    <r>
      <rPr>
        <sz val="10"/>
        <color rgb="FF344F60"/>
        <rFont val="Noto Sans"/>
        <family val="2"/>
      </rPr>
      <t>。低于</t>
    </r>
    <r>
      <rPr>
        <sz val="10"/>
        <color rgb="FF344F60"/>
        <rFont val="Noto Sans"/>
        <family val="2"/>
        <charset val="1"/>
      </rPr>
      <t>10%</t>
    </r>
    <r>
      <rPr>
        <sz val="10"/>
        <color rgb="FF344F60"/>
        <rFont val="Noto Sans"/>
        <family val="2"/>
      </rPr>
      <t>总额</t>
    </r>
    <r>
      <rPr>
        <sz val="10"/>
        <color rgb="FF344F60"/>
        <rFont val="Noto Sans"/>
        <family val="2"/>
        <charset val="1"/>
      </rPr>
      <t>500</t>
    </r>
    <r>
      <rPr>
        <sz val="10"/>
        <color rgb="FF344F60"/>
        <rFont val="Noto Sans"/>
        <family val="2"/>
      </rPr>
      <t>；</t>
    </r>
    <r>
      <rPr>
        <sz val="10"/>
        <color rgb="FF344F60"/>
        <rFont val="Noto Sans"/>
        <family val="2"/>
        <charset val="1"/>
      </rPr>
      <t>10%</t>
    </r>
    <r>
      <rPr>
        <sz val="10"/>
        <color rgb="FF344F60"/>
        <rFont val="Noto Sans"/>
        <family val="2"/>
      </rPr>
      <t>至不足</t>
    </r>
    <r>
      <rPr>
        <sz val="10"/>
        <color rgb="FF344F60"/>
        <rFont val="Noto Sans"/>
        <family val="2"/>
        <charset val="1"/>
      </rPr>
      <t>20%</t>
    </r>
    <r>
      <rPr>
        <sz val="10"/>
        <color rgb="FF344F60"/>
        <rFont val="Noto Sans"/>
        <family val="2"/>
      </rPr>
      <t>总额</t>
    </r>
    <r>
      <rPr>
        <sz val="10"/>
        <color rgb="FF344F60"/>
        <rFont val="Noto Sans"/>
        <family val="2"/>
        <charset val="1"/>
      </rPr>
      <t>750</t>
    </r>
    <r>
      <rPr>
        <sz val="10"/>
        <color rgb="FF344F60"/>
        <rFont val="Noto Sans"/>
        <family val="2"/>
      </rPr>
      <t>；</t>
    </r>
    <r>
      <rPr>
        <sz val="10"/>
        <color rgb="FF344F60"/>
        <rFont val="Noto Sans"/>
        <family val="2"/>
        <charset val="1"/>
      </rPr>
      <t>20%</t>
    </r>
    <r>
      <rPr>
        <sz val="10"/>
        <color rgb="FF344F60"/>
        <rFont val="Noto Sans"/>
        <family val="2"/>
      </rPr>
      <t>及以上</t>
    </r>
    <r>
      <rPr>
        <sz val="10"/>
        <color rgb="FF344F60"/>
        <rFont val="Noto Sans"/>
        <family val="2"/>
        <charset val="1"/>
      </rPr>
      <t>1000</t>
    </r>
    <r>
      <rPr>
        <sz val="10"/>
        <color rgb="FF344F60"/>
        <rFont val="Noto Sans"/>
        <family val="2"/>
      </rPr>
      <t>，均按</t>
    </r>
    <r>
      <rPr>
        <sz val="10"/>
        <color rgb="FF344F60"/>
        <rFont val="Noto Sans"/>
        <family val="2"/>
        <charset val="1"/>
      </rPr>
      <t>VOO90%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QQQM10%</t>
    </r>
    <r>
      <rPr>
        <sz val="10"/>
        <color rgb="FF344F60"/>
        <rFont val="Noto Sans"/>
        <family val="2"/>
      </rPr>
      <t>。额外预算分别消耗</t>
    </r>
    <r>
      <rPr>
        <sz val="10"/>
        <color rgb="FF344F60"/>
        <rFont val="Noto Sans"/>
        <family val="2"/>
        <charset val="1"/>
      </rPr>
      <t>0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250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500</t>
    </r>
    <r>
      <rPr>
        <sz val="10"/>
        <color rgb="FF344F60"/>
        <rFont val="Noto Sans"/>
        <family val="2"/>
      </rPr>
      <t>。余款不足则仅加余款；用完恢复</t>
    </r>
    <r>
      <rPr>
        <sz val="10"/>
        <color rgb="FF344F60"/>
        <rFont val="Noto Sans"/>
        <family val="2"/>
        <charset val="1"/>
      </rPr>
      <t>500</t>
    </r>
    <r>
      <rPr>
        <sz val="10"/>
        <color rgb="FF344F60"/>
        <rFont val="Noto Sans"/>
        <family val="2"/>
      </rPr>
      <t>，不随反弹、新高自动补充或重置。</t>
    </r>
  </si>
  <si>
    <t>实际扣预算；分红与其他买入</t>
  </si>
  <si>
    <r>
      <rPr>
        <sz val="10"/>
        <color rgb="FF344F60"/>
        <rFont val="Noto Sans"/>
        <family val="2"/>
      </rPr>
      <t>回撤表</t>
    </r>
    <r>
      <rPr>
        <sz val="10"/>
        <color rgb="FF344F60"/>
        <rFont val="Noto Sans"/>
        <family val="2"/>
        <charset val="1"/>
      </rPr>
      <t>M</t>
    </r>
    <r>
      <rPr>
        <sz val="10"/>
        <color rgb="FF344F60"/>
        <rFont val="Noto Sans"/>
        <family val="2"/>
      </rPr>
      <t>列统计当月</t>
    </r>
    <r>
      <rPr>
        <sz val="10"/>
        <color rgb="FF344F60"/>
        <rFont val="Noto Sans"/>
        <family val="2"/>
        <charset val="1"/>
      </rPr>
      <t>VOO</t>
    </r>
    <r>
      <rPr>
        <sz val="10"/>
        <color rgb="FF344F60"/>
        <rFont val="Noto Sans"/>
        <family val="2"/>
      </rPr>
      <t>／</t>
    </r>
    <r>
      <rPr>
        <sz val="10"/>
        <color rgb="FF344F60"/>
        <rFont val="Noto Sans"/>
        <family val="2"/>
        <charset val="1"/>
      </rPr>
      <t>QQQM</t>
    </r>
    <r>
      <rPr>
        <sz val="10"/>
        <color rgb="FF344F60"/>
        <rFont val="Noto Sans"/>
        <family val="2"/>
      </rPr>
      <t>定投含费用；交易</t>
    </r>
    <r>
      <rPr>
        <sz val="10"/>
        <color rgb="FF344F60"/>
        <rFont val="Noto Sans"/>
        <family val="2"/>
        <charset val="1"/>
      </rPr>
      <t>P</t>
    </r>
    <r>
      <rPr>
        <sz val="10"/>
        <color rgb="FF344F60"/>
        <rFont val="Noto Sans"/>
        <family val="2"/>
      </rPr>
      <t>列空白按定投，分红再投／其他排除。</t>
    </r>
    <r>
      <rPr>
        <sz val="10"/>
        <color rgb="FF344F60"/>
        <rFont val="Noto Sans"/>
        <family val="2"/>
        <charset val="1"/>
      </rPr>
      <t>N</t>
    </r>
    <r>
      <rPr>
        <sz val="10"/>
        <color rgb="FF344F60"/>
        <rFont val="Noto Sans"/>
        <family val="2"/>
      </rPr>
      <t>列参考额外</t>
    </r>
    <r>
      <rPr>
        <sz val="10"/>
        <color rgb="FF344F60"/>
        <rFont val="Noto Sans"/>
        <family val="2"/>
        <charset val="1"/>
      </rPr>
      <t>=max(M−</t>
    </r>
    <r>
      <rPr>
        <sz val="10"/>
        <color rgb="FF344F60"/>
        <rFont val="Noto Sans"/>
        <family val="2"/>
      </rPr>
      <t>基础</t>
    </r>
    <r>
      <rPr>
        <sz val="10"/>
        <color rgb="FF344F60"/>
        <rFont val="Noto Sans"/>
        <family val="2"/>
        <charset val="1"/>
      </rPr>
      <t>500,0)</t>
    </r>
    <r>
      <rPr>
        <sz val="10"/>
        <color rgb="FF344F60"/>
        <rFont val="Noto Sans"/>
        <family val="2"/>
      </rPr>
      <t>，</t>
    </r>
    <r>
      <rPr>
        <sz val="10"/>
        <color rgb="FF344F60"/>
        <rFont val="Noto Sans"/>
        <family val="2"/>
        <charset val="1"/>
      </rPr>
      <t>P</t>
    </r>
    <r>
      <rPr>
        <sz val="10"/>
        <color rgb="FF344F60"/>
        <rFont val="Noto Sans"/>
        <family val="2"/>
      </rPr>
      <t>列用于扣预算；有特殊资金来源时在</t>
    </r>
    <r>
      <rPr>
        <sz val="10"/>
        <color rgb="FF344F60"/>
        <rFont val="Noto Sans"/>
        <family val="2"/>
        <charset val="1"/>
      </rPr>
      <t>O</t>
    </r>
    <r>
      <rPr>
        <sz val="10"/>
        <color rgb="FF344F60"/>
        <rFont val="Noto Sans"/>
        <family val="2"/>
      </rPr>
      <t>列填实际额外（填</t>
    </r>
    <r>
      <rPr>
        <sz val="10"/>
        <color rgb="FF344F60"/>
        <rFont val="Noto Sans"/>
        <family val="2"/>
        <charset val="1"/>
      </rPr>
      <t>0</t>
    </r>
    <r>
      <rPr>
        <sz val="10"/>
        <color rgb="FF344F60"/>
        <rFont val="Noto Sans"/>
        <family val="2"/>
      </rPr>
      <t>也有效）。只有计划、没记成交时不会自动扣预算。分红再投资同时填分红与买入记录。</t>
    </r>
  </si>
  <si>
    <t>数据不全与账户现金</t>
  </si>
  <si>
    <r>
      <rPr>
        <sz val="10"/>
        <color rgb="FF344F60"/>
        <rFont val="Noto Sans"/>
        <family val="2"/>
      </rPr>
      <t xml:space="preserve">“计入嘉信入金 </t>
    </r>
    <r>
      <rPr>
        <sz val="10"/>
        <color rgb="FF344F60"/>
        <rFont val="Noto Sans"/>
        <family val="2"/>
        <charset val="1"/>
      </rPr>
      <t>USD”</t>
    </r>
    <r>
      <rPr>
        <sz val="10"/>
        <color rgb="FF344F60"/>
        <rFont val="Noto Sans"/>
        <family val="2"/>
      </rPr>
      <t>显示向嘉信渠道换汇得到的实际美元：收到币种为</t>
    </r>
    <r>
      <rPr>
        <sz val="10"/>
        <color rgb="FF344F60"/>
        <rFont val="Noto Sans"/>
        <family val="2"/>
        <charset val="1"/>
      </rPr>
      <t>USD</t>
    </r>
    <r>
      <rPr>
        <sz val="10"/>
        <color rgb="FF344F60"/>
        <rFont val="Noto Sans"/>
        <family val="2"/>
      </rPr>
      <t>、收币账户为嘉信证券或嘉信入金中转即可识别。总览只累计直接收到证券账户的换汇美元＋实际到账证券账户的</t>
    </r>
    <r>
      <rPr>
        <sz val="10"/>
        <color rgb="FF344F60"/>
        <rFont val="Noto Sans"/>
        <family val="2"/>
        <charset val="1"/>
      </rPr>
      <t>USD</t>
    </r>
    <r>
      <rPr>
        <sz val="10"/>
        <color rgb="FF344F60"/>
        <rFont val="Noto Sans"/>
        <family val="2"/>
      </rPr>
      <t>转账，中转步骤不重复加总。历史记录不全时，累计金额仅代表已录部分；实际现金手填。</t>
    </r>
  </si>
  <si>
    <t>预留范围与维护</t>
  </si>
  <si>
    <r>
      <rPr>
        <sz val="10"/>
        <color rgb="FF344F60"/>
        <rFont val="Noto Sans"/>
        <family val="2"/>
      </rPr>
      <t>交易</t>
    </r>
    <r>
      <rPr>
        <sz val="10"/>
        <color rgb="FF344F60"/>
        <rFont val="Noto Sans"/>
        <family val="2"/>
        <charset val="1"/>
      </rPr>
      <t>600</t>
    </r>
    <r>
      <rPr>
        <sz val="10"/>
        <color rgb="FF344F60"/>
        <rFont val="Noto Sans"/>
        <family val="2"/>
      </rPr>
      <t>笔、换汇</t>
    </r>
    <r>
      <rPr>
        <sz val="10"/>
        <color rgb="FF344F60"/>
        <rFont val="Noto Sans"/>
        <family val="2"/>
        <charset val="1"/>
      </rPr>
      <t>240</t>
    </r>
    <r>
      <rPr>
        <sz val="10"/>
        <color rgb="FF344F60"/>
        <rFont val="Noto Sans"/>
        <family val="2"/>
      </rPr>
      <t>笔、转账</t>
    </r>
    <r>
      <rPr>
        <sz val="10"/>
        <color rgb="FF344F60"/>
        <rFont val="Noto Sans"/>
        <family val="2"/>
        <charset val="1"/>
      </rPr>
      <t>240</t>
    </r>
    <r>
      <rPr>
        <sz val="10"/>
        <color rgb="FF344F60"/>
        <rFont val="Noto Sans"/>
        <family val="2"/>
      </rPr>
      <t>笔、分红</t>
    </r>
    <r>
      <rPr>
        <sz val="10"/>
        <color rgb="FF344F60"/>
        <rFont val="Noto Sans"/>
        <family val="2"/>
        <charset val="1"/>
      </rPr>
      <t>240</t>
    </r>
    <r>
      <rPr>
        <sz val="10"/>
        <color rgb="FF344F60"/>
        <rFont val="Noto Sans"/>
        <family val="2"/>
      </rPr>
      <t>笔、回撤及月度计划</t>
    </r>
    <r>
      <rPr>
        <sz val="10"/>
        <color rgb="FF344F60"/>
        <rFont val="Noto Sans"/>
        <family val="2"/>
        <charset val="1"/>
      </rPr>
      <t>120</t>
    </r>
    <r>
      <rPr>
        <sz val="10"/>
        <color rgb="FF344F60"/>
        <rFont val="Noto Sans"/>
        <family val="2"/>
      </rPr>
      <t>个月。蓝色格填写，灰色格公式。超范围需同步扩展所有</t>
    </r>
    <r>
      <rPr>
        <sz val="10"/>
        <color rgb="FF344F60"/>
        <rFont val="Noto Sans"/>
        <family val="2"/>
        <charset val="1"/>
      </rPr>
      <t>SUMIFS</t>
    </r>
    <r>
      <rPr>
        <sz val="10"/>
        <color rgb="FF344F60"/>
        <rFont val="Noto Sans"/>
        <family val="2"/>
      </rPr>
      <t>／公式／验证；修改基础金额、预算或目标会重算历史统计。先备份，已完成月的收盘观察不要覆盖。</t>
    </r>
  </si>
  <si>
    <t>历史高点与信息来源</t>
  </si>
  <si>
    <r>
      <rPr>
        <sz val="10"/>
        <color rgb="FF344F60"/>
        <rFont val="Microsoft YaHei"/>
        <family val="2"/>
        <charset val="1"/>
      </rPr>
      <t>H4</t>
    </r>
    <r>
      <rPr>
        <sz val="10"/>
        <color rgb="FF344F60"/>
        <rFont val="Noto Sans"/>
        <family val="2"/>
      </rPr>
      <t>填核对过的历史最高每日收盘；每月</t>
    </r>
    <r>
      <rPr>
        <sz val="10"/>
        <color rgb="FF344F60"/>
        <rFont val="Microsoft YaHei"/>
        <family val="2"/>
        <charset val="1"/>
      </rPr>
      <t>D</t>
    </r>
    <r>
      <rPr>
        <sz val="10"/>
        <color rgb="FF344F60"/>
        <rFont val="Noto Sans"/>
        <family val="2"/>
      </rPr>
      <t>列可填截至观察日更新的历史最高收盘，</t>
    </r>
    <r>
      <rPr>
        <sz val="10"/>
        <color rgb="FF344F60"/>
        <rFont val="Microsoft YaHei"/>
        <family val="2"/>
        <charset val="1"/>
      </rPr>
      <t>E</t>
    </r>
    <r>
      <rPr>
        <sz val="10"/>
        <color rgb="FF344F60"/>
        <rFont val="Noto Sans"/>
        <family val="2"/>
      </rPr>
      <t>列只增不减。当月收盘创新高也会更新；两次观察之间有新高但后来回落时须手工补</t>
    </r>
    <r>
      <rPr>
        <sz val="10"/>
        <color rgb="FF344F60"/>
        <rFont val="Microsoft YaHei"/>
        <family val="2"/>
        <charset val="1"/>
      </rPr>
      <t>D</t>
    </r>
    <r>
      <rPr>
        <sz val="10"/>
        <color rgb="FF344F60"/>
        <rFont val="Noto Sans"/>
        <family val="2"/>
      </rPr>
      <t>列。用</t>
    </r>
    <r>
      <rPr>
        <sz val="10"/>
        <color rgb="FF344F60"/>
        <rFont val="Microsoft YaHei"/>
        <family val="2"/>
        <charset val="1"/>
      </rPr>
      <t>Yahoo ^GSPC Close</t>
    </r>
    <r>
      <rPr>
        <sz val="10"/>
        <color rgb="FF344F60"/>
        <rFont val="Noto Sans"/>
        <family val="2"/>
      </rPr>
      <t>或同口径来源；不用盘中高点、</t>
    </r>
    <r>
      <rPr>
        <sz val="10"/>
        <color rgb="FF344F60"/>
        <rFont val="Microsoft YaHei"/>
        <family val="2"/>
        <charset val="1"/>
      </rPr>
      <t>52</t>
    </r>
    <r>
      <rPr>
        <sz val="10"/>
        <color rgb="FF344F60"/>
        <rFont val="Noto Sans"/>
        <family val="2"/>
      </rPr>
      <t>周高点、日涨跌幅或账户盈亏。把来源／截止日记备注，无实时行情。</t>
    </r>
  </si>
  <si>
    <t>汇率与成本口径</t>
  </si>
  <si>
    <r>
      <rPr>
        <sz val="10"/>
        <color rgb="FF344F60"/>
        <rFont val="Noto Sans"/>
        <family val="2"/>
      </rPr>
      <t>新表按各次实际换汇显示付币／收币汇率，不用全部购汇人民币本金除以部分美元到账。由于港元可能保留、混合、多次转出，未自动虚构整条人民币／美元成本。转账差额与另外支付的费用分列；实际银行账单和嘉信记录为核对依据。</t>
    </r>
    <r>
      <rPr>
        <sz val="10"/>
        <color rgb="FF344F60"/>
        <rFont val="Noto Sans"/>
        <family val="2"/>
        <charset val="1"/>
      </rPr>
      <t>5000</t>
    </r>
    <r>
      <rPr>
        <sz val="10"/>
        <color rgb="FF344F60"/>
        <rFont val="Noto Sans"/>
        <family val="2"/>
      </rPr>
      <t>美元预算仅为额外</t>
    </r>
    <r>
      <rPr>
        <sz val="10"/>
        <color rgb="FF344F60"/>
        <rFont val="Noto Sans"/>
        <family val="2"/>
        <charset val="1"/>
      </rPr>
      <t>ETF</t>
    </r>
    <r>
      <rPr>
        <sz val="10"/>
        <color rgb="FF344F60"/>
        <rFont val="Noto Sans"/>
        <family val="2"/>
      </rPr>
      <t>买入（含买入手续费），不包含汇款／换汇费用。</t>
    </r>
  </si>
  <si>
    <t>一行对应一批资金。逐段填实际金额；留在原账户的港元会显示为余额。尚未全额划转时，不计算整批人民币／美元成本。</t>
  </si>
  <si>
    <t>购汇日期</t>
  </si>
  <si>
    <t>批次编号</t>
  </si>
  <si>
    <r>
      <rPr>
        <b/>
        <sz val="10"/>
        <color rgb="FFFFFFFF"/>
        <rFont val="Noto Sans"/>
        <family val="2"/>
      </rPr>
      <t xml:space="preserve">购汇本金 </t>
    </r>
    <r>
      <rPr>
        <b/>
        <sz val="10"/>
        <color rgb="FFFFFFFF"/>
        <rFont val="Noto Sans"/>
        <family val="2"/>
        <charset val="1"/>
      </rPr>
      <t>RMB</t>
    </r>
  </si>
  <si>
    <r>
      <rPr>
        <b/>
        <sz val="10"/>
        <color rgb="FFFFFFFF"/>
        <rFont val="Noto Sans"/>
        <family val="2"/>
      </rPr>
      <t xml:space="preserve">购得港元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</si>
  <si>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额外费用 </t>
    </r>
    <r>
      <rPr>
        <b/>
        <sz val="10"/>
        <color rgb="FFFFFFFF"/>
        <rFont val="Noto Sans"/>
        <family val="2"/>
        <charset val="1"/>
      </rPr>
      <t>RMB</t>
    </r>
  </si>
  <si>
    <r>
      <rPr>
        <b/>
        <sz val="10"/>
        <color rgb="FFFFFFFF"/>
        <rFont val="Noto Sans"/>
        <family val="2"/>
      </rPr>
      <t xml:space="preserve">国内汇出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</si>
  <si>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汇丰到账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</si>
  <si>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汇丰汇出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</si>
  <si>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另扣费用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</si>
  <si>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嘉信到账 </t>
    </r>
    <r>
      <rPr>
        <b/>
        <sz val="10"/>
        <color rgb="FFFFFFFF"/>
        <rFont val="Noto Sans"/>
        <family val="2"/>
        <charset val="1"/>
      </rPr>
      <t>USD</t>
    </r>
  </si>
  <si>
    <t>美元到账日期</t>
  </si>
  <si>
    <r>
      <rPr>
        <b/>
        <sz val="10"/>
        <color rgb="FFFFFFFF"/>
        <rFont val="Noto Sans"/>
        <family val="2"/>
      </rPr>
      <t xml:space="preserve">购汇 </t>
    </r>
    <r>
      <rPr>
        <b/>
        <sz val="10"/>
        <color rgb="FFFFFFFF"/>
        <rFont val="Noto Sans"/>
        <family val="2"/>
        <charset val="1"/>
      </rPr>
      <t>RMB</t>
    </r>
    <r>
      <rPr>
        <b/>
        <sz val="10"/>
        <color rgb="FFFFFFFF"/>
        <rFont val="Noto Sans"/>
        <family val="2"/>
      </rPr>
      <t>／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</si>
  <si>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首段扣减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</si>
  <si>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国内余款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</si>
  <si>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汇丰余款 </t>
    </r>
    <r>
      <rPr>
        <b/>
        <sz val="10"/>
        <color rgb="FFFFFFFF"/>
        <rFont val="Noto Sans"/>
        <family val="2"/>
        <charset val="1"/>
      </rPr>
      <t>HKD</t>
    </r>
  </si>
  <si>
    <r>
      <rPr>
        <b/>
        <sz val="10"/>
        <color rgb="FFFFFFFF"/>
        <rFont val="Noto Sans"/>
        <family val="2"/>
      </rPr>
      <t xml:space="preserve">汇出 </t>
    </r>
    <r>
      <rPr>
        <b/>
        <sz val="10"/>
        <color rgb="FFFFFFFF"/>
        <rFont val="Noto Sans"/>
        <family val="2"/>
        <charset val="1"/>
      </rPr>
      <t>HKD</t>
    </r>
    <r>
      <rPr>
        <b/>
        <sz val="10"/>
        <color rgb="FFFFFFFF"/>
        <rFont val="Noto Sans"/>
        <family val="2"/>
      </rPr>
      <t>／</t>
    </r>
    <r>
      <rPr>
        <b/>
        <sz val="10"/>
        <color rgb="FFFFFFFF"/>
        <rFont val="Noto Sans"/>
        <family val="2"/>
        <charset val="1"/>
      </rPr>
      <t>USD</t>
    </r>
  </si>
  <si>
    <r>
      <rPr>
        <b/>
        <sz val="10"/>
        <color rgb="FFFFFFFF"/>
        <rFont val="Noto Sans"/>
        <family val="2"/>
      </rPr>
      <t xml:space="preserve">整批成本 </t>
    </r>
    <r>
      <rPr>
        <b/>
        <sz val="10"/>
        <color rgb="FFFFFFFF"/>
        <rFont val="Noto Sans"/>
        <family val="2"/>
        <charset val="1"/>
      </rPr>
      <t>RMB</t>
    </r>
  </si>
  <si>
    <r>
      <rPr>
        <b/>
        <sz val="10"/>
        <color rgb="FFFFFFFF"/>
        <rFont val="Noto Sans"/>
        <family val="2"/>
      </rPr>
      <t xml:space="preserve">成本 </t>
    </r>
    <r>
      <rPr>
        <b/>
        <sz val="10"/>
        <color rgb="FFFFFFFF"/>
        <rFont val="Noto Sans"/>
        <family val="2"/>
        <charset val="1"/>
      </rPr>
      <t>RMB</t>
    </r>
    <r>
      <rPr>
        <b/>
        <sz val="10"/>
        <color rgb="FFFFFFFF"/>
        <rFont val="Noto Sans"/>
        <family val="2"/>
      </rPr>
      <t>／</t>
    </r>
    <r>
      <rPr>
        <b/>
        <sz val="10"/>
        <color rgb="FFFFFFFF"/>
        <rFont val="Noto Sans"/>
        <family val="2"/>
        <charset val="1"/>
      </rPr>
      <t>USD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</si>
</sst>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00000"/>
    <numFmt numFmtId="178" formatCode="0.0000%"/>
  </numFmts>
  <fonts count="30">
    <font>
      <sz val="11"/>
      <color theme="1"/>
      <name val="宋体"/>
      <family val="2"/>
      <charset val="1"/>
    </font>
    <font>
      <b/>
      <sz val="20"/>
      <color rgb="FFFFFFFF"/>
      <name val="Noto Sans"/>
      <family val="2"/>
    </font>
    <font>
      <sz val="10"/>
      <color rgb="FF536774"/>
      <name val="Noto Sans"/>
      <family val="2"/>
    </font>
    <font>
      <b/>
      <sz val="12"/>
      <color rgb="FF153449"/>
      <name val="Noto Sans"/>
      <family val="2"/>
    </font>
    <font>
      <b/>
      <sz val="12"/>
      <color rgb="FF153449"/>
      <name val="Noto Sans"/>
      <family val="2"/>
      <charset val="1"/>
    </font>
    <font>
      <sz val="10"/>
      <color rgb="FF176BB0"/>
      <name val="Microsoft YaHei"/>
      <family val="2"/>
      <charset val="1"/>
    </font>
    <font>
      <sz val="10"/>
      <color rgb="FF795600"/>
      <name val="Noto Sans"/>
      <family val="2"/>
    </font>
    <font>
      <sz val="10"/>
      <color rgb="FF795600"/>
      <name val="Noto Sans"/>
      <family val="2"/>
      <charset val="1"/>
    </font>
    <font>
      <b/>
      <sz val="10"/>
      <color rgb="FFFFFFFF"/>
      <name val="Microsoft YaHei"/>
      <family val="2"/>
      <charset val="1"/>
    </font>
    <font>
      <b/>
      <sz val="10"/>
      <color rgb="FFFFFFFF"/>
      <name val="Noto Sans"/>
      <family val="2"/>
    </font>
    <font>
      <b/>
      <sz val="10"/>
      <color rgb="FFFFFFFF"/>
      <name val="Noto Sans"/>
      <family val="2"/>
      <charset val="1"/>
    </font>
    <font>
      <b/>
      <sz val="12"/>
      <color rgb="FF153449"/>
      <name val="Microsoft YaHei"/>
      <family val="2"/>
      <charset val="1"/>
    </font>
    <font>
      <sz val="10"/>
      <color theme="1"/>
      <name val="Microsoft YaHei"/>
      <family val="2"/>
      <charset val="1"/>
    </font>
    <font>
      <sz val="10"/>
      <color theme="1"/>
      <name val="Noto Sans"/>
      <family val="2"/>
    </font>
    <font>
      <sz val="10"/>
      <color rgb="FF536774"/>
      <name val="Noto Sans"/>
      <family val="2"/>
      <charset val="1"/>
    </font>
    <font>
      <sz val="10"/>
      <color rgb="FF344F60"/>
      <name val="Noto Sans"/>
      <family val="2"/>
    </font>
    <font>
      <sz val="10"/>
      <color rgb="FF344F60"/>
      <name val="Noto Sans"/>
      <family val="2"/>
      <charset val="1"/>
    </font>
    <font>
      <sz val="10"/>
      <color rgb="FF153449"/>
      <name val="Noto Sans"/>
      <family val="2"/>
    </font>
    <font>
      <sz val="10"/>
      <color rgb="FF153449"/>
      <name val="Noto Sans"/>
      <family val="2"/>
      <charset val="1"/>
    </font>
    <font>
      <sz val="10"/>
      <color rgb="FF153449"/>
      <name val="Microsoft YaHei"/>
      <family val="2"/>
      <charset val="134"/>
    </font>
    <font>
      <sz val="10"/>
      <name val="Noto Sans"/>
      <family val="2"/>
    </font>
    <font>
      <sz val="10"/>
      <name val="Arial"/>
      <family val="2"/>
    </font>
    <font>
      <sz val="10"/>
      <color rgb="FF536774"/>
      <name val="Microsoft YaHei"/>
      <family val="2"/>
      <charset val="134"/>
    </font>
    <font>
      <sz val="10"/>
      <color rgb="FF176BB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0"/>
      <color rgb="FF176BB0"/>
      <name val="Noto Sans"/>
      <family val="2"/>
    </font>
    <font>
      <sz val="10"/>
      <color rgb="FF176BB0"/>
      <name val="Noto Sans"/>
      <family val="2"/>
      <charset val="1"/>
    </font>
    <font>
      <b/>
      <sz val="10"/>
      <color rgb="FFFFFFFF"/>
      <name val="Noto Sans"/>
      <family val="2"/>
      <charset val="134"/>
    </font>
    <font>
      <sz val="10"/>
      <color rgb="FF344F60"/>
      <name val="Microsoft YaHei"/>
      <family val="2"/>
      <charset val="1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153449"/>
        <bgColor rgb="FF003300"/>
      </patternFill>
    </fill>
    <fill>
      <patternFill patternType="solid">
        <fgColor rgb="FFEAF4FF"/>
        <bgColor rgb="FFF0F4F6"/>
      </patternFill>
    </fill>
    <fill>
      <patternFill patternType="solid">
        <fgColor rgb="FFFFF2CF"/>
        <bgColor rgb="FFF0F4F6"/>
      </patternFill>
    </fill>
    <fill>
      <patternFill patternType="solid">
        <fgColor rgb="FF087E8B"/>
        <bgColor rgb="FF176BB0"/>
      </patternFill>
    </fill>
    <fill>
      <patternFill patternType="solid">
        <fgColor rgb="FFF0F4F6"/>
        <bgColor rgb="FFEAF4FF"/>
      </patternFill>
    </fill>
  </fills>
  <borders count="3">
    <border>
      <left/>
      <right/>
      <top/>
      <bottom/>
      <diagonal/>
    </border>
    <border>
      <left style="thin">
        <color rgb="FFDCE6EC"/>
      </left>
      <right style="thin">
        <color rgb="FFDCE6EC"/>
      </right>
      <top style="thin">
        <color rgb="FFDCE6EC"/>
      </top>
      <bottom style="thin">
        <color rgb="FFDCE6E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8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2" fillId="0" borderId="0" xfId="0" applyFont="1" applyAlignment="1">
      <alignment vertical="center" wrapText="1"/>
    </xf>
    <xf numFmtId="0" fontId="17" fillId="6" borderId="0" xfId="0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2" fontId="5" fillId="3" borderId="1" xfId="0" applyNumberFormat="1" applyFont="1" applyFill="1" applyBorder="1" applyAlignment="1">
      <alignment vertical="center"/>
    </xf>
    <xf numFmtId="0" fontId="8" fillId="5" borderId="2" xfId="0" applyFont="1" applyFill="1" applyBorder="1" applyAlignment="1">
      <alignment vertical="center" wrapText="1"/>
    </xf>
    <xf numFmtId="0" fontId="9" fillId="5" borderId="2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10" fontId="5" fillId="3" borderId="1" xfId="0" applyNumberFormat="1" applyFont="1" applyFill="1" applyBorder="1" applyAlignment="1">
      <alignment vertical="center"/>
    </xf>
    <xf numFmtId="4" fontId="12" fillId="6" borderId="1" xfId="0" applyNumberFormat="1" applyFont="1" applyFill="1" applyBorder="1" applyAlignment="1">
      <alignment vertical="center"/>
    </xf>
    <xf numFmtId="176" fontId="5" fillId="3" borderId="1" xfId="0" applyNumberFormat="1" applyFont="1" applyFill="1" applyBorder="1" applyAlignment="1">
      <alignment vertical="center"/>
    </xf>
    <xf numFmtId="177" fontId="12" fillId="6" borderId="1" xfId="0" applyNumberFormat="1" applyFont="1" applyFill="1" applyBorder="1" applyAlignment="1">
      <alignment vertical="center"/>
    </xf>
    <xf numFmtId="10" fontId="12" fillId="6" borderId="1" xfId="0" applyNumberFormat="1" applyFont="1" applyFill="1" applyBorder="1" applyAlignment="1">
      <alignment vertical="center"/>
    </xf>
    <xf numFmtId="0" fontId="13" fillId="6" borderId="1" xfId="0" applyFont="1" applyFill="1" applyBorder="1" applyAlignment="1">
      <alignment vertical="center" wrapText="1"/>
    </xf>
    <xf numFmtId="0" fontId="17" fillId="6" borderId="1" xfId="0" applyFont="1" applyFill="1" applyBorder="1" applyAlignment="1">
      <alignment vertical="center" wrapText="1"/>
    </xf>
    <xf numFmtId="4" fontId="19" fillId="6" borderId="1" xfId="0" applyNumberFormat="1" applyFont="1" applyFill="1" applyBorder="1" applyAlignment="1">
      <alignment vertical="center" wrapText="1"/>
    </xf>
    <xf numFmtId="4" fontId="23" fillId="3" borderId="1" xfId="0" applyNumberFormat="1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176" fontId="19" fillId="6" borderId="1" xfId="0" applyNumberFormat="1" applyFont="1" applyFill="1" applyBorder="1" applyAlignment="1">
      <alignment vertical="center" wrapText="1"/>
    </xf>
    <xf numFmtId="176" fontId="23" fillId="3" borderId="1" xfId="0" applyNumberFormat="1" applyFont="1" applyFill="1" applyBorder="1" applyAlignment="1">
      <alignment vertical="center" wrapText="1"/>
    </xf>
    <xf numFmtId="178" fontId="19" fillId="6" borderId="1" xfId="0" applyNumberFormat="1" applyFont="1" applyFill="1" applyBorder="1" applyAlignment="1">
      <alignment vertical="center" wrapText="1"/>
    </xf>
    <xf numFmtId="0" fontId="23" fillId="3" borderId="1" xfId="0" applyFont="1" applyFill="1" applyBorder="1" applyAlignment="1">
      <alignment vertical="center" wrapText="1"/>
    </xf>
    <xf numFmtId="176" fontId="12" fillId="6" borderId="0" xfId="0" applyNumberFormat="1" applyFont="1" applyFill="1" applyAlignment="1">
      <alignment vertical="center"/>
    </xf>
    <xf numFmtId="0" fontId="5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177" fontId="5" fillId="3" borderId="1" xfId="0" applyNumberFormat="1" applyFont="1" applyFill="1" applyBorder="1" applyAlignment="1">
      <alignment vertical="center"/>
    </xf>
    <xf numFmtId="0" fontId="26" fillId="3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 wrapText="1"/>
    </xf>
    <xf numFmtId="177" fontId="19" fillId="6" borderId="1" xfId="0" applyNumberFormat="1" applyFont="1" applyFill="1" applyBorder="1" applyAlignment="1">
      <alignment vertical="center" wrapText="1"/>
    </xf>
    <xf numFmtId="0" fontId="26" fillId="3" borderId="1" xfId="0" applyFont="1" applyFill="1" applyBorder="1" applyAlignment="1">
      <alignment vertical="center" wrapText="1"/>
    </xf>
  </cellXfs>
  <cellStyles count="1">
    <cellStyle name="常规" xfId="0" builtinId="0"/>
  </cellStyles>
  <dxfs count="16">
    <dxf>
      <font>
        <color rgb="FF795600"/>
      </font>
      <fill>
        <patternFill>
          <bgColor rgb="FFFFF2CF"/>
        </patternFill>
      </fill>
    </dxf>
    <dxf>
      <font>
        <color rgb="FF795600"/>
      </font>
      <fill>
        <patternFill>
          <bgColor rgb="FFFFF2CF"/>
        </patternFill>
      </fill>
    </dxf>
    <dxf>
      <font>
        <color rgb="FF795600"/>
      </font>
      <fill>
        <patternFill>
          <bgColor rgb="FFFFF2CF"/>
        </patternFill>
      </fill>
    </dxf>
    <dxf>
      <font>
        <color rgb="FF795600"/>
      </font>
      <fill>
        <patternFill>
          <bgColor rgb="FFFFF2CF"/>
        </patternFill>
      </fill>
    </dxf>
    <dxf>
      <font>
        <color rgb="FF795600"/>
      </font>
      <fill>
        <patternFill>
          <bgColor rgb="FFFFF2CF"/>
        </patternFill>
      </fill>
    </dxf>
    <dxf>
      <font>
        <color rgb="FF137247"/>
      </font>
    </dxf>
    <dxf>
      <font>
        <color rgb="FFBF3C39"/>
      </font>
    </dxf>
    <dxf>
      <font>
        <color rgb="FF137247"/>
      </font>
    </dxf>
    <dxf>
      <font>
        <color rgb="FFBF3C39"/>
      </font>
    </dxf>
    <dxf>
      <font>
        <color rgb="FF795600"/>
      </font>
      <fill>
        <patternFill>
          <bgColor rgb="FFFFF2CF"/>
        </patternFill>
      </fill>
    </dxf>
    <dxf>
      <font>
        <color rgb="FF795600"/>
      </font>
      <fill>
        <patternFill>
          <bgColor rgb="FFFFF2CF"/>
        </patternFill>
      </fill>
    </dxf>
    <dxf>
      <font>
        <color rgb="FF137247"/>
      </font>
    </dxf>
    <dxf>
      <font>
        <color rgb="FFBF3C39"/>
      </font>
    </dxf>
    <dxf>
      <font>
        <color rgb="FF137247"/>
      </font>
    </dxf>
    <dxf>
      <font>
        <color rgb="FFBF3C39"/>
      </font>
    </dxf>
    <dxf>
      <font>
        <color rgb="FF795600"/>
      </font>
      <fill>
        <patternFill>
          <bgColor rgb="FFFFF2C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7E8B"/>
      <rgbColor rgb="FFC0C0C0"/>
      <rgbColor rgb="FF808080"/>
      <rgbColor rgb="FF9999FF"/>
      <rgbColor rgb="FFBF3C39"/>
      <rgbColor rgb="FFFFF2CF"/>
      <rgbColor rgb="FFEAF4FF"/>
      <rgbColor rgb="FF660066"/>
      <rgbColor rgb="FFFF8080"/>
      <rgbColor rgb="FF176BB0"/>
      <rgbColor rgb="FFDCE6EC"/>
      <rgbColor rgb="FF000080"/>
      <rgbColor rgb="FFFF00FF"/>
      <rgbColor rgb="FFFFFF00"/>
      <rgbColor rgb="FF00FFFF"/>
      <rgbColor rgb="FF800080"/>
      <rgbColor rgb="FF800000"/>
      <rgbColor rgb="FF137247"/>
      <rgbColor rgb="FF0000FF"/>
      <rgbColor rgb="FF00CCFF"/>
      <rgbColor rgb="FFF0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36774"/>
      <rgbColor rgb="FF969696"/>
      <rgbColor rgb="FF153449"/>
      <rgbColor rgb="FF339966"/>
      <rgbColor rgb="FF003300"/>
      <rgbColor rgb="FF333300"/>
      <rgbColor rgb="FF795600"/>
      <rgbColor rgb="FF993366"/>
      <rgbColor rgb="FF333399"/>
      <rgbColor rgb="FF344F6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87E8B"/>
    <pageSetUpPr fitToPage="1"/>
  </sheetPr>
  <dimension ref="A1:N30"/>
  <sheetViews>
    <sheetView showGridLines="0"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D12" sqref="D12"/>
    </sheetView>
  </sheetViews>
  <sheetFormatPr defaultColWidth="8.59765625" defaultRowHeight="21.75" customHeight="1"/>
  <cols>
    <col min="1" max="1" width="12.73046875" customWidth="1"/>
    <col min="2" max="2" width="13.73046875" customWidth="1"/>
    <col min="3" max="4" width="16.73046875" customWidth="1"/>
    <col min="5" max="5" width="15.73046875" customWidth="1"/>
    <col min="6" max="6" width="16.73046875" customWidth="1"/>
    <col min="7" max="7" width="17.73046875" customWidth="1"/>
    <col min="8" max="8" width="16.73046875" customWidth="1"/>
    <col min="9" max="10" width="17.73046875" customWidth="1"/>
    <col min="11" max="12" width="15.73046875" customWidth="1"/>
    <col min="13" max="13" width="16.73046875" customWidth="1"/>
    <col min="14" max="14" width="25.73046875" customWidth="1"/>
  </cols>
  <sheetData>
    <row r="1" spans="1:14" ht="21.75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33.75" customHeight="1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21.75" customHeight="1">
      <c r="A4" s="9" t="s">
        <v>2</v>
      </c>
      <c r="B4" s="10">
        <v>500</v>
      </c>
      <c r="D4" s="9" t="s">
        <v>3</v>
      </c>
      <c r="E4" s="10">
        <v>10</v>
      </c>
      <c r="G4" s="6" t="s">
        <v>4</v>
      </c>
      <c r="H4" s="6"/>
      <c r="I4" s="6"/>
      <c r="J4" s="6"/>
      <c r="K4" s="6"/>
      <c r="L4" s="6"/>
      <c r="M4" s="6"/>
      <c r="N4" s="6"/>
    </row>
    <row r="7" spans="1:14" ht="42" customHeight="1">
      <c r="A7" s="11" t="s">
        <v>5</v>
      </c>
      <c r="B7" s="12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12</v>
      </c>
      <c r="I7" s="12" t="s">
        <v>13</v>
      </c>
      <c r="J7" s="12" t="s">
        <v>14</v>
      </c>
      <c r="K7" s="12" t="s">
        <v>15</v>
      </c>
      <c r="L7" s="12" t="s">
        <v>16</v>
      </c>
      <c r="M7" s="12" t="s">
        <v>17</v>
      </c>
      <c r="N7" s="12" t="s">
        <v>18</v>
      </c>
    </row>
    <row r="8" spans="1:14" ht="21.75" customHeight="1">
      <c r="A8" s="13" t="s">
        <v>19</v>
      </c>
      <c r="B8" s="14">
        <v>0.9</v>
      </c>
      <c r="C8" s="15">
        <f>$B$4*B8</f>
        <v>450</v>
      </c>
      <c r="D8" s="10">
        <v>712.32</v>
      </c>
      <c r="E8" s="16">
        <v>46301</v>
      </c>
      <c r="F8" s="17">
        <f>IF(COUNTIF(交易记录!$B$6:$B$605,A8)=0,0,IF(COUNTIFS(交易记录!$B$6:$B$605,A8,交易记录!$K$6:$K$605,"&lt;&gt;已记录")&gt;0,"",SUMIF(交易记录!$B$6:$B$605,A8,交易记录!$I$6:$I$605)))</f>
        <v>0.5373</v>
      </c>
      <c r="G8" s="15">
        <f>IF(F8="","",SUMIF(交易记录!$B$6:$B$605,A8,交易记录!$H$6:$H$605))</f>
        <v>375</v>
      </c>
      <c r="H8" s="15">
        <f>IF(OR(F8="",F8=0),"",G8/F8)</f>
        <v>697.93411501954211</v>
      </c>
      <c r="I8" s="15">
        <f>IF(F8="","",IF(F8=0,0,IF(OR(D8="",D8&lt;=0),"",F8*D8)))</f>
        <v>382.72953600000005</v>
      </c>
      <c r="J8" s="15">
        <f>IF(I8="","",I8-G8)</f>
        <v>7.7295360000000528</v>
      </c>
      <c r="K8" s="18">
        <f>IF(OR(J8="",G8=0),"",J8/G8)</f>
        <v>2.0612096000000142E-2</v>
      </c>
      <c r="L8" s="18">
        <f>IF(OR($I$12="",$I$12=0,I8=""),"",I8/$I$12)</f>
        <v>0.73807916051203015</v>
      </c>
      <c r="M8" s="18">
        <f>IF(L8="","",L8-B8)</f>
        <v>-0.16192083948796987</v>
      </c>
      <c r="N8" s="19" t="str">
        <f>IF(COUNTIFS(交易记录!$B$6:$B$605,A8,交易记录!$K$6:$K$605,"&lt;&gt;已记录")&gt;0,"待补交易信息",IF(F8=0,"无持仓",IF(D8="","待填现价",IF(E8="","待填价格日期","已计算"))))</f>
        <v>已计算</v>
      </c>
    </row>
    <row r="9" spans="1:14" ht="21.75" customHeight="1">
      <c r="A9" s="13" t="s">
        <v>20</v>
      </c>
      <c r="B9" s="14">
        <v>0.1</v>
      </c>
      <c r="C9" s="15">
        <f>$B$4*B9</f>
        <v>50</v>
      </c>
      <c r="D9" s="10">
        <v>311.39999999999998</v>
      </c>
      <c r="E9" s="16">
        <v>46301</v>
      </c>
      <c r="F9" s="17">
        <f>IF(COUNTIF(交易记录!$B$6:$B$605,A9)=0,0,IF(COUNTIFS(交易记录!$B$6:$B$605,A9,交易记录!$K$6:$K$605,"&lt;&gt;已记录")&gt;0,"",SUMIF(交易记录!$B$6:$B$605,A9,交易记录!$I$6:$I$605)))</f>
        <v>0.25600000000000001</v>
      </c>
      <c r="G9" s="15">
        <f>IF(F9="","",SUMIF(交易记录!$B$6:$B$605,A9,交易记录!$H$6:$H$605))</f>
        <v>75</v>
      </c>
      <c r="H9" s="15">
        <f>IF(OR(F9="",F9=0),"",G9/F9)</f>
        <v>292.96875</v>
      </c>
      <c r="I9" s="15">
        <f>IF(F9="","",IF(F9=0,0,IF(OR(D9="",D9&lt;=0),"",F9*D9)))</f>
        <v>79.718400000000003</v>
      </c>
      <c r="J9" s="15">
        <f>IF(I9="","",I9-G9)</f>
        <v>4.7184000000000026</v>
      </c>
      <c r="K9" s="18">
        <f>IF(OR(J9="",G9=0),"",J9/G9)</f>
        <v>6.2912000000000037E-2</v>
      </c>
      <c r="L9" s="18">
        <f>IF(OR($I$12="",$I$12=0,I9=""),"",I9/$I$12)</f>
        <v>0.15373386220540403</v>
      </c>
      <c r="M9" s="18">
        <f>IF(L9="","",L9-B9)</f>
        <v>5.373386220540402E-2</v>
      </c>
      <c r="N9" s="19" t="str">
        <f>IF(COUNTIFS(交易记录!$B$6:$B$605,A9,交易记录!$K$6:$K$605,"&lt;&gt;已记录")&gt;0,"待补交易信息",IF(F9=0,"无持仓",IF(D9="","待填现价",IF(E9="","待填价格日期","已计算"))))</f>
        <v>已计算</v>
      </c>
    </row>
    <row r="10" spans="1:14" ht="21.75" customHeight="1">
      <c r="A10" s="13" t="s">
        <v>21</v>
      </c>
      <c r="B10" s="14">
        <v>0</v>
      </c>
      <c r="C10" s="15">
        <f>$B$4*B10</f>
        <v>0</v>
      </c>
      <c r="D10" s="10">
        <v>633.9</v>
      </c>
      <c r="E10" s="16">
        <v>46301</v>
      </c>
      <c r="F10" s="17">
        <f>IF(COUNTIF(交易记录!$B$6:$B$605,A10)=0,0,IF(COUNTIFS(交易记录!$B$6:$B$605,A10,交易记录!$K$6:$K$605,"&lt;&gt;已记录")&gt;0,"",SUMIF(交易记录!$B$6:$B$605,A10,交易记录!$I$6:$I$605)))</f>
        <v>8.8499999999999995E-2</v>
      </c>
      <c r="G10" s="15">
        <f>IF(F10="","",SUMIF(交易记录!$B$6:$B$605,A10,交易记录!$H$6:$H$605))</f>
        <v>50</v>
      </c>
      <c r="H10" s="15">
        <f>IF(OR(F10="",F10=0),"",G10/F10)</f>
        <v>564.9717514124294</v>
      </c>
      <c r="I10" s="15">
        <f>IF(F10="","",IF(F10=0,0,IF(OR(D10="",D10&lt;=0),"",F10*D10)))</f>
        <v>56.100149999999992</v>
      </c>
      <c r="J10" s="15">
        <f>IF(I10="","",I10-G10)</f>
        <v>6.1001499999999922</v>
      </c>
      <c r="K10" s="18">
        <f>IF(OR(J10="",G10=0),"",J10/G10)</f>
        <v>0.12200299999999985</v>
      </c>
      <c r="L10" s="18">
        <f>IF(OR($I$12="",$I$12=0,I10=""),"",I10/$I$12)</f>
        <v>0.10818697728256582</v>
      </c>
      <c r="M10" s="18">
        <f>IF(L10="","",L10-B10)</f>
        <v>0.10818697728256582</v>
      </c>
      <c r="N10" s="19" t="str">
        <f>IF(COUNTIFS(交易记录!$B$6:$B$605,A10,交易记录!$K$6:$K$605,"&lt;&gt;已记录")&gt;0,"待补交易信息",IF(F10=0,"无持仓",IF(D10="","待填现价",IF(E10="","待填价格日期","已计算"))))</f>
        <v>已计算</v>
      </c>
    </row>
    <row r="12" spans="1:14" ht="21.75" customHeight="1">
      <c r="A12" s="9" t="s">
        <v>22</v>
      </c>
      <c r="B12" s="18">
        <f>SUM(B8:B10)</f>
        <v>1</v>
      </c>
      <c r="C12" s="15">
        <f>SUM(C8:C10)</f>
        <v>500</v>
      </c>
      <c r="G12" s="15">
        <f>IF(COUNT(G8:G10)&lt;3,"",SUM(G8:G10))</f>
        <v>500</v>
      </c>
      <c r="I12" s="15">
        <f>IF(COUNT(I8:I10)&lt;3,"",SUM(I8:I10))</f>
        <v>518.54808600000001</v>
      </c>
      <c r="J12" s="15">
        <f>IF(COUNT(J8:J10)&lt;3,"",SUM(J8:J10))</f>
        <v>18.548086000000048</v>
      </c>
      <c r="K12" s="18">
        <f>IF(OR(J12="",G12=0),"",J12/G12)</f>
        <v>3.7096172000000094E-2</v>
      </c>
    </row>
    <row r="14" spans="1:14" ht="21.75" customHeight="1">
      <c r="A14" s="9" t="s">
        <v>23</v>
      </c>
      <c r="B14" s="10">
        <v>1804.86</v>
      </c>
      <c r="D14" s="9" t="s">
        <v>24</v>
      </c>
      <c r="E14" s="15">
        <f>IF(OR(I12="",B14=""),"",I12+B14)</f>
        <v>2323.4080859999999</v>
      </c>
      <c r="G14" s="7" t="s">
        <v>25</v>
      </c>
      <c r="H14" s="7"/>
      <c r="I14" s="7"/>
      <c r="J14" s="7"/>
      <c r="K14" s="7"/>
      <c r="L14" s="7"/>
      <c r="M14" s="7"/>
      <c r="N14" s="7"/>
    </row>
    <row r="16" spans="1:14" ht="21.75" customHeight="1">
      <c r="A16" s="9" t="s">
        <v>26</v>
      </c>
      <c r="C16" s="15">
        <f>SUMIF(交易记录!C6:C605,"买入",交易记录!D6:D605)+SUMIF(交易记录!C6:C605,"买入",交易记录!E6:E605)</f>
        <v>500</v>
      </c>
      <c r="D16" s="9" t="s">
        <v>27</v>
      </c>
      <c r="E16" s="15">
        <f>SUMIFS(换汇记录!L6:L246,换汇记录!F6:F246,"嘉信证券")+SUMIFS(入金记录!G6:G245,入金记录!F6:F245,"嘉信证券",入金记录!D6:D245,"USD",入金记录!C6:C245,"&lt;&gt;嘉信证券",入金记录!H6:H245,"&gt;0")</f>
        <v>2303.8000000000002</v>
      </c>
      <c r="G16" s="9" t="s">
        <v>28</v>
      </c>
      <c r="I16" s="15">
        <f>SUM(分红记录!F6:F245)</f>
        <v>0</v>
      </c>
      <c r="J16" s="9" t="s">
        <v>29</v>
      </c>
      <c r="M16" s="15">
        <f>IF(COUNTIFS(交易记录!C6:C605,"卖出",交易记录!K6:K605,"&lt;&gt;已记录")&gt;0,"",SUM(交易记录!J6:J605))</f>
        <v>0</v>
      </c>
    </row>
    <row r="18" spans="1:14" ht="21.75" customHeight="1">
      <c r="A18" s="6" t="s">
        <v>30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21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1" spans="1:14" ht="21.75" customHeight="1">
      <c r="A21" s="5" t="s">
        <v>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 spans="1:14" ht="21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4" spans="1:14" ht="21.75" customHeight="1">
      <c r="A24" s="5" t="s">
        <v>32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</row>
    <row r="25" spans="1:14" ht="21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</row>
    <row r="28" spans="1:14" ht="21.75" customHeight="1">
      <c r="A28" s="20" t="s">
        <v>33</v>
      </c>
      <c r="C28" s="21">
        <f>回撤计划!E4</f>
        <v>5000</v>
      </c>
      <c r="E28" s="4" t="s">
        <v>34</v>
      </c>
      <c r="F28" s="4"/>
      <c r="G28" s="4"/>
      <c r="H28" s="4"/>
      <c r="I28" s="4"/>
      <c r="J28" s="4"/>
      <c r="K28" s="4"/>
      <c r="L28" s="4"/>
      <c r="M28" s="4"/>
      <c r="N28" s="4"/>
    </row>
    <row r="29" spans="1:14" ht="15" customHeight="1">
      <c r="A29" s="20" t="s">
        <v>35</v>
      </c>
      <c r="C29" s="21">
        <f>回撤计划!K4</f>
        <v>0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5" customHeight="1">
      <c r="A30" s="20" t="s">
        <v>36</v>
      </c>
      <c r="C30" s="21">
        <f>回撤计划!N4</f>
        <v>5000</v>
      </c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mergeCells count="8">
    <mergeCell ref="A21:N22"/>
    <mergeCell ref="A24:N25"/>
    <mergeCell ref="E28:N30"/>
    <mergeCell ref="A1:N2"/>
    <mergeCell ref="A3:N3"/>
    <mergeCell ref="G4:N4"/>
    <mergeCell ref="G14:N14"/>
    <mergeCell ref="A18:N19"/>
  </mergeCells>
  <phoneticPr fontId="29" type="noConversion"/>
  <conditionalFormatting sqref="B12">
    <cfRule type="cellIs" dxfId="15" priority="2" operator="notEqual">
      <formula>1</formula>
    </cfRule>
  </conditionalFormatting>
  <conditionalFormatting sqref="J8:K12">
    <cfRule type="cellIs" dxfId="14" priority="3" operator="lessThan">
      <formula>0</formula>
    </cfRule>
    <cfRule type="cellIs" dxfId="13" priority="4" operator="greaterThan">
      <formula>0</formula>
    </cfRule>
  </conditionalFormatting>
  <conditionalFormatting sqref="M8:M10">
    <cfRule type="cellIs" dxfId="12" priority="5" operator="lessThan">
      <formula>0</formula>
    </cfRule>
    <cfRule type="cellIs" dxfId="11" priority="6" operator="greaterThan">
      <formula>0</formula>
    </cfRule>
  </conditionalFormatting>
  <dataValidations count="3">
    <dataValidation type="decimal" operator="greaterThan" allowBlank="1" showInputMessage="1" showErrorMessage="1" sqref="B4 D8:D10" xr:uid="{00000000-0002-0000-0000-000000000000}">
      <formula1>0</formula1>
      <formula2>0</formula2>
    </dataValidation>
    <dataValidation type="whole" allowBlank="1" showInputMessage="1" showErrorMessage="1" sqref="E4" xr:uid="{00000000-0002-0000-0000-000001000000}">
      <formula1>1</formula1>
      <formula2>28</formula2>
    </dataValidation>
    <dataValidation type="decimal" allowBlank="1" showInputMessage="1" showErrorMessage="1" sqref="B8:B10" xr:uid="{00000000-0002-0000-0000-000002000000}">
      <formula1>0</formula1>
      <formula2>1</formula2>
    </dataValidation>
  </dataValidations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7E8B"/>
    <pageSetUpPr fitToPage="1"/>
  </sheetPr>
  <dimension ref="A1:S128"/>
  <sheetViews>
    <sheetView showGridLines="0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4" sqref="F4"/>
    </sheetView>
  </sheetViews>
  <sheetFormatPr defaultColWidth="8.59765625" defaultRowHeight="13.5"/>
  <cols>
    <col min="1" max="2" width="15" customWidth="1"/>
    <col min="3" max="5" width="18" customWidth="1"/>
    <col min="6" max="6" width="15" customWidth="1"/>
    <col min="7" max="7" width="17" customWidth="1"/>
    <col min="8" max="11" width="18" customWidth="1"/>
    <col min="12" max="13" width="19" customWidth="1"/>
    <col min="14" max="14" width="18" customWidth="1"/>
    <col min="15" max="15" width="21" customWidth="1"/>
    <col min="16" max="17" width="19" customWidth="1"/>
    <col min="18" max="18" width="38" customWidth="1"/>
    <col min="19" max="19" width="42" customWidth="1"/>
  </cols>
  <sheetData>
    <row r="1" spans="1:19" ht="25.5" customHeight="1">
      <c r="A1" s="8" t="s">
        <v>37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45" customHeight="1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31.5" customHeight="1">
      <c r="A4" s="20" t="s">
        <v>39</v>
      </c>
      <c r="B4" s="21">
        <f>总览!B4</f>
        <v>500</v>
      </c>
      <c r="D4" s="20" t="s">
        <v>33</v>
      </c>
      <c r="E4" s="22">
        <v>5000</v>
      </c>
      <c r="G4" s="20" t="s">
        <v>40</v>
      </c>
      <c r="H4" s="22">
        <v>7794.35</v>
      </c>
      <c r="J4" s="20" t="s">
        <v>35</v>
      </c>
      <c r="K4" s="21">
        <f>SUM(P9:P128)</f>
        <v>0</v>
      </c>
      <c r="M4" s="20" t="s">
        <v>36</v>
      </c>
      <c r="N4" s="21">
        <f>MAX(0,E4-K4)</f>
        <v>5000</v>
      </c>
    </row>
    <row r="5" spans="1:19" ht="33" customHeight="1">
      <c r="A5" s="6" t="s">
        <v>41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ht="33" customHeight="1">
      <c r="A6" s="7" t="s">
        <v>42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8" spans="1:19" ht="42" customHeight="1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3" t="s">
        <v>51</v>
      </c>
      <c r="J8" s="23" t="s">
        <v>52</v>
      </c>
      <c r="K8" s="24" t="s">
        <v>53</v>
      </c>
      <c r="L8" s="24" t="s">
        <v>54</v>
      </c>
      <c r="M8" s="23" t="s">
        <v>55</v>
      </c>
      <c r="N8" s="23" t="s">
        <v>56</v>
      </c>
      <c r="O8" s="23" t="s">
        <v>57</v>
      </c>
      <c r="P8" s="23" t="s">
        <v>58</v>
      </c>
      <c r="Q8" s="23" t="s">
        <v>59</v>
      </c>
      <c r="R8" s="23" t="s">
        <v>18</v>
      </c>
      <c r="S8" s="23" t="s">
        <v>60</v>
      </c>
    </row>
    <row r="9" spans="1:19" ht="28.5" customHeight="1">
      <c r="A9" s="25">
        <f>月度计划!A6</f>
        <v>46305</v>
      </c>
      <c r="B9" s="26"/>
      <c r="C9" s="22"/>
      <c r="D9" s="22"/>
      <c r="E9" s="21">
        <f>IF(MAX($H$4,$H$4,D9)&lt;=0,"",MAX($H$4,$H$4,D9,C9))</f>
        <v>7794.35</v>
      </c>
      <c r="F9" s="27" t="str">
        <f t="shared" ref="F9:F40" si="0">IF(AND(ISNUMBER(B9),ISNUMBER(C9),C9&gt;0,ISNUMBER(E9),E9&gt;0),MAX(0,1-C9/E9),"")</f>
        <v/>
      </c>
      <c r="G9" s="21" t="str">
        <f t="shared" ref="G9:G40" si="1">IF(F9="","",IF(ROUND(F9,10)&lt;0.1,$B$4,IF(ROUND(F9,10)&lt;0.2,$B$4+250,$B$4+500)))</f>
        <v/>
      </c>
      <c r="H9" s="21">
        <f>MAX(0,$E$4)</f>
        <v>5000</v>
      </c>
      <c r="I9" s="21">
        <f t="shared" ref="I9:I40" si="2">IF(G9="",0,MIN(MAX(0,G9-$B$4),H9))</f>
        <v>0</v>
      </c>
      <c r="J9" s="21">
        <f t="shared" ref="J9:J40" si="3">$B$4+I9</f>
        <v>500</v>
      </c>
      <c r="K9" s="21">
        <f>J9*总览!$B$8</f>
        <v>450</v>
      </c>
      <c r="L9" s="21">
        <f>J9*总览!$B$9</f>
        <v>50</v>
      </c>
      <c r="M9" s="21">
        <f>SUMIFS(交易记录!$D$6:$D$605,交易记录!$A$6:$A$605,"&gt;="&amp;DATE(YEAR(A9),MONTH(A9),1),交易记录!$A$6:$A$605,"&lt;"&amp;DATE(YEAR(A9),MONTH(A9)+1,1),交易记录!$C$6:$C$605,"买入",交易记录!$P$6:$P$605,"&lt;&gt;分红再投",交易记录!$P$6:$P$605,"&lt;&gt;其他",交易记录!$B$6:$B$605,"VOO")+SUMIFS(交易记录!$D$6:$D$605,交易记录!$A$6:$A$605,"&gt;="&amp;DATE(YEAR(A9),MONTH(A9),1),交易记录!$A$6:$A$605,"&lt;"&amp;DATE(YEAR(A9),MONTH(A9)+1,1),交易记录!$C$6:$C$605,"买入",交易记录!$P$6:$P$605,"&lt;&gt;分红再投",交易记录!$P$6:$P$605,"&lt;&gt;其他",交易记录!$B$6:$B$605,"QQQM")+SUMIFS(交易记录!$E$6:$E$605,交易记录!$A$6:$A$605,"&gt;="&amp;DATE(YEAR(A9),MONTH(A9),1),交易记录!$A$6:$A$605,"&lt;"&amp;DATE(YEAR(A9),MONTH(A9)+1,1),交易记录!$C$6:$C$605,"买入",交易记录!$P$6:$P$605,"&lt;&gt;分红再投",交易记录!$P$6:$P$605,"&lt;&gt;其他",交易记录!$B$6:$B$605,"VOO")+SUMIFS(交易记录!$E$6:$E$605,交易记录!$A$6:$A$605,"&gt;="&amp;DATE(YEAR(A9),MONTH(A9),1),交易记录!$A$6:$A$605,"&lt;"&amp;DATE(YEAR(A9),MONTH(A9)+1,1),交易记录!$C$6:$C$605,"买入",交易记录!$P$6:$P$605,"&lt;&gt;分红再投",交易记录!$P$6:$P$605,"&lt;&gt;其他",交易记录!$B$6:$B$605,"QQQM")</f>
        <v>0</v>
      </c>
      <c r="N9" s="21">
        <f t="shared" ref="N9:N40" si="4">MAX(0,M9-$B$4)</f>
        <v>0</v>
      </c>
      <c r="O9" s="22"/>
      <c r="P9" s="21">
        <f t="shared" ref="P9:P40" si="5">IF(O9="",N9,O9)</f>
        <v>0</v>
      </c>
      <c r="Q9" s="21">
        <f t="shared" ref="Q9:Q40" si="6">MAX(0,H9-P9)</f>
        <v>5000</v>
      </c>
      <c r="R9" s="20" t="str">
        <f t="shared" ref="R9:R40" si="7">IF(P9&gt;H9+0.005,"实际加投超剩余预算，请核对",IF(H9=0,"预算用完：基础定投",IF(F9="","待补指数收盘／历史基准；先列基础额",IF(AND(B9&gt;A9,M9=0),"核对观察日是否在实际交易前",IF(AND(O9&lt;&gt;"",ABS(O9-N9)&gt;0.005),"已按手填额外支出扣预算",IF(M9=0,"已计算，尚未记录买入",IF(ABS(M9-J9)&lt;0.01,"已按计划记录","实际定投与计划有差额")))))))</f>
        <v>待补指数收盘／历史基准；先列基础额</v>
      </c>
      <c r="S9" s="28"/>
    </row>
    <row r="10" spans="1:19" ht="28.5" customHeight="1">
      <c r="A10" s="25">
        <f>月度计划!A7</f>
        <v>46336</v>
      </c>
      <c r="B10" s="26"/>
      <c r="C10" s="22"/>
      <c r="D10" s="22"/>
      <c r="E10" s="21">
        <f t="shared" ref="E10:E41" si="8">IF(MAX($H$4,E9,D10)&lt;=0,"",MAX($H$4,E9,D10,C10))</f>
        <v>7794.35</v>
      </c>
      <c r="F10" s="27" t="str">
        <f t="shared" si="0"/>
        <v/>
      </c>
      <c r="G10" s="21" t="str">
        <f t="shared" si="1"/>
        <v/>
      </c>
      <c r="H10" s="21">
        <f>MAX(0,$E$4-SUM($P$9:P9))</f>
        <v>5000</v>
      </c>
      <c r="I10" s="21">
        <f t="shared" si="2"/>
        <v>0</v>
      </c>
      <c r="J10" s="21">
        <f t="shared" si="3"/>
        <v>500</v>
      </c>
      <c r="K10" s="21">
        <f>J10*总览!$B$8</f>
        <v>450</v>
      </c>
      <c r="L10" s="21">
        <f>J10*总览!$B$9</f>
        <v>50</v>
      </c>
      <c r="M10" s="21">
        <f>SUMIFS(交易记录!$D$6:$D$605,交易记录!$A$6:$A$605,"&gt;="&amp;DATE(YEAR(A10),MONTH(A10),1),交易记录!$A$6:$A$605,"&lt;"&amp;DATE(YEAR(A10),MONTH(A10)+1,1),交易记录!$C$6:$C$605,"买入",交易记录!$P$6:$P$605,"&lt;&gt;分红再投",交易记录!$P$6:$P$605,"&lt;&gt;其他",交易记录!$B$6:$B$605,"VOO")+SUMIFS(交易记录!$D$6:$D$605,交易记录!$A$6:$A$605,"&gt;="&amp;DATE(YEAR(A10),MONTH(A10),1),交易记录!$A$6:$A$605,"&lt;"&amp;DATE(YEAR(A10),MONTH(A10)+1,1),交易记录!$C$6:$C$605,"买入",交易记录!$P$6:$P$605,"&lt;&gt;分红再投",交易记录!$P$6:$P$605,"&lt;&gt;其他",交易记录!$B$6:$B$605,"QQQM")+SUMIFS(交易记录!$E$6:$E$605,交易记录!$A$6:$A$605,"&gt;="&amp;DATE(YEAR(A10),MONTH(A10),1),交易记录!$A$6:$A$605,"&lt;"&amp;DATE(YEAR(A10),MONTH(A10)+1,1),交易记录!$C$6:$C$605,"买入",交易记录!$P$6:$P$605,"&lt;&gt;分红再投",交易记录!$P$6:$P$605,"&lt;&gt;其他",交易记录!$B$6:$B$605,"VOO")+SUMIFS(交易记录!$E$6:$E$605,交易记录!$A$6:$A$605,"&gt;="&amp;DATE(YEAR(A10),MONTH(A10),1),交易记录!$A$6:$A$605,"&lt;"&amp;DATE(YEAR(A10),MONTH(A10)+1,1),交易记录!$C$6:$C$605,"买入",交易记录!$P$6:$P$605,"&lt;&gt;分红再投",交易记录!$P$6:$P$605,"&lt;&gt;其他",交易记录!$B$6:$B$605,"QQQM")</f>
        <v>0</v>
      </c>
      <c r="N10" s="21">
        <f t="shared" si="4"/>
        <v>0</v>
      </c>
      <c r="O10" s="22"/>
      <c r="P10" s="21">
        <f t="shared" si="5"/>
        <v>0</v>
      </c>
      <c r="Q10" s="21">
        <f t="shared" si="6"/>
        <v>5000</v>
      </c>
      <c r="R10" s="20" t="str">
        <f t="shared" si="7"/>
        <v>待补指数收盘／历史基准；先列基础额</v>
      </c>
      <c r="S10" s="28"/>
    </row>
    <row r="11" spans="1:19" ht="28.5" customHeight="1">
      <c r="A11" s="25">
        <f>月度计划!A8</f>
        <v>46366</v>
      </c>
      <c r="B11" s="26"/>
      <c r="C11" s="22"/>
      <c r="D11" s="22"/>
      <c r="E11" s="21">
        <f t="shared" si="8"/>
        <v>7794.35</v>
      </c>
      <c r="F11" s="27" t="str">
        <f t="shared" si="0"/>
        <v/>
      </c>
      <c r="G11" s="21" t="str">
        <f t="shared" si="1"/>
        <v/>
      </c>
      <c r="H11" s="21">
        <f>MAX(0,$E$4-SUM($P$9:P10))</f>
        <v>5000</v>
      </c>
      <c r="I11" s="21">
        <f t="shared" si="2"/>
        <v>0</v>
      </c>
      <c r="J11" s="21">
        <f t="shared" si="3"/>
        <v>500</v>
      </c>
      <c r="K11" s="21">
        <f>J11*总览!$B$8</f>
        <v>450</v>
      </c>
      <c r="L11" s="21">
        <f>J11*总览!$B$9</f>
        <v>50</v>
      </c>
      <c r="M11" s="21">
        <f>SUMIFS(交易记录!$D$6:$D$605,交易记录!$A$6:$A$605,"&gt;="&amp;DATE(YEAR(A11),MONTH(A11),1),交易记录!$A$6:$A$605,"&lt;"&amp;DATE(YEAR(A11),MONTH(A11)+1,1),交易记录!$C$6:$C$605,"买入",交易记录!$P$6:$P$605,"&lt;&gt;分红再投",交易记录!$P$6:$P$605,"&lt;&gt;其他",交易记录!$B$6:$B$605,"VOO")+SUMIFS(交易记录!$D$6:$D$605,交易记录!$A$6:$A$605,"&gt;="&amp;DATE(YEAR(A11),MONTH(A11),1),交易记录!$A$6:$A$605,"&lt;"&amp;DATE(YEAR(A11),MONTH(A11)+1,1),交易记录!$C$6:$C$605,"买入",交易记录!$P$6:$P$605,"&lt;&gt;分红再投",交易记录!$P$6:$P$605,"&lt;&gt;其他",交易记录!$B$6:$B$605,"QQQM")+SUMIFS(交易记录!$E$6:$E$605,交易记录!$A$6:$A$605,"&gt;="&amp;DATE(YEAR(A11),MONTH(A11),1),交易记录!$A$6:$A$605,"&lt;"&amp;DATE(YEAR(A11),MONTH(A11)+1,1),交易记录!$C$6:$C$605,"买入",交易记录!$P$6:$P$605,"&lt;&gt;分红再投",交易记录!$P$6:$P$605,"&lt;&gt;其他",交易记录!$B$6:$B$605,"VOO")+SUMIFS(交易记录!$E$6:$E$605,交易记录!$A$6:$A$605,"&gt;="&amp;DATE(YEAR(A11),MONTH(A11),1),交易记录!$A$6:$A$605,"&lt;"&amp;DATE(YEAR(A11),MONTH(A11)+1,1),交易记录!$C$6:$C$605,"买入",交易记录!$P$6:$P$605,"&lt;&gt;分红再投",交易记录!$P$6:$P$605,"&lt;&gt;其他",交易记录!$B$6:$B$605,"QQQM")</f>
        <v>0</v>
      </c>
      <c r="N11" s="21">
        <f t="shared" si="4"/>
        <v>0</v>
      </c>
      <c r="O11" s="22"/>
      <c r="P11" s="21">
        <f t="shared" si="5"/>
        <v>0</v>
      </c>
      <c r="Q11" s="21">
        <f t="shared" si="6"/>
        <v>5000</v>
      </c>
      <c r="R11" s="20" t="str">
        <f t="shared" si="7"/>
        <v>待补指数收盘／历史基准；先列基础额</v>
      </c>
      <c r="S11" s="28"/>
    </row>
    <row r="12" spans="1:19" ht="28.5" customHeight="1">
      <c r="A12" s="25">
        <f>月度计划!A9</f>
        <v>46397</v>
      </c>
      <c r="B12" s="26"/>
      <c r="C12" s="22"/>
      <c r="D12" s="22"/>
      <c r="E12" s="21">
        <f t="shared" si="8"/>
        <v>7794.35</v>
      </c>
      <c r="F12" s="27" t="str">
        <f t="shared" si="0"/>
        <v/>
      </c>
      <c r="G12" s="21" t="str">
        <f t="shared" si="1"/>
        <v/>
      </c>
      <c r="H12" s="21">
        <f>MAX(0,$E$4-SUM($P$9:P11))</f>
        <v>5000</v>
      </c>
      <c r="I12" s="21">
        <f t="shared" si="2"/>
        <v>0</v>
      </c>
      <c r="J12" s="21">
        <f t="shared" si="3"/>
        <v>500</v>
      </c>
      <c r="K12" s="21">
        <f>J12*总览!$B$8</f>
        <v>450</v>
      </c>
      <c r="L12" s="21">
        <f>J12*总览!$B$9</f>
        <v>50</v>
      </c>
      <c r="M12" s="21">
        <f>SUMIFS(交易记录!$D$6:$D$605,交易记录!$A$6:$A$605,"&gt;="&amp;DATE(YEAR(A12),MONTH(A12),1),交易记录!$A$6:$A$605,"&lt;"&amp;DATE(YEAR(A12),MONTH(A12)+1,1),交易记录!$C$6:$C$605,"买入",交易记录!$P$6:$P$605,"&lt;&gt;分红再投",交易记录!$P$6:$P$605,"&lt;&gt;其他",交易记录!$B$6:$B$605,"VOO")+SUMIFS(交易记录!$D$6:$D$605,交易记录!$A$6:$A$605,"&gt;="&amp;DATE(YEAR(A12),MONTH(A12),1),交易记录!$A$6:$A$605,"&lt;"&amp;DATE(YEAR(A12),MONTH(A12)+1,1),交易记录!$C$6:$C$605,"买入",交易记录!$P$6:$P$605,"&lt;&gt;分红再投",交易记录!$P$6:$P$605,"&lt;&gt;其他",交易记录!$B$6:$B$605,"QQQM")+SUMIFS(交易记录!$E$6:$E$605,交易记录!$A$6:$A$605,"&gt;="&amp;DATE(YEAR(A12),MONTH(A12),1),交易记录!$A$6:$A$605,"&lt;"&amp;DATE(YEAR(A12),MONTH(A12)+1,1),交易记录!$C$6:$C$605,"买入",交易记录!$P$6:$P$605,"&lt;&gt;分红再投",交易记录!$P$6:$P$605,"&lt;&gt;其他",交易记录!$B$6:$B$605,"VOO")+SUMIFS(交易记录!$E$6:$E$605,交易记录!$A$6:$A$605,"&gt;="&amp;DATE(YEAR(A12),MONTH(A12),1),交易记录!$A$6:$A$605,"&lt;"&amp;DATE(YEAR(A12),MONTH(A12)+1,1),交易记录!$C$6:$C$605,"买入",交易记录!$P$6:$P$605,"&lt;&gt;分红再投",交易记录!$P$6:$P$605,"&lt;&gt;其他",交易记录!$B$6:$B$605,"QQQM")</f>
        <v>0</v>
      </c>
      <c r="N12" s="21">
        <f t="shared" si="4"/>
        <v>0</v>
      </c>
      <c r="O12" s="22"/>
      <c r="P12" s="21">
        <f t="shared" si="5"/>
        <v>0</v>
      </c>
      <c r="Q12" s="21">
        <f t="shared" si="6"/>
        <v>5000</v>
      </c>
      <c r="R12" s="20" t="str">
        <f t="shared" si="7"/>
        <v>待补指数收盘／历史基准；先列基础额</v>
      </c>
      <c r="S12" s="28"/>
    </row>
    <row r="13" spans="1:19" ht="28.5" customHeight="1">
      <c r="A13" s="25">
        <f>月度计划!A10</f>
        <v>46428</v>
      </c>
      <c r="B13" s="26"/>
      <c r="C13" s="22"/>
      <c r="D13" s="22"/>
      <c r="E13" s="21">
        <f t="shared" si="8"/>
        <v>7794.35</v>
      </c>
      <c r="F13" s="27" t="str">
        <f t="shared" si="0"/>
        <v/>
      </c>
      <c r="G13" s="21" t="str">
        <f t="shared" si="1"/>
        <v/>
      </c>
      <c r="H13" s="21">
        <f>MAX(0,$E$4-SUM($P$9:P12))</f>
        <v>5000</v>
      </c>
      <c r="I13" s="21">
        <f t="shared" si="2"/>
        <v>0</v>
      </c>
      <c r="J13" s="21">
        <f t="shared" si="3"/>
        <v>500</v>
      </c>
      <c r="K13" s="21">
        <f>J13*总览!$B$8</f>
        <v>450</v>
      </c>
      <c r="L13" s="21">
        <f>J13*总览!$B$9</f>
        <v>50</v>
      </c>
      <c r="M13" s="21">
        <f>SUMIFS(交易记录!$D$6:$D$605,交易记录!$A$6:$A$605,"&gt;="&amp;DATE(YEAR(A13),MONTH(A13),1),交易记录!$A$6:$A$605,"&lt;"&amp;DATE(YEAR(A13),MONTH(A13)+1,1),交易记录!$C$6:$C$605,"买入",交易记录!$P$6:$P$605,"&lt;&gt;分红再投",交易记录!$P$6:$P$605,"&lt;&gt;其他",交易记录!$B$6:$B$605,"VOO")+SUMIFS(交易记录!$D$6:$D$605,交易记录!$A$6:$A$605,"&gt;="&amp;DATE(YEAR(A13),MONTH(A13),1),交易记录!$A$6:$A$605,"&lt;"&amp;DATE(YEAR(A13),MONTH(A13)+1,1),交易记录!$C$6:$C$605,"买入",交易记录!$P$6:$P$605,"&lt;&gt;分红再投",交易记录!$P$6:$P$605,"&lt;&gt;其他",交易记录!$B$6:$B$605,"QQQM")+SUMIFS(交易记录!$E$6:$E$605,交易记录!$A$6:$A$605,"&gt;="&amp;DATE(YEAR(A13),MONTH(A13),1),交易记录!$A$6:$A$605,"&lt;"&amp;DATE(YEAR(A13),MONTH(A13)+1,1),交易记录!$C$6:$C$605,"买入",交易记录!$P$6:$P$605,"&lt;&gt;分红再投",交易记录!$P$6:$P$605,"&lt;&gt;其他",交易记录!$B$6:$B$605,"VOO")+SUMIFS(交易记录!$E$6:$E$605,交易记录!$A$6:$A$605,"&gt;="&amp;DATE(YEAR(A13),MONTH(A13),1),交易记录!$A$6:$A$605,"&lt;"&amp;DATE(YEAR(A13),MONTH(A13)+1,1),交易记录!$C$6:$C$605,"买入",交易记录!$P$6:$P$605,"&lt;&gt;分红再投",交易记录!$P$6:$P$605,"&lt;&gt;其他",交易记录!$B$6:$B$605,"QQQM")</f>
        <v>0</v>
      </c>
      <c r="N13" s="21">
        <f t="shared" si="4"/>
        <v>0</v>
      </c>
      <c r="O13" s="22"/>
      <c r="P13" s="21">
        <f t="shared" si="5"/>
        <v>0</v>
      </c>
      <c r="Q13" s="21">
        <f t="shared" si="6"/>
        <v>5000</v>
      </c>
      <c r="R13" s="20" t="str">
        <f t="shared" si="7"/>
        <v>待补指数收盘／历史基准；先列基础额</v>
      </c>
      <c r="S13" s="28"/>
    </row>
    <row r="14" spans="1:19" ht="28.5" customHeight="1">
      <c r="A14" s="25">
        <f>月度计划!A11</f>
        <v>46456</v>
      </c>
      <c r="B14" s="26"/>
      <c r="C14" s="22"/>
      <c r="D14" s="22"/>
      <c r="E14" s="21">
        <f t="shared" si="8"/>
        <v>7794.35</v>
      </c>
      <c r="F14" s="27" t="str">
        <f t="shared" si="0"/>
        <v/>
      </c>
      <c r="G14" s="21" t="str">
        <f t="shared" si="1"/>
        <v/>
      </c>
      <c r="H14" s="21">
        <f>MAX(0,$E$4-SUM($P$9:P13))</f>
        <v>5000</v>
      </c>
      <c r="I14" s="21">
        <f t="shared" si="2"/>
        <v>0</v>
      </c>
      <c r="J14" s="21">
        <f t="shared" si="3"/>
        <v>500</v>
      </c>
      <c r="K14" s="21">
        <f>J14*总览!$B$8</f>
        <v>450</v>
      </c>
      <c r="L14" s="21">
        <f>J14*总览!$B$9</f>
        <v>50</v>
      </c>
      <c r="M14" s="21">
        <f>SUMIFS(交易记录!$D$6:$D$605,交易记录!$A$6:$A$605,"&gt;="&amp;DATE(YEAR(A14),MONTH(A14),1),交易记录!$A$6:$A$605,"&lt;"&amp;DATE(YEAR(A14),MONTH(A14)+1,1),交易记录!$C$6:$C$605,"买入",交易记录!$P$6:$P$605,"&lt;&gt;分红再投",交易记录!$P$6:$P$605,"&lt;&gt;其他",交易记录!$B$6:$B$605,"VOO")+SUMIFS(交易记录!$D$6:$D$605,交易记录!$A$6:$A$605,"&gt;="&amp;DATE(YEAR(A14),MONTH(A14),1),交易记录!$A$6:$A$605,"&lt;"&amp;DATE(YEAR(A14),MONTH(A14)+1,1),交易记录!$C$6:$C$605,"买入",交易记录!$P$6:$P$605,"&lt;&gt;分红再投",交易记录!$P$6:$P$605,"&lt;&gt;其他",交易记录!$B$6:$B$605,"QQQM")+SUMIFS(交易记录!$E$6:$E$605,交易记录!$A$6:$A$605,"&gt;="&amp;DATE(YEAR(A14),MONTH(A14),1),交易记录!$A$6:$A$605,"&lt;"&amp;DATE(YEAR(A14),MONTH(A14)+1,1),交易记录!$C$6:$C$605,"买入",交易记录!$P$6:$P$605,"&lt;&gt;分红再投",交易记录!$P$6:$P$605,"&lt;&gt;其他",交易记录!$B$6:$B$605,"VOO")+SUMIFS(交易记录!$E$6:$E$605,交易记录!$A$6:$A$605,"&gt;="&amp;DATE(YEAR(A14),MONTH(A14),1),交易记录!$A$6:$A$605,"&lt;"&amp;DATE(YEAR(A14),MONTH(A14)+1,1),交易记录!$C$6:$C$605,"买入",交易记录!$P$6:$P$605,"&lt;&gt;分红再投",交易记录!$P$6:$P$605,"&lt;&gt;其他",交易记录!$B$6:$B$605,"QQQM")</f>
        <v>0</v>
      </c>
      <c r="N14" s="21">
        <f t="shared" si="4"/>
        <v>0</v>
      </c>
      <c r="O14" s="22"/>
      <c r="P14" s="21">
        <f t="shared" si="5"/>
        <v>0</v>
      </c>
      <c r="Q14" s="21">
        <f t="shared" si="6"/>
        <v>5000</v>
      </c>
      <c r="R14" s="20" t="str">
        <f t="shared" si="7"/>
        <v>待补指数收盘／历史基准；先列基础额</v>
      </c>
      <c r="S14" s="28"/>
    </row>
    <row r="15" spans="1:19" ht="28.5" customHeight="1">
      <c r="A15" s="25">
        <f>月度计划!A12</f>
        <v>46487</v>
      </c>
      <c r="B15" s="26"/>
      <c r="C15" s="22"/>
      <c r="D15" s="22"/>
      <c r="E15" s="21">
        <f t="shared" si="8"/>
        <v>7794.35</v>
      </c>
      <c r="F15" s="27" t="str">
        <f t="shared" si="0"/>
        <v/>
      </c>
      <c r="G15" s="21" t="str">
        <f t="shared" si="1"/>
        <v/>
      </c>
      <c r="H15" s="21">
        <f>MAX(0,$E$4-SUM($P$9:P14))</f>
        <v>5000</v>
      </c>
      <c r="I15" s="21">
        <f t="shared" si="2"/>
        <v>0</v>
      </c>
      <c r="J15" s="21">
        <f t="shared" si="3"/>
        <v>500</v>
      </c>
      <c r="K15" s="21">
        <f>J15*总览!$B$8</f>
        <v>450</v>
      </c>
      <c r="L15" s="21">
        <f>J15*总览!$B$9</f>
        <v>50</v>
      </c>
      <c r="M15" s="21">
        <f>SUMIFS(交易记录!$D$6:$D$605,交易记录!$A$6:$A$605,"&gt;="&amp;DATE(YEAR(A15),MONTH(A15),1),交易记录!$A$6:$A$605,"&lt;"&amp;DATE(YEAR(A15),MONTH(A15)+1,1),交易记录!$C$6:$C$605,"买入",交易记录!$P$6:$P$605,"&lt;&gt;分红再投",交易记录!$P$6:$P$605,"&lt;&gt;其他",交易记录!$B$6:$B$605,"VOO")+SUMIFS(交易记录!$D$6:$D$605,交易记录!$A$6:$A$605,"&gt;="&amp;DATE(YEAR(A15),MONTH(A15),1),交易记录!$A$6:$A$605,"&lt;"&amp;DATE(YEAR(A15),MONTH(A15)+1,1),交易记录!$C$6:$C$605,"买入",交易记录!$P$6:$P$605,"&lt;&gt;分红再投",交易记录!$P$6:$P$605,"&lt;&gt;其他",交易记录!$B$6:$B$605,"QQQM")+SUMIFS(交易记录!$E$6:$E$605,交易记录!$A$6:$A$605,"&gt;="&amp;DATE(YEAR(A15),MONTH(A15),1),交易记录!$A$6:$A$605,"&lt;"&amp;DATE(YEAR(A15),MONTH(A15)+1,1),交易记录!$C$6:$C$605,"买入",交易记录!$P$6:$P$605,"&lt;&gt;分红再投",交易记录!$P$6:$P$605,"&lt;&gt;其他",交易记录!$B$6:$B$605,"VOO")+SUMIFS(交易记录!$E$6:$E$605,交易记录!$A$6:$A$605,"&gt;="&amp;DATE(YEAR(A15),MONTH(A15),1),交易记录!$A$6:$A$605,"&lt;"&amp;DATE(YEAR(A15),MONTH(A15)+1,1),交易记录!$C$6:$C$605,"买入",交易记录!$P$6:$P$605,"&lt;&gt;分红再投",交易记录!$P$6:$P$605,"&lt;&gt;其他",交易记录!$B$6:$B$605,"QQQM")</f>
        <v>0</v>
      </c>
      <c r="N15" s="21">
        <f t="shared" si="4"/>
        <v>0</v>
      </c>
      <c r="O15" s="22"/>
      <c r="P15" s="21">
        <f t="shared" si="5"/>
        <v>0</v>
      </c>
      <c r="Q15" s="21">
        <f t="shared" si="6"/>
        <v>5000</v>
      </c>
      <c r="R15" s="20" t="str">
        <f t="shared" si="7"/>
        <v>待补指数收盘／历史基准；先列基础额</v>
      </c>
      <c r="S15" s="28"/>
    </row>
    <row r="16" spans="1:19" ht="28.5" customHeight="1">
      <c r="A16" s="25">
        <f>月度计划!A13</f>
        <v>46517</v>
      </c>
      <c r="B16" s="26"/>
      <c r="C16" s="22"/>
      <c r="D16" s="22"/>
      <c r="E16" s="21">
        <f t="shared" si="8"/>
        <v>7794.35</v>
      </c>
      <c r="F16" s="27" t="str">
        <f t="shared" si="0"/>
        <v/>
      </c>
      <c r="G16" s="21" t="str">
        <f t="shared" si="1"/>
        <v/>
      </c>
      <c r="H16" s="21">
        <f>MAX(0,$E$4-SUM($P$9:P15))</f>
        <v>5000</v>
      </c>
      <c r="I16" s="21">
        <f t="shared" si="2"/>
        <v>0</v>
      </c>
      <c r="J16" s="21">
        <f t="shared" si="3"/>
        <v>500</v>
      </c>
      <c r="K16" s="21">
        <f>J16*总览!$B$8</f>
        <v>450</v>
      </c>
      <c r="L16" s="21">
        <f>J16*总览!$B$9</f>
        <v>50</v>
      </c>
      <c r="M16" s="21">
        <f>SUMIFS(交易记录!$D$6:$D$605,交易记录!$A$6:$A$605,"&gt;="&amp;DATE(YEAR(A16),MONTH(A16),1),交易记录!$A$6:$A$605,"&lt;"&amp;DATE(YEAR(A16),MONTH(A16)+1,1),交易记录!$C$6:$C$605,"买入",交易记录!$P$6:$P$605,"&lt;&gt;分红再投",交易记录!$P$6:$P$605,"&lt;&gt;其他",交易记录!$B$6:$B$605,"VOO")+SUMIFS(交易记录!$D$6:$D$605,交易记录!$A$6:$A$605,"&gt;="&amp;DATE(YEAR(A16),MONTH(A16),1),交易记录!$A$6:$A$605,"&lt;"&amp;DATE(YEAR(A16),MONTH(A16)+1,1),交易记录!$C$6:$C$605,"买入",交易记录!$P$6:$P$605,"&lt;&gt;分红再投",交易记录!$P$6:$P$605,"&lt;&gt;其他",交易记录!$B$6:$B$605,"QQQM")+SUMIFS(交易记录!$E$6:$E$605,交易记录!$A$6:$A$605,"&gt;="&amp;DATE(YEAR(A16),MONTH(A16),1),交易记录!$A$6:$A$605,"&lt;"&amp;DATE(YEAR(A16),MONTH(A16)+1,1),交易记录!$C$6:$C$605,"买入",交易记录!$P$6:$P$605,"&lt;&gt;分红再投",交易记录!$P$6:$P$605,"&lt;&gt;其他",交易记录!$B$6:$B$605,"VOO")+SUMIFS(交易记录!$E$6:$E$605,交易记录!$A$6:$A$605,"&gt;="&amp;DATE(YEAR(A16),MONTH(A16),1),交易记录!$A$6:$A$605,"&lt;"&amp;DATE(YEAR(A16),MONTH(A16)+1,1),交易记录!$C$6:$C$605,"买入",交易记录!$P$6:$P$605,"&lt;&gt;分红再投",交易记录!$P$6:$P$605,"&lt;&gt;其他",交易记录!$B$6:$B$605,"QQQM")</f>
        <v>0</v>
      </c>
      <c r="N16" s="21">
        <f t="shared" si="4"/>
        <v>0</v>
      </c>
      <c r="O16" s="22"/>
      <c r="P16" s="21">
        <f t="shared" si="5"/>
        <v>0</v>
      </c>
      <c r="Q16" s="21">
        <f t="shared" si="6"/>
        <v>5000</v>
      </c>
      <c r="R16" s="20" t="str">
        <f t="shared" si="7"/>
        <v>待补指数收盘／历史基准；先列基础额</v>
      </c>
      <c r="S16" s="28"/>
    </row>
    <row r="17" spans="1:19" ht="28.5" customHeight="1">
      <c r="A17" s="25">
        <f>月度计划!A14</f>
        <v>46548</v>
      </c>
      <c r="B17" s="26"/>
      <c r="C17" s="22"/>
      <c r="D17" s="22"/>
      <c r="E17" s="21">
        <f t="shared" si="8"/>
        <v>7794.35</v>
      </c>
      <c r="F17" s="27" t="str">
        <f t="shared" si="0"/>
        <v/>
      </c>
      <c r="G17" s="21" t="str">
        <f t="shared" si="1"/>
        <v/>
      </c>
      <c r="H17" s="21">
        <f>MAX(0,$E$4-SUM($P$9:P16))</f>
        <v>5000</v>
      </c>
      <c r="I17" s="21">
        <f t="shared" si="2"/>
        <v>0</v>
      </c>
      <c r="J17" s="21">
        <f t="shared" si="3"/>
        <v>500</v>
      </c>
      <c r="K17" s="21">
        <f>J17*总览!$B$8</f>
        <v>450</v>
      </c>
      <c r="L17" s="21">
        <f>J17*总览!$B$9</f>
        <v>50</v>
      </c>
      <c r="M17" s="21">
        <f>SUMIFS(交易记录!$D$6:$D$605,交易记录!$A$6:$A$605,"&gt;="&amp;DATE(YEAR(A17),MONTH(A17),1),交易记录!$A$6:$A$605,"&lt;"&amp;DATE(YEAR(A17),MONTH(A17)+1,1),交易记录!$C$6:$C$605,"买入",交易记录!$P$6:$P$605,"&lt;&gt;分红再投",交易记录!$P$6:$P$605,"&lt;&gt;其他",交易记录!$B$6:$B$605,"VOO")+SUMIFS(交易记录!$D$6:$D$605,交易记录!$A$6:$A$605,"&gt;="&amp;DATE(YEAR(A17),MONTH(A17),1),交易记录!$A$6:$A$605,"&lt;"&amp;DATE(YEAR(A17),MONTH(A17)+1,1),交易记录!$C$6:$C$605,"买入",交易记录!$P$6:$P$605,"&lt;&gt;分红再投",交易记录!$P$6:$P$605,"&lt;&gt;其他",交易记录!$B$6:$B$605,"QQQM")+SUMIFS(交易记录!$E$6:$E$605,交易记录!$A$6:$A$605,"&gt;="&amp;DATE(YEAR(A17),MONTH(A17),1),交易记录!$A$6:$A$605,"&lt;"&amp;DATE(YEAR(A17),MONTH(A17)+1,1),交易记录!$C$6:$C$605,"买入",交易记录!$P$6:$P$605,"&lt;&gt;分红再投",交易记录!$P$6:$P$605,"&lt;&gt;其他",交易记录!$B$6:$B$605,"VOO")+SUMIFS(交易记录!$E$6:$E$605,交易记录!$A$6:$A$605,"&gt;="&amp;DATE(YEAR(A17),MONTH(A17),1),交易记录!$A$6:$A$605,"&lt;"&amp;DATE(YEAR(A17),MONTH(A17)+1,1),交易记录!$C$6:$C$605,"买入",交易记录!$P$6:$P$605,"&lt;&gt;分红再投",交易记录!$P$6:$P$605,"&lt;&gt;其他",交易记录!$B$6:$B$605,"QQQM")</f>
        <v>0</v>
      </c>
      <c r="N17" s="21">
        <f t="shared" si="4"/>
        <v>0</v>
      </c>
      <c r="O17" s="22"/>
      <c r="P17" s="21">
        <f t="shared" si="5"/>
        <v>0</v>
      </c>
      <c r="Q17" s="21">
        <f t="shared" si="6"/>
        <v>5000</v>
      </c>
      <c r="R17" s="20" t="str">
        <f t="shared" si="7"/>
        <v>待补指数收盘／历史基准；先列基础额</v>
      </c>
      <c r="S17" s="28"/>
    </row>
    <row r="18" spans="1:19" ht="28.5" customHeight="1">
      <c r="A18" s="25">
        <f>月度计划!A15</f>
        <v>46578</v>
      </c>
      <c r="B18" s="26"/>
      <c r="C18" s="22"/>
      <c r="D18" s="22"/>
      <c r="E18" s="21">
        <f t="shared" si="8"/>
        <v>7794.35</v>
      </c>
      <c r="F18" s="27" t="str">
        <f t="shared" si="0"/>
        <v/>
      </c>
      <c r="G18" s="21" t="str">
        <f t="shared" si="1"/>
        <v/>
      </c>
      <c r="H18" s="21">
        <f>MAX(0,$E$4-SUM($P$9:P17))</f>
        <v>5000</v>
      </c>
      <c r="I18" s="21">
        <f t="shared" si="2"/>
        <v>0</v>
      </c>
      <c r="J18" s="21">
        <f t="shared" si="3"/>
        <v>500</v>
      </c>
      <c r="K18" s="21">
        <f>J18*总览!$B$8</f>
        <v>450</v>
      </c>
      <c r="L18" s="21">
        <f>J18*总览!$B$9</f>
        <v>50</v>
      </c>
      <c r="M18" s="21">
        <f>SUMIFS(交易记录!$D$6:$D$605,交易记录!$A$6:$A$605,"&gt;="&amp;DATE(YEAR(A18),MONTH(A18),1),交易记录!$A$6:$A$605,"&lt;"&amp;DATE(YEAR(A18),MONTH(A18)+1,1),交易记录!$C$6:$C$605,"买入",交易记录!$P$6:$P$605,"&lt;&gt;分红再投",交易记录!$P$6:$P$605,"&lt;&gt;其他",交易记录!$B$6:$B$605,"VOO")+SUMIFS(交易记录!$D$6:$D$605,交易记录!$A$6:$A$605,"&gt;="&amp;DATE(YEAR(A18),MONTH(A18),1),交易记录!$A$6:$A$605,"&lt;"&amp;DATE(YEAR(A18),MONTH(A18)+1,1),交易记录!$C$6:$C$605,"买入",交易记录!$P$6:$P$605,"&lt;&gt;分红再投",交易记录!$P$6:$P$605,"&lt;&gt;其他",交易记录!$B$6:$B$605,"QQQM")+SUMIFS(交易记录!$E$6:$E$605,交易记录!$A$6:$A$605,"&gt;="&amp;DATE(YEAR(A18),MONTH(A18),1),交易记录!$A$6:$A$605,"&lt;"&amp;DATE(YEAR(A18),MONTH(A18)+1,1),交易记录!$C$6:$C$605,"买入",交易记录!$P$6:$P$605,"&lt;&gt;分红再投",交易记录!$P$6:$P$605,"&lt;&gt;其他",交易记录!$B$6:$B$605,"VOO")+SUMIFS(交易记录!$E$6:$E$605,交易记录!$A$6:$A$605,"&gt;="&amp;DATE(YEAR(A18),MONTH(A18),1),交易记录!$A$6:$A$605,"&lt;"&amp;DATE(YEAR(A18),MONTH(A18)+1,1),交易记录!$C$6:$C$605,"买入",交易记录!$P$6:$P$605,"&lt;&gt;分红再投",交易记录!$P$6:$P$605,"&lt;&gt;其他",交易记录!$B$6:$B$605,"QQQM")</f>
        <v>0</v>
      </c>
      <c r="N18" s="21">
        <f t="shared" si="4"/>
        <v>0</v>
      </c>
      <c r="O18" s="22"/>
      <c r="P18" s="21">
        <f t="shared" si="5"/>
        <v>0</v>
      </c>
      <c r="Q18" s="21">
        <f t="shared" si="6"/>
        <v>5000</v>
      </c>
      <c r="R18" s="20" t="str">
        <f t="shared" si="7"/>
        <v>待补指数收盘／历史基准；先列基础额</v>
      </c>
      <c r="S18" s="28"/>
    </row>
    <row r="19" spans="1:19" ht="28.5" customHeight="1">
      <c r="A19" s="25">
        <f>月度计划!A16</f>
        <v>46609</v>
      </c>
      <c r="B19" s="26"/>
      <c r="C19" s="22"/>
      <c r="D19" s="22"/>
      <c r="E19" s="21">
        <f t="shared" si="8"/>
        <v>7794.35</v>
      </c>
      <c r="F19" s="27" t="str">
        <f t="shared" si="0"/>
        <v/>
      </c>
      <c r="G19" s="21" t="str">
        <f t="shared" si="1"/>
        <v/>
      </c>
      <c r="H19" s="21">
        <f>MAX(0,$E$4-SUM($P$9:P18))</f>
        <v>5000</v>
      </c>
      <c r="I19" s="21">
        <f t="shared" si="2"/>
        <v>0</v>
      </c>
      <c r="J19" s="21">
        <f t="shared" si="3"/>
        <v>500</v>
      </c>
      <c r="K19" s="21">
        <f>J19*总览!$B$8</f>
        <v>450</v>
      </c>
      <c r="L19" s="21">
        <f>J19*总览!$B$9</f>
        <v>50</v>
      </c>
      <c r="M19" s="21">
        <f>SUMIFS(交易记录!$D$6:$D$605,交易记录!$A$6:$A$605,"&gt;="&amp;DATE(YEAR(A19),MONTH(A19),1),交易记录!$A$6:$A$605,"&lt;"&amp;DATE(YEAR(A19),MONTH(A19)+1,1),交易记录!$C$6:$C$605,"买入",交易记录!$P$6:$P$605,"&lt;&gt;分红再投",交易记录!$P$6:$P$605,"&lt;&gt;其他",交易记录!$B$6:$B$605,"VOO")+SUMIFS(交易记录!$D$6:$D$605,交易记录!$A$6:$A$605,"&gt;="&amp;DATE(YEAR(A19),MONTH(A19),1),交易记录!$A$6:$A$605,"&lt;"&amp;DATE(YEAR(A19),MONTH(A19)+1,1),交易记录!$C$6:$C$605,"买入",交易记录!$P$6:$P$605,"&lt;&gt;分红再投",交易记录!$P$6:$P$605,"&lt;&gt;其他",交易记录!$B$6:$B$605,"QQQM")+SUMIFS(交易记录!$E$6:$E$605,交易记录!$A$6:$A$605,"&gt;="&amp;DATE(YEAR(A19),MONTH(A19),1),交易记录!$A$6:$A$605,"&lt;"&amp;DATE(YEAR(A19),MONTH(A19)+1,1),交易记录!$C$6:$C$605,"买入",交易记录!$P$6:$P$605,"&lt;&gt;分红再投",交易记录!$P$6:$P$605,"&lt;&gt;其他",交易记录!$B$6:$B$605,"VOO")+SUMIFS(交易记录!$E$6:$E$605,交易记录!$A$6:$A$605,"&gt;="&amp;DATE(YEAR(A19),MONTH(A19),1),交易记录!$A$6:$A$605,"&lt;"&amp;DATE(YEAR(A19),MONTH(A19)+1,1),交易记录!$C$6:$C$605,"买入",交易记录!$P$6:$P$605,"&lt;&gt;分红再投",交易记录!$P$6:$P$605,"&lt;&gt;其他",交易记录!$B$6:$B$605,"QQQM")</f>
        <v>0</v>
      </c>
      <c r="N19" s="21">
        <f t="shared" si="4"/>
        <v>0</v>
      </c>
      <c r="O19" s="22"/>
      <c r="P19" s="21">
        <f t="shared" si="5"/>
        <v>0</v>
      </c>
      <c r="Q19" s="21">
        <f t="shared" si="6"/>
        <v>5000</v>
      </c>
      <c r="R19" s="20" t="str">
        <f t="shared" si="7"/>
        <v>待补指数收盘／历史基准；先列基础额</v>
      </c>
      <c r="S19" s="28"/>
    </row>
    <row r="20" spans="1:19" ht="28.5" customHeight="1">
      <c r="A20" s="25">
        <f>月度计划!A17</f>
        <v>46640</v>
      </c>
      <c r="B20" s="26"/>
      <c r="C20" s="22"/>
      <c r="D20" s="22"/>
      <c r="E20" s="21">
        <f t="shared" si="8"/>
        <v>7794.35</v>
      </c>
      <c r="F20" s="27" t="str">
        <f t="shared" si="0"/>
        <v/>
      </c>
      <c r="G20" s="21" t="str">
        <f t="shared" si="1"/>
        <v/>
      </c>
      <c r="H20" s="21">
        <f>MAX(0,$E$4-SUM($P$9:P19))</f>
        <v>5000</v>
      </c>
      <c r="I20" s="21">
        <f t="shared" si="2"/>
        <v>0</v>
      </c>
      <c r="J20" s="21">
        <f t="shared" si="3"/>
        <v>500</v>
      </c>
      <c r="K20" s="21">
        <f>J20*总览!$B$8</f>
        <v>450</v>
      </c>
      <c r="L20" s="21">
        <f>J20*总览!$B$9</f>
        <v>50</v>
      </c>
      <c r="M20" s="21">
        <f>SUMIFS(交易记录!$D$6:$D$605,交易记录!$A$6:$A$605,"&gt;="&amp;DATE(YEAR(A20),MONTH(A20),1),交易记录!$A$6:$A$605,"&lt;"&amp;DATE(YEAR(A20),MONTH(A20)+1,1),交易记录!$C$6:$C$605,"买入",交易记录!$P$6:$P$605,"&lt;&gt;分红再投",交易记录!$P$6:$P$605,"&lt;&gt;其他",交易记录!$B$6:$B$605,"VOO")+SUMIFS(交易记录!$D$6:$D$605,交易记录!$A$6:$A$605,"&gt;="&amp;DATE(YEAR(A20),MONTH(A20),1),交易记录!$A$6:$A$605,"&lt;"&amp;DATE(YEAR(A20),MONTH(A20)+1,1),交易记录!$C$6:$C$605,"买入",交易记录!$P$6:$P$605,"&lt;&gt;分红再投",交易记录!$P$6:$P$605,"&lt;&gt;其他",交易记录!$B$6:$B$605,"QQQM")+SUMIFS(交易记录!$E$6:$E$605,交易记录!$A$6:$A$605,"&gt;="&amp;DATE(YEAR(A20),MONTH(A20),1),交易记录!$A$6:$A$605,"&lt;"&amp;DATE(YEAR(A20),MONTH(A20)+1,1),交易记录!$C$6:$C$605,"买入",交易记录!$P$6:$P$605,"&lt;&gt;分红再投",交易记录!$P$6:$P$605,"&lt;&gt;其他",交易记录!$B$6:$B$605,"VOO")+SUMIFS(交易记录!$E$6:$E$605,交易记录!$A$6:$A$605,"&gt;="&amp;DATE(YEAR(A20),MONTH(A20),1),交易记录!$A$6:$A$605,"&lt;"&amp;DATE(YEAR(A20),MONTH(A20)+1,1),交易记录!$C$6:$C$605,"买入",交易记录!$P$6:$P$605,"&lt;&gt;分红再投",交易记录!$P$6:$P$605,"&lt;&gt;其他",交易记录!$B$6:$B$605,"QQQM")</f>
        <v>0</v>
      </c>
      <c r="N20" s="21">
        <f t="shared" si="4"/>
        <v>0</v>
      </c>
      <c r="O20" s="22"/>
      <c r="P20" s="21">
        <f t="shared" si="5"/>
        <v>0</v>
      </c>
      <c r="Q20" s="21">
        <f t="shared" si="6"/>
        <v>5000</v>
      </c>
      <c r="R20" s="20" t="str">
        <f t="shared" si="7"/>
        <v>待补指数收盘／历史基准；先列基础额</v>
      </c>
      <c r="S20" s="28"/>
    </row>
    <row r="21" spans="1:19" ht="28.5" customHeight="1">
      <c r="A21" s="25">
        <f>月度计划!A18</f>
        <v>46670</v>
      </c>
      <c r="B21" s="26"/>
      <c r="C21" s="22"/>
      <c r="D21" s="22"/>
      <c r="E21" s="21">
        <f t="shared" si="8"/>
        <v>7794.35</v>
      </c>
      <c r="F21" s="27" t="str">
        <f t="shared" si="0"/>
        <v/>
      </c>
      <c r="G21" s="21" t="str">
        <f t="shared" si="1"/>
        <v/>
      </c>
      <c r="H21" s="21">
        <f>MAX(0,$E$4-SUM($P$9:P20))</f>
        <v>5000</v>
      </c>
      <c r="I21" s="21">
        <f t="shared" si="2"/>
        <v>0</v>
      </c>
      <c r="J21" s="21">
        <f t="shared" si="3"/>
        <v>500</v>
      </c>
      <c r="K21" s="21">
        <f>J21*总览!$B$8</f>
        <v>450</v>
      </c>
      <c r="L21" s="21">
        <f>J21*总览!$B$9</f>
        <v>50</v>
      </c>
      <c r="M21" s="21">
        <f>SUMIFS(交易记录!$D$6:$D$605,交易记录!$A$6:$A$605,"&gt;="&amp;DATE(YEAR(A21),MONTH(A21),1),交易记录!$A$6:$A$605,"&lt;"&amp;DATE(YEAR(A21),MONTH(A21)+1,1),交易记录!$C$6:$C$605,"买入",交易记录!$P$6:$P$605,"&lt;&gt;分红再投",交易记录!$P$6:$P$605,"&lt;&gt;其他",交易记录!$B$6:$B$605,"VOO")+SUMIFS(交易记录!$D$6:$D$605,交易记录!$A$6:$A$605,"&gt;="&amp;DATE(YEAR(A21),MONTH(A21),1),交易记录!$A$6:$A$605,"&lt;"&amp;DATE(YEAR(A21),MONTH(A21)+1,1),交易记录!$C$6:$C$605,"买入",交易记录!$P$6:$P$605,"&lt;&gt;分红再投",交易记录!$P$6:$P$605,"&lt;&gt;其他",交易记录!$B$6:$B$605,"QQQM")+SUMIFS(交易记录!$E$6:$E$605,交易记录!$A$6:$A$605,"&gt;="&amp;DATE(YEAR(A21),MONTH(A21),1),交易记录!$A$6:$A$605,"&lt;"&amp;DATE(YEAR(A21),MONTH(A21)+1,1),交易记录!$C$6:$C$605,"买入",交易记录!$P$6:$P$605,"&lt;&gt;分红再投",交易记录!$P$6:$P$605,"&lt;&gt;其他",交易记录!$B$6:$B$605,"VOO")+SUMIFS(交易记录!$E$6:$E$605,交易记录!$A$6:$A$605,"&gt;="&amp;DATE(YEAR(A21),MONTH(A21),1),交易记录!$A$6:$A$605,"&lt;"&amp;DATE(YEAR(A21),MONTH(A21)+1,1),交易记录!$C$6:$C$605,"买入",交易记录!$P$6:$P$605,"&lt;&gt;分红再投",交易记录!$P$6:$P$605,"&lt;&gt;其他",交易记录!$B$6:$B$605,"QQQM")</f>
        <v>0</v>
      </c>
      <c r="N21" s="21">
        <f t="shared" si="4"/>
        <v>0</v>
      </c>
      <c r="O21" s="22"/>
      <c r="P21" s="21">
        <f t="shared" si="5"/>
        <v>0</v>
      </c>
      <c r="Q21" s="21">
        <f t="shared" si="6"/>
        <v>5000</v>
      </c>
      <c r="R21" s="20" t="str">
        <f t="shared" si="7"/>
        <v>待补指数收盘／历史基准；先列基础额</v>
      </c>
      <c r="S21" s="28"/>
    </row>
    <row r="22" spans="1:19" ht="28.5" customHeight="1">
      <c r="A22" s="25">
        <f>月度计划!A19</f>
        <v>46701</v>
      </c>
      <c r="B22" s="26"/>
      <c r="C22" s="22"/>
      <c r="D22" s="22"/>
      <c r="E22" s="21">
        <f t="shared" si="8"/>
        <v>7794.35</v>
      </c>
      <c r="F22" s="27" t="str">
        <f t="shared" si="0"/>
        <v/>
      </c>
      <c r="G22" s="21" t="str">
        <f t="shared" si="1"/>
        <v/>
      </c>
      <c r="H22" s="21">
        <f>MAX(0,$E$4-SUM($P$9:P21))</f>
        <v>5000</v>
      </c>
      <c r="I22" s="21">
        <f t="shared" si="2"/>
        <v>0</v>
      </c>
      <c r="J22" s="21">
        <f t="shared" si="3"/>
        <v>500</v>
      </c>
      <c r="K22" s="21">
        <f>J22*总览!$B$8</f>
        <v>450</v>
      </c>
      <c r="L22" s="21">
        <f>J22*总览!$B$9</f>
        <v>50</v>
      </c>
      <c r="M22" s="21">
        <f>SUMIFS(交易记录!$D$6:$D$605,交易记录!$A$6:$A$605,"&gt;="&amp;DATE(YEAR(A22),MONTH(A22),1),交易记录!$A$6:$A$605,"&lt;"&amp;DATE(YEAR(A22),MONTH(A22)+1,1),交易记录!$C$6:$C$605,"买入",交易记录!$P$6:$P$605,"&lt;&gt;分红再投",交易记录!$P$6:$P$605,"&lt;&gt;其他",交易记录!$B$6:$B$605,"VOO")+SUMIFS(交易记录!$D$6:$D$605,交易记录!$A$6:$A$605,"&gt;="&amp;DATE(YEAR(A22),MONTH(A22),1),交易记录!$A$6:$A$605,"&lt;"&amp;DATE(YEAR(A22),MONTH(A22)+1,1),交易记录!$C$6:$C$605,"买入",交易记录!$P$6:$P$605,"&lt;&gt;分红再投",交易记录!$P$6:$P$605,"&lt;&gt;其他",交易记录!$B$6:$B$605,"QQQM")+SUMIFS(交易记录!$E$6:$E$605,交易记录!$A$6:$A$605,"&gt;="&amp;DATE(YEAR(A22),MONTH(A22),1),交易记录!$A$6:$A$605,"&lt;"&amp;DATE(YEAR(A22),MONTH(A22)+1,1),交易记录!$C$6:$C$605,"买入",交易记录!$P$6:$P$605,"&lt;&gt;分红再投",交易记录!$P$6:$P$605,"&lt;&gt;其他",交易记录!$B$6:$B$605,"VOO")+SUMIFS(交易记录!$E$6:$E$605,交易记录!$A$6:$A$605,"&gt;="&amp;DATE(YEAR(A22),MONTH(A22),1),交易记录!$A$6:$A$605,"&lt;"&amp;DATE(YEAR(A22),MONTH(A22)+1,1),交易记录!$C$6:$C$605,"买入",交易记录!$P$6:$P$605,"&lt;&gt;分红再投",交易记录!$P$6:$P$605,"&lt;&gt;其他",交易记录!$B$6:$B$605,"QQQM")</f>
        <v>0</v>
      </c>
      <c r="N22" s="21">
        <f t="shared" si="4"/>
        <v>0</v>
      </c>
      <c r="O22" s="22"/>
      <c r="P22" s="21">
        <f t="shared" si="5"/>
        <v>0</v>
      </c>
      <c r="Q22" s="21">
        <f t="shared" si="6"/>
        <v>5000</v>
      </c>
      <c r="R22" s="20" t="str">
        <f t="shared" si="7"/>
        <v>待补指数收盘／历史基准；先列基础额</v>
      </c>
      <c r="S22" s="28"/>
    </row>
    <row r="23" spans="1:19" ht="28.5" customHeight="1">
      <c r="A23" s="25">
        <f>月度计划!A20</f>
        <v>46731</v>
      </c>
      <c r="B23" s="26"/>
      <c r="C23" s="22"/>
      <c r="D23" s="22"/>
      <c r="E23" s="21">
        <f t="shared" si="8"/>
        <v>7794.35</v>
      </c>
      <c r="F23" s="27" t="str">
        <f t="shared" si="0"/>
        <v/>
      </c>
      <c r="G23" s="21" t="str">
        <f t="shared" si="1"/>
        <v/>
      </c>
      <c r="H23" s="21">
        <f>MAX(0,$E$4-SUM($P$9:P22))</f>
        <v>5000</v>
      </c>
      <c r="I23" s="21">
        <f t="shared" si="2"/>
        <v>0</v>
      </c>
      <c r="J23" s="21">
        <f t="shared" si="3"/>
        <v>500</v>
      </c>
      <c r="K23" s="21">
        <f>J23*总览!$B$8</f>
        <v>450</v>
      </c>
      <c r="L23" s="21">
        <f>J23*总览!$B$9</f>
        <v>50</v>
      </c>
      <c r="M23" s="21">
        <f>SUMIFS(交易记录!$D$6:$D$605,交易记录!$A$6:$A$605,"&gt;="&amp;DATE(YEAR(A23),MONTH(A23),1),交易记录!$A$6:$A$605,"&lt;"&amp;DATE(YEAR(A23),MONTH(A23)+1,1),交易记录!$C$6:$C$605,"买入",交易记录!$P$6:$P$605,"&lt;&gt;分红再投",交易记录!$P$6:$P$605,"&lt;&gt;其他",交易记录!$B$6:$B$605,"VOO")+SUMIFS(交易记录!$D$6:$D$605,交易记录!$A$6:$A$605,"&gt;="&amp;DATE(YEAR(A23),MONTH(A23),1),交易记录!$A$6:$A$605,"&lt;"&amp;DATE(YEAR(A23),MONTH(A23)+1,1),交易记录!$C$6:$C$605,"买入",交易记录!$P$6:$P$605,"&lt;&gt;分红再投",交易记录!$P$6:$P$605,"&lt;&gt;其他",交易记录!$B$6:$B$605,"QQQM")+SUMIFS(交易记录!$E$6:$E$605,交易记录!$A$6:$A$605,"&gt;="&amp;DATE(YEAR(A23),MONTH(A23),1),交易记录!$A$6:$A$605,"&lt;"&amp;DATE(YEAR(A23),MONTH(A23)+1,1),交易记录!$C$6:$C$605,"买入",交易记录!$P$6:$P$605,"&lt;&gt;分红再投",交易记录!$P$6:$P$605,"&lt;&gt;其他",交易记录!$B$6:$B$605,"VOO")+SUMIFS(交易记录!$E$6:$E$605,交易记录!$A$6:$A$605,"&gt;="&amp;DATE(YEAR(A23),MONTH(A23),1),交易记录!$A$6:$A$605,"&lt;"&amp;DATE(YEAR(A23),MONTH(A23)+1,1),交易记录!$C$6:$C$605,"买入",交易记录!$P$6:$P$605,"&lt;&gt;分红再投",交易记录!$P$6:$P$605,"&lt;&gt;其他",交易记录!$B$6:$B$605,"QQQM")</f>
        <v>0</v>
      </c>
      <c r="N23" s="21">
        <f t="shared" si="4"/>
        <v>0</v>
      </c>
      <c r="O23" s="22"/>
      <c r="P23" s="21">
        <f t="shared" si="5"/>
        <v>0</v>
      </c>
      <c r="Q23" s="21">
        <f t="shared" si="6"/>
        <v>5000</v>
      </c>
      <c r="R23" s="20" t="str">
        <f t="shared" si="7"/>
        <v>待补指数收盘／历史基准；先列基础额</v>
      </c>
      <c r="S23" s="28"/>
    </row>
    <row r="24" spans="1:19" ht="28.5" customHeight="1">
      <c r="A24" s="25">
        <f>月度计划!A21</f>
        <v>46762</v>
      </c>
      <c r="B24" s="26"/>
      <c r="C24" s="22"/>
      <c r="D24" s="22"/>
      <c r="E24" s="21">
        <f t="shared" si="8"/>
        <v>7794.35</v>
      </c>
      <c r="F24" s="27" t="str">
        <f t="shared" si="0"/>
        <v/>
      </c>
      <c r="G24" s="21" t="str">
        <f t="shared" si="1"/>
        <v/>
      </c>
      <c r="H24" s="21">
        <f>MAX(0,$E$4-SUM($P$9:P23))</f>
        <v>5000</v>
      </c>
      <c r="I24" s="21">
        <f t="shared" si="2"/>
        <v>0</v>
      </c>
      <c r="J24" s="21">
        <f t="shared" si="3"/>
        <v>500</v>
      </c>
      <c r="K24" s="21">
        <f>J24*总览!$B$8</f>
        <v>450</v>
      </c>
      <c r="L24" s="21">
        <f>J24*总览!$B$9</f>
        <v>50</v>
      </c>
      <c r="M24" s="21">
        <f>SUMIFS(交易记录!$D$6:$D$605,交易记录!$A$6:$A$605,"&gt;="&amp;DATE(YEAR(A24),MONTH(A24),1),交易记录!$A$6:$A$605,"&lt;"&amp;DATE(YEAR(A24),MONTH(A24)+1,1),交易记录!$C$6:$C$605,"买入",交易记录!$P$6:$P$605,"&lt;&gt;分红再投",交易记录!$P$6:$P$605,"&lt;&gt;其他",交易记录!$B$6:$B$605,"VOO")+SUMIFS(交易记录!$D$6:$D$605,交易记录!$A$6:$A$605,"&gt;="&amp;DATE(YEAR(A24),MONTH(A24),1),交易记录!$A$6:$A$605,"&lt;"&amp;DATE(YEAR(A24),MONTH(A24)+1,1),交易记录!$C$6:$C$605,"买入",交易记录!$P$6:$P$605,"&lt;&gt;分红再投",交易记录!$P$6:$P$605,"&lt;&gt;其他",交易记录!$B$6:$B$605,"QQQM")+SUMIFS(交易记录!$E$6:$E$605,交易记录!$A$6:$A$605,"&gt;="&amp;DATE(YEAR(A24),MONTH(A24),1),交易记录!$A$6:$A$605,"&lt;"&amp;DATE(YEAR(A24),MONTH(A24)+1,1),交易记录!$C$6:$C$605,"买入",交易记录!$P$6:$P$605,"&lt;&gt;分红再投",交易记录!$P$6:$P$605,"&lt;&gt;其他",交易记录!$B$6:$B$605,"VOO")+SUMIFS(交易记录!$E$6:$E$605,交易记录!$A$6:$A$605,"&gt;="&amp;DATE(YEAR(A24),MONTH(A24),1),交易记录!$A$6:$A$605,"&lt;"&amp;DATE(YEAR(A24),MONTH(A24)+1,1),交易记录!$C$6:$C$605,"买入",交易记录!$P$6:$P$605,"&lt;&gt;分红再投",交易记录!$P$6:$P$605,"&lt;&gt;其他",交易记录!$B$6:$B$605,"QQQM")</f>
        <v>0</v>
      </c>
      <c r="N24" s="21">
        <f t="shared" si="4"/>
        <v>0</v>
      </c>
      <c r="O24" s="22"/>
      <c r="P24" s="21">
        <f t="shared" si="5"/>
        <v>0</v>
      </c>
      <c r="Q24" s="21">
        <f t="shared" si="6"/>
        <v>5000</v>
      </c>
      <c r="R24" s="20" t="str">
        <f t="shared" si="7"/>
        <v>待补指数收盘／历史基准；先列基础额</v>
      </c>
      <c r="S24" s="28"/>
    </row>
    <row r="25" spans="1:19" ht="28.5" customHeight="1">
      <c r="A25" s="25">
        <f>月度计划!A22</f>
        <v>46793</v>
      </c>
      <c r="B25" s="26"/>
      <c r="C25" s="22"/>
      <c r="D25" s="22"/>
      <c r="E25" s="21">
        <f t="shared" si="8"/>
        <v>7794.35</v>
      </c>
      <c r="F25" s="27" t="str">
        <f t="shared" si="0"/>
        <v/>
      </c>
      <c r="G25" s="21" t="str">
        <f t="shared" si="1"/>
        <v/>
      </c>
      <c r="H25" s="21">
        <f>MAX(0,$E$4-SUM($P$9:P24))</f>
        <v>5000</v>
      </c>
      <c r="I25" s="21">
        <f t="shared" si="2"/>
        <v>0</v>
      </c>
      <c r="J25" s="21">
        <f t="shared" si="3"/>
        <v>500</v>
      </c>
      <c r="K25" s="21">
        <f>J25*总览!$B$8</f>
        <v>450</v>
      </c>
      <c r="L25" s="21">
        <f>J25*总览!$B$9</f>
        <v>50</v>
      </c>
      <c r="M25" s="21">
        <f>SUMIFS(交易记录!$D$6:$D$605,交易记录!$A$6:$A$605,"&gt;="&amp;DATE(YEAR(A25),MONTH(A25),1),交易记录!$A$6:$A$605,"&lt;"&amp;DATE(YEAR(A25),MONTH(A25)+1,1),交易记录!$C$6:$C$605,"买入",交易记录!$P$6:$P$605,"&lt;&gt;分红再投",交易记录!$P$6:$P$605,"&lt;&gt;其他",交易记录!$B$6:$B$605,"VOO")+SUMIFS(交易记录!$D$6:$D$605,交易记录!$A$6:$A$605,"&gt;="&amp;DATE(YEAR(A25),MONTH(A25),1),交易记录!$A$6:$A$605,"&lt;"&amp;DATE(YEAR(A25),MONTH(A25)+1,1),交易记录!$C$6:$C$605,"买入",交易记录!$P$6:$P$605,"&lt;&gt;分红再投",交易记录!$P$6:$P$605,"&lt;&gt;其他",交易记录!$B$6:$B$605,"QQQM")+SUMIFS(交易记录!$E$6:$E$605,交易记录!$A$6:$A$605,"&gt;="&amp;DATE(YEAR(A25),MONTH(A25),1),交易记录!$A$6:$A$605,"&lt;"&amp;DATE(YEAR(A25),MONTH(A25)+1,1),交易记录!$C$6:$C$605,"买入",交易记录!$P$6:$P$605,"&lt;&gt;分红再投",交易记录!$P$6:$P$605,"&lt;&gt;其他",交易记录!$B$6:$B$605,"VOO")+SUMIFS(交易记录!$E$6:$E$605,交易记录!$A$6:$A$605,"&gt;="&amp;DATE(YEAR(A25),MONTH(A25),1),交易记录!$A$6:$A$605,"&lt;"&amp;DATE(YEAR(A25),MONTH(A25)+1,1),交易记录!$C$6:$C$605,"买入",交易记录!$P$6:$P$605,"&lt;&gt;分红再投",交易记录!$P$6:$P$605,"&lt;&gt;其他",交易记录!$B$6:$B$605,"QQQM")</f>
        <v>0</v>
      </c>
      <c r="N25" s="21">
        <f t="shared" si="4"/>
        <v>0</v>
      </c>
      <c r="O25" s="22"/>
      <c r="P25" s="21">
        <f t="shared" si="5"/>
        <v>0</v>
      </c>
      <c r="Q25" s="21">
        <f t="shared" si="6"/>
        <v>5000</v>
      </c>
      <c r="R25" s="20" t="str">
        <f t="shared" si="7"/>
        <v>待补指数收盘／历史基准；先列基础额</v>
      </c>
      <c r="S25" s="28"/>
    </row>
    <row r="26" spans="1:19" ht="28.5" customHeight="1">
      <c r="A26" s="25">
        <f>月度计划!A23</f>
        <v>46822</v>
      </c>
      <c r="B26" s="26"/>
      <c r="C26" s="22"/>
      <c r="D26" s="22"/>
      <c r="E26" s="21">
        <f t="shared" si="8"/>
        <v>7794.35</v>
      </c>
      <c r="F26" s="27" t="str">
        <f t="shared" si="0"/>
        <v/>
      </c>
      <c r="G26" s="21" t="str">
        <f t="shared" si="1"/>
        <v/>
      </c>
      <c r="H26" s="21">
        <f>MAX(0,$E$4-SUM($P$9:P25))</f>
        <v>5000</v>
      </c>
      <c r="I26" s="21">
        <f t="shared" si="2"/>
        <v>0</v>
      </c>
      <c r="J26" s="21">
        <f t="shared" si="3"/>
        <v>500</v>
      </c>
      <c r="K26" s="21">
        <f>J26*总览!$B$8</f>
        <v>450</v>
      </c>
      <c r="L26" s="21">
        <f>J26*总览!$B$9</f>
        <v>50</v>
      </c>
      <c r="M26" s="21">
        <f>SUMIFS(交易记录!$D$6:$D$605,交易记录!$A$6:$A$605,"&gt;="&amp;DATE(YEAR(A26),MONTH(A26),1),交易记录!$A$6:$A$605,"&lt;"&amp;DATE(YEAR(A26),MONTH(A26)+1,1),交易记录!$C$6:$C$605,"买入",交易记录!$P$6:$P$605,"&lt;&gt;分红再投",交易记录!$P$6:$P$605,"&lt;&gt;其他",交易记录!$B$6:$B$605,"VOO")+SUMIFS(交易记录!$D$6:$D$605,交易记录!$A$6:$A$605,"&gt;="&amp;DATE(YEAR(A26),MONTH(A26),1),交易记录!$A$6:$A$605,"&lt;"&amp;DATE(YEAR(A26),MONTH(A26)+1,1),交易记录!$C$6:$C$605,"买入",交易记录!$P$6:$P$605,"&lt;&gt;分红再投",交易记录!$P$6:$P$605,"&lt;&gt;其他",交易记录!$B$6:$B$605,"QQQM")+SUMIFS(交易记录!$E$6:$E$605,交易记录!$A$6:$A$605,"&gt;="&amp;DATE(YEAR(A26),MONTH(A26),1),交易记录!$A$6:$A$605,"&lt;"&amp;DATE(YEAR(A26),MONTH(A26)+1,1),交易记录!$C$6:$C$605,"买入",交易记录!$P$6:$P$605,"&lt;&gt;分红再投",交易记录!$P$6:$P$605,"&lt;&gt;其他",交易记录!$B$6:$B$605,"VOO")+SUMIFS(交易记录!$E$6:$E$605,交易记录!$A$6:$A$605,"&gt;="&amp;DATE(YEAR(A26),MONTH(A26),1),交易记录!$A$6:$A$605,"&lt;"&amp;DATE(YEAR(A26),MONTH(A26)+1,1),交易记录!$C$6:$C$605,"买入",交易记录!$P$6:$P$605,"&lt;&gt;分红再投",交易记录!$P$6:$P$605,"&lt;&gt;其他",交易记录!$B$6:$B$605,"QQQM")</f>
        <v>0</v>
      </c>
      <c r="N26" s="21">
        <f t="shared" si="4"/>
        <v>0</v>
      </c>
      <c r="O26" s="22"/>
      <c r="P26" s="21">
        <f t="shared" si="5"/>
        <v>0</v>
      </c>
      <c r="Q26" s="21">
        <f t="shared" si="6"/>
        <v>5000</v>
      </c>
      <c r="R26" s="20" t="str">
        <f t="shared" si="7"/>
        <v>待补指数收盘／历史基准；先列基础额</v>
      </c>
      <c r="S26" s="28"/>
    </row>
    <row r="27" spans="1:19" ht="28.5" customHeight="1">
      <c r="A27" s="25">
        <f>月度计划!A24</f>
        <v>46853</v>
      </c>
      <c r="B27" s="26"/>
      <c r="C27" s="22"/>
      <c r="D27" s="22"/>
      <c r="E27" s="21">
        <f t="shared" si="8"/>
        <v>7794.35</v>
      </c>
      <c r="F27" s="27" t="str">
        <f t="shared" si="0"/>
        <v/>
      </c>
      <c r="G27" s="21" t="str">
        <f t="shared" si="1"/>
        <v/>
      </c>
      <c r="H27" s="21">
        <f>MAX(0,$E$4-SUM($P$9:P26))</f>
        <v>5000</v>
      </c>
      <c r="I27" s="21">
        <f t="shared" si="2"/>
        <v>0</v>
      </c>
      <c r="J27" s="21">
        <f t="shared" si="3"/>
        <v>500</v>
      </c>
      <c r="K27" s="21">
        <f>J27*总览!$B$8</f>
        <v>450</v>
      </c>
      <c r="L27" s="21">
        <f>J27*总览!$B$9</f>
        <v>50</v>
      </c>
      <c r="M27" s="21">
        <f>SUMIFS(交易记录!$D$6:$D$605,交易记录!$A$6:$A$605,"&gt;="&amp;DATE(YEAR(A27),MONTH(A27),1),交易记录!$A$6:$A$605,"&lt;"&amp;DATE(YEAR(A27),MONTH(A27)+1,1),交易记录!$C$6:$C$605,"买入",交易记录!$P$6:$P$605,"&lt;&gt;分红再投",交易记录!$P$6:$P$605,"&lt;&gt;其他",交易记录!$B$6:$B$605,"VOO")+SUMIFS(交易记录!$D$6:$D$605,交易记录!$A$6:$A$605,"&gt;="&amp;DATE(YEAR(A27),MONTH(A27),1),交易记录!$A$6:$A$605,"&lt;"&amp;DATE(YEAR(A27),MONTH(A27)+1,1),交易记录!$C$6:$C$605,"买入",交易记录!$P$6:$P$605,"&lt;&gt;分红再投",交易记录!$P$6:$P$605,"&lt;&gt;其他",交易记录!$B$6:$B$605,"QQQM")+SUMIFS(交易记录!$E$6:$E$605,交易记录!$A$6:$A$605,"&gt;="&amp;DATE(YEAR(A27),MONTH(A27),1),交易记录!$A$6:$A$605,"&lt;"&amp;DATE(YEAR(A27),MONTH(A27)+1,1),交易记录!$C$6:$C$605,"买入",交易记录!$P$6:$P$605,"&lt;&gt;分红再投",交易记录!$P$6:$P$605,"&lt;&gt;其他",交易记录!$B$6:$B$605,"VOO")+SUMIFS(交易记录!$E$6:$E$605,交易记录!$A$6:$A$605,"&gt;="&amp;DATE(YEAR(A27),MONTH(A27),1),交易记录!$A$6:$A$605,"&lt;"&amp;DATE(YEAR(A27),MONTH(A27)+1,1),交易记录!$C$6:$C$605,"买入",交易记录!$P$6:$P$605,"&lt;&gt;分红再投",交易记录!$P$6:$P$605,"&lt;&gt;其他",交易记录!$B$6:$B$605,"QQQM")</f>
        <v>0</v>
      </c>
      <c r="N27" s="21">
        <f t="shared" si="4"/>
        <v>0</v>
      </c>
      <c r="O27" s="22"/>
      <c r="P27" s="21">
        <f t="shared" si="5"/>
        <v>0</v>
      </c>
      <c r="Q27" s="21">
        <f t="shared" si="6"/>
        <v>5000</v>
      </c>
      <c r="R27" s="20" t="str">
        <f t="shared" si="7"/>
        <v>待补指数收盘／历史基准；先列基础额</v>
      </c>
      <c r="S27" s="28"/>
    </row>
    <row r="28" spans="1:19" ht="28.5" customHeight="1">
      <c r="A28" s="25">
        <f>月度计划!A25</f>
        <v>46883</v>
      </c>
      <c r="B28" s="26"/>
      <c r="C28" s="22"/>
      <c r="D28" s="22"/>
      <c r="E28" s="21">
        <f t="shared" si="8"/>
        <v>7794.35</v>
      </c>
      <c r="F28" s="27" t="str">
        <f t="shared" si="0"/>
        <v/>
      </c>
      <c r="G28" s="21" t="str">
        <f t="shared" si="1"/>
        <v/>
      </c>
      <c r="H28" s="21">
        <f>MAX(0,$E$4-SUM($P$9:P27))</f>
        <v>5000</v>
      </c>
      <c r="I28" s="21">
        <f t="shared" si="2"/>
        <v>0</v>
      </c>
      <c r="J28" s="21">
        <f t="shared" si="3"/>
        <v>500</v>
      </c>
      <c r="K28" s="21">
        <f>J28*总览!$B$8</f>
        <v>450</v>
      </c>
      <c r="L28" s="21">
        <f>J28*总览!$B$9</f>
        <v>50</v>
      </c>
      <c r="M28" s="21">
        <f>SUMIFS(交易记录!$D$6:$D$605,交易记录!$A$6:$A$605,"&gt;="&amp;DATE(YEAR(A28),MONTH(A28),1),交易记录!$A$6:$A$605,"&lt;"&amp;DATE(YEAR(A28),MONTH(A28)+1,1),交易记录!$C$6:$C$605,"买入",交易记录!$P$6:$P$605,"&lt;&gt;分红再投",交易记录!$P$6:$P$605,"&lt;&gt;其他",交易记录!$B$6:$B$605,"VOO")+SUMIFS(交易记录!$D$6:$D$605,交易记录!$A$6:$A$605,"&gt;="&amp;DATE(YEAR(A28),MONTH(A28),1),交易记录!$A$6:$A$605,"&lt;"&amp;DATE(YEAR(A28),MONTH(A28)+1,1),交易记录!$C$6:$C$605,"买入",交易记录!$P$6:$P$605,"&lt;&gt;分红再投",交易记录!$P$6:$P$605,"&lt;&gt;其他",交易记录!$B$6:$B$605,"QQQM")+SUMIFS(交易记录!$E$6:$E$605,交易记录!$A$6:$A$605,"&gt;="&amp;DATE(YEAR(A28),MONTH(A28),1),交易记录!$A$6:$A$605,"&lt;"&amp;DATE(YEAR(A28),MONTH(A28)+1,1),交易记录!$C$6:$C$605,"买入",交易记录!$P$6:$P$605,"&lt;&gt;分红再投",交易记录!$P$6:$P$605,"&lt;&gt;其他",交易记录!$B$6:$B$605,"VOO")+SUMIFS(交易记录!$E$6:$E$605,交易记录!$A$6:$A$605,"&gt;="&amp;DATE(YEAR(A28),MONTH(A28),1),交易记录!$A$6:$A$605,"&lt;"&amp;DATE(YEAR(A28),MONTH(A28)+1,1),交易记录!$C$6:$C$605,"买入",交易记录!$P$6:$P$605,"&lt;&gt;分红再投",交易记录!$P$6:$P$605,"&lt;&gt;其他",交易记录!$B$6:$B$605,"QQQM")</f>
        <v>0</v>
      </c>
      <c r="N28" s="21">
        <f t="shared" si="4"/>
        <v>0</v>
      </c>
      <c r="O28" s="22"/>
      <c r="P28" s="21">
        <f t="shared" si="5"/>
        <v>0</v>
      </c>
      <c r="Q28" s="21">
        <f t="shared" si="6"/>
        <v>5000</v>
      </c>
      <c r="R28" s="20" t="str">
        <f t="shared" si="7"/>
        <v>待补指数收盘／历史基准；先列基础额</v>
      </c>
      <c r="S28" s="28"/>
    </row>
    <row r="29" spans="1:19" ht="28.5" customHeight="1">
      <c r="A29" s="25">
        <f>月度计划!A26</f>
        <v>46914</v>
      </c>
      <c r="B29" s="26"/>
      <c r="C29" s="22"/>
      <c r="D29" s="22"/>
      <c r="E29" s="21">
        <f t="shared" si="8"/>
        <v>7794.35</v>
      </c>
      <c r="F29" s="27" t="str">
        <f t="shared" si="0"/>
        <v/>
      </c>
      <c r="G29" s="21" t="str">
        <f t="shared" si="1"/>
        <v/>
      </c>
      <c r="H29" s="21">
        <f>MAX(0,$E$4-SUM($P$9:P28))</f>
        <v>5000</v>
      </c>
      <c r="I29" s="21">
        <f t="shared" si="2"/>
        <v>0</v>
      </c>
      <c r="J29" s="21">
        <f t="shared" si="3"/>
        <v>500</v>
      </c>
      <c r="K29" s="21">
        <f>J29*总览!$B$8</f>
        <v>450</v>
      </c>
      <c r="L29" s="21">
        <f>J29*总览!$B$9</f>
        <v>50</v>
      </c>
      <c r="M29" s="21">
        <f>SUMIFS(交易记录!$D$6:$D$605,交易记录!$A$6:$A$605,"&gt;="&amp;DATE(YEAR(A29),MONTH(A29),1),交易记录!$A$6:$A$605,"&lt;"&amp;DATE(YEAR(A29),MONTH(A29)+1,1),交易记录!$C$6:$C$605,"买入",交易记录!$P$6:$P$605,"&lt;&gt;分红再投",交易记录!$P$6:$P$605,"&lt;&gt;其他",交易记录!$B$6:$B$605,"VOO")+SUMIFS(交易记录!$D$6:$D$605,交易记录!$A$6:$A$605,"&gt;="&amp;DATE(YEAR(A29),MONTH(A29),1),交易记录!$A$6:$A$605,"&lt;"&amp;DATE(YEAR(A29),MONTH(A29)+1,1),交易记录!$C$6:$C$605,"买入",交易记录!$P$6:$P$605,"&lt;&gt;分红再投",交易记录!$P$6:$P$605,"&lt;&gt;其他",交易记录!$B$6:$B$605,"QQQM")+SUMIFS(交易记录!$E$6:$E$605,交易记录!$A$6:$A$605,"&gt;="&amp;DATE(YEAR(A29),MONTH(A29),1),交易记录!$A$6:$A$605,"&lt;"&amp;DATE(YEAR(A29),MONTH(A29)+1,1),交易记录!$C$6:$C$605,"买入",交易记录!$P$6:$P$605,"&lt;&gt;分红再投",交易记录!$P$6:$P$605,"&lt;&gt;其他",交易记录!$B$6:$B$605,"VOO")+SUMIFS(交易记录!$E$6:$E$605,交易记录!$A$6:$A$605,"&gt;="&amp;DATE(YEAR(A29),MONTH(A29),1),交易记录!$A$6:$A$605,"&lt;"&amp;DATE(YEAR(A29),MONTH(A29)+1,1),交易记录!$C$6:$C$605,"买入",交易记录!$P$6:$P$605,"&lt;&gt;分红再投",交易记录!$P$6:$P$605,"&lt;&gt;其他",交易记录!$B$6:$B$605,"QQQM")</f>
        <v>0</v>
      </c>
      <c r="N29" s="21">
        <f t="shared" si="4"/>
        <v>0</v>
      </c>
      <c r="O29" s="22"/>
      <c r="P29" s="21">
        <f t="shared" si="5"/>
        <v>0</v>
      </c>
      <c r="Q29" s="21">
        <f t="shared" si="6"/>
        <v>5000</v>
      </c>
      <c r="R29" s="20" t="str">
        <f t="shared" si="7"/>
        <v>待补指数收盘／历史基准；先列基础额</v>
      </c>
      <c r="S29" s="28"/>
    </row>
    <row r="30" spans="1:19" ht="28.5" customHeight="1">
      <c r="A30" s="25">
        <f>月度计划!A27</f>
        <v>46944</v>
      </c>
      <c r="B30" s="26"/>
      <c r="C30" s="22"/>
      <c r="D30" s="22"/>
      <c r="E30" s="21">
        <f t="shared" si="8"/>
        <v>7794.35</v>
      </c>
      <c r="F30" s="27" t="str">
        <f t="shared" si="0"/>
        <v/>
      </c>
      <c r="G30" s="21" t="str">
        <f t="shared" si="1"/>
        <v/>
      </c>
      <c r="H30" s="21">
        <f>MAX(0,$E$4-SUM($P$9:P29))</f>
        <v>5000</v>
      </c>
      <c r="I30" s="21">
        <f t="shared" si="2"/>
        <v>0</v>
      </c>
      <c r="J30" s="21">
        <f t="shared" si="3"/>
        <v>500</v>
      </c>
      <c r="K30" s="21">
        <f>J30*总览!$B$8</f>
        <v>450</v>
      </c>
      <c r="L30" s="21">
        <f>J30*总览!$B$9</f>
        <v>50</v>
      </c>
      <c r="M30" s="21">
        <f>SUMIFS(交易记录!$D$6:$D$605,交易记录!$A$6:$A$605,"&gt;="&amp;DATE(YEAR(A30),MONTH(A30),1),交易记录!$A$6:$A$605,"&lt;"&amp;DATE(YEAR(A30),MONTH(A30)+1,1),交易记录!$C$6:$C$605,"买入",交易记录!$P$6:$P$605,"&lt;&gt;分红再投",交易记录!$P$6:$P$605,"&lt;&gt;其他",交易记录!$B$6:$B$605,"VOO")+SUMIFS(交易记录!$D$6:$D$605,交易记录!$A$6:$A$605,"&gt;="&amp;DATE(YEAR(A30),MONTH(A30),1),交易记录!$A$6:$A$605,"&lt;"&amp;DATE(YEAR(A30),MONTH(A30)+1,1),交易记录!$C$6:$C$605,"买入",交易记录!$P$6:$P$605,"&lt;&gt;分红再投",交易记录!$P$6:$P$605,"&lt;&gt;其他",交易记录!$B$6:$B$605,"QQQM")+SUMIFS(交易记录!$E$6:$E$605,交易记录!$A$6:$A$605,"&gt;="&amp;DATE(YEAR(A30),MONTH(A30),1),交易记录!$A$6:$A$605,"&lt;"&amp;DATE(YEAR(A30),MONTH(A30)+1,1),交易记录!$C$6:$C$605,"买入",交易记录!$P$6:$P$605,"&lt;&gt;分红再投",交易记录!$P$6:$P$605,"&lt;&gt;其他",交易记录!$B$6:$B$605,"VOO")+SUMIFS(交易记录!$E$6:$E$605,交易记录!$A$6:$A$605,"&gt;="&amp;DATE(YEAR(A30),MONTH(A30),1),交易记录!$A$6:$A$605,"&lt;"&amp;DATE(YEAR(A30),MONTH(A30)+1,1),交易记录!$C$6:$C$605,"买入",交易记录!$P$6:$P$605,"&lt;&gt;分红再投",交易记录!$P$6:$P$605,"&lt;&gt;其他",交易记录!$B$6:$B$605,"QQQM")</f>
        <v>0</v>
      </c>
      <c r="N30" s="21">
        <f t="shared" si="4"/>
        <v>0</v>
      </c>
      <c r="O30" s="22"/>
      <c r="P30" s="21">
        <f t="shared" si="5"/>
        <v>0</v>
      </c>
      <c r="Q30" s="21">
        <f t="shared" si="6"/>
        <v>5000</v>
      </c>
      <c r="R30" s="20" t="str">
        <f t="shared" si="7"/>
        <v>待补指数收盘／历史基准；先列基础额</v>
      </c>
      <c r="S30" s="28"/>
    </row>
    <row r="31" spans="1:19" ht="28.5" customHeight="1">
      <c r="A31" s="25">
        <f>月度计划!A28</f>
        <v>46975</v>
      </c>
      <c r="B31" s="26"/>
      <c r="C31" s="22"/>
      <c r="D31" s="22"/>
      <c r="E31" s="21">
        <f t="shared" si="8"/>
        <v>7794.35</v>
      </c>
      <c r="F31" s="27" t="str">
        <f t="shared" si="0"/>
        <v/>
      </c>
      <c r="G31" s="21" t="str">
        <f t="shared" si="1"/>
        <v/>
      </c>
      <c r="H31" s="21">
        <f>MAX(0,$E$4-SUM($P$9:P30))</f>
        <v>5000</v>
      </c>
      <c r="I31" s="21">
        <f t="shared" si="2"/>
        <v>0</v>
      </c>
      <c r="J31" s="21">
        <f t="shared" si="3"/>
        <v>500</v>
      </c>
      <c r="K31" s="21">
        <f>J31*总览!$B$8</f>
        <v>450</v>
      </c>
      <c r="L31" s="21">
        <f>J31*总览!$B$9</f>
        <v>50</v>
      </c>
      <c r="M31" s="21">
        <f>SUMIFS(交易记录!$D$6:$D$605,交易记录!$A$6:$A$605,"&gt;="&amp;DATE(YEAR(A31),MONTH(A31),1),交易记录!$A$6:$A$605,"&lt;"&amp;DATE(YEAR(A31),MONTH(A31)+1,1),交易记录!$C$6:$C$605,"买入",交易记录!$P$6:$P$605,"&lt;&gt;分红再投",交易记录!$P$6:$P$605,"&lt;&gt;其他",交易记录!$B$6:$B$605,"VOO")+SUMIFS(交易记录!$D$6:$D$605,交易记录!$A$6:$A$605,"&gt;="&amp;DATE(YEAR(A31),MONTH(A31),1),交易记录!$A$6:$A$605,"&lt;"&amp;DATE(YEAR(A31),MONTH(A31)+1,1),交易记录!$C$6:$C$605,"买入",交易记录!$P$6:$P$605,"&lt;&gt;分红再投",交易记录!$P$6:$P$605,"&lt;&gt;其他",交易记录!$B$6:$B$605,"QQQM")+SUMIFS(交易记录!$E$6:$E$605,交易记录!$A$6:$A$605,"&gt;="&amp;DATE(YEAR(A31),MONTH(A31),1),交易记录!$A$6:$A$605,"&lt;"&amp;DATE(YEAR(A31),MONTH(A31)+1,1),交易记录!$C$6:$C$605,"买入",交易记录!$P$6:$P$605,"&lt;&gt;分红再投",交易记录!$P$6:$P$605,"&lt;&gt;其他",交易记录!$B$6:$B$605,"VOO")+SUMIFS(交易记录!$E$6:$E$605,交易记录!$A$6:$A$605,"&gt;="&amp;DATE(YEAR(A31),MONTH(A31),1),交易记录!$A$6:$A$605,"&lt;"&amp;DATE(YEAR(A31),MONTH(A31)+1,1),交易记录!$C$6:$C$605,"买入",交易记录!$P$6:$P$605,"&lt;&gt;分红再投",交易记录!$P$6:$P$605,"&lt;&gt;其他",交易记录!$B$6:$B$605,"QQQM")</f>
        <v>0</v>
      </c>
      <c r="N31" s="21">
        <f t="shared" si="4"/>
        <v>0</v>
      </c>
      <c r="O31" s="22"/>
      <c r="P31" s="21">
        <f t="shared" si="5"/>
        <v>0</v>
      </c>
      <c r="Q31" s="21">
        <f t="shared" si="6"/>
        <v>5000</v>
      </c>
      <c r="R31" s="20" t="str">
        <f t="shared" si="7"/>
        <v>待补指数收盘／历史基准；先列基础额</v>
      </c>
      <c r="S31" s="28"/>
    </row>
    <row r="32" spans="1:19" ht="28.5" customHeight="1">
      <c r="A32" s="25">
        <f>月度计划!A29</f>
        <v>47006</v>
      </c>
      <c r="B32" s="26"/>
      <c r="C32" s="22"/>
      <c r="D32" s="22"/>
      <c r="E32" s="21">
        <f t="shared" si="8"/>
        <v>7794.35</v>
      </c>
      <c r="F32" s="27" t="str">
        <f t="shared" si="0"/>
        <v/>
      </c>
      <c r="G32" s="21" t="str">
        <f t="shared" si="1"/>
        <v/>
      </c>
      <c r="H32" s="21">
        <f>MAX(0,$E$4-SUM($P$9:P31))</f>
        <v>5000</v>
      </c>
      <c r="I32" s="21">
        <f t="shared" si="2"/>
        <v>0</v>
      </c>
      <c r="J32" s="21">
        <f t="shared" si="3"/>
        <v>500</v>
      </c>
      <c r="K32" s="21">
        <f>J32*总览!$B$8</f>
        <v>450</v>
      </c>
      <c r="L32" s="21">
        <f>J32*总览!$B$9</f>
        <v>50</v>
      </c>
      <c r="M32" s="21">
        <f>SUMIFS(交易记录!$D$6:$D$605,交易记录!$A$6:$A$605,"&gt;="&amp;DATE(YEAR(A32),MONTH(A32),1),交易记录!$A$6:$A$605,"&lt;"&amp;DATE(YEAR(A32),MONTH(A32)+1,1),交易记录!$C$6:$C$605,"买入",交易记录!$P$6:$P$605,"&lt;&gt;分红再投",交易记录!$P$6:$P$605,"&lt;&gt;其他",交易记录!$B$6:$B$605,"VOO")+SUMIFS(交易记录!$D$6:$D$605,交易记录!$A$6:$A$605,"&gt;="&amp;DATE(YEAR(A32),MONTH(A32),1),交易记录!$A$6:$A$605,"&lt;"&amp;DATE(YEAR(A32),MONTH(A32)+1,1),交易记录!$C$6:$C$605,"买入",交易记录!$P$6:$P$605,"&lt;&gt;分红再投",交易记录!$P$6:$P$605,"&lt;&gt;其他",交易记录!$B$6:$B$605,"QQQM")+SUMIFS(交易记录!$E$6:$E$605,交易记录!$A$6:$A$605,"&gt;="&amp;DATE(YEAR(A32),MONTH(A32),1),交易记录!$A$6:$A$605,"&lt;"&amp;DATE(YEAR(A32),MONTH(A32)+1,1),交易记录!$C$6:$C$605,"买入",交易记录!$P$6:$P$605,"&lt;&gt;分红再投",交易记录!$P$6:$P$605,"&lt;&gt;其他",交易记录!$B$6:$B$605,"VOO")+SUMIFS(交易记录!$E$6:$E$605,交易记录!$A$6:$A$605,"&gt;="&amp;DATE(YEAR(A32),MONTH(A32),1),交易记录!$A$6:$A$605,"&lt;"&amp;DATE(YEAR(A32),MONTH(A32)+1,1),交易记录!$C$6:$C$605,"买入",交易记录!$P$6:$P$605,"&lt;&gt;分红再投",交易记录!$P$6:$P$605,"&lt;&gt;其他",交易记录!$B$6:$B$605,"QQQM")</f>
        <v>0</v>
      </c>
      <c r="N32" s="21">
        <f t="shared" si="4"/>
        <v>0</v>
      </c>
      <c r="O32" s="22"/>
      <c r="P32" s="21">
        <f t="shared" si="5"/>
        <v>0</v>
      </c>
      <c r="Q32" s="21">
        <f t="shared" si="6"/>
        <v>5000</v>
      </c>
      <c r="R32" s="20" t="str">
        <f t="shared" si="7"/>
        <v>待补指数收盘／历史基准；先列基础额</v>
      </c>
      <c r="S32" s="28"/>
    </row>
    <row r="33" spans="1:19" ht="28.5" customHeight="1">
      <c r="A33" s="25">
        <f>月度计划!A30</f>
        <v>47036</v>
      </c>
      <c r="B33" s="26"/>
      <c r="C33" s="22"/>
      <c r="D33" s="22"/>
      <c r="E33" s="21">
        <f t="shared" si="8"/>
        <v>7794.35</v>
      </c>
      <c r="F33" s="27" t="str">
        <f t="shared" si="0"/>
        <v/>
      </c>
      <c r="G33" s="21" t="str">
        <f t="shared" si="1"/>
        <v/>
      </c>
      <c r="H33" s="21">
        <f>MAX(0,$E$4-SUM($P$9:P32))</f>
        <v>5000</v>
      </c>
      <c r="I33" s="21">
        <f t="shared" si="2"/>
        <v>0</v>
      </c>
      <c r="J33" s="21">
        <f t="shared" si="3"/>
        <v>500</v>
      </c>
      <c r="K33" s="21">
        <f>J33*总览!$B$8</f>
        <v>450</v>
      </c>
      <c r="L33" s="21">
        <f>J33*总览!$B$9</f>
        <v>50</v>
      </c>
      <c r="M33" s="21">
        <f>SUMIFS(交易记录!$D$6:$D$605,交易记录!$A$6:$A$605,"&gt;="&amp;DATE(YEAR(A33),MONTH(A33),1),交易记录!$A$6:$A$605,"&lt;"&amp;DATE(YEAR(A33),MONTH(A33)+1,1),交易记录!$C$6:$C$605,"买入",交易记录!$P$6:$P$605,"&lt;&gt;分红再投",交易记录!$P$6:$P$605,"&lt;&gt;其他",交易记录!$B$6:$B$605,"VOO")+SUMIFS(交易记录!$D$6:$D$605,交易记录!$A$6:$A$605,"&gt;="&amp;DATE(YEAR(A33),MONTH(A33),1),交易记录!$A$6:$A$605,"&lt;"&amp;DATE(YEAR(A33),MONTH(A33)+1,1),交易记录!$C$6:$C$605,"买入",交易记录!$P$6:$P$605,"&lt;&gt;分红再投",交易记录!$P$6:$P$605,"&lt;&gt;其他",交易记录!$B$6:$B$605,"QQQM")+SUMIFS(交易记录!$E$6:$E$605,交易记录!$A$6:$A$605,"&gt;="&amp;DATE(YEAR(A33),MONTH(A33),1),交易记录!$A$6:$A$605,"&lt;"&amp;DATE(YEAR(A33),MONTH(A33)+1,1),交易记录!$C$6:$C$605,"买入",交易记录!$P$6:$P$605,"&lt;&gt;分红再投",交易记录!$P$6:$P$605,"&lt;&gt;其他",交易记录!$B$6:$B$605,"VOO")+SUMIFS(交易记录!$E$6:$E$605,交易记录!$A$6:$A$605,"&gt;="&amp;DATE(YEAR(A33),MONTH(A33),1),交易记录!$A$6:$A$605,"&lt;"&amp;DATE(YEAR(A33),MONTH(A33)+1,1),交易记录!$C$6:$C$605,"买入",交易记录!$P$6:$P$605,"&lt;&gt;分红再投",交易记录!$P$6:$P$605,"&lt;&gt;其他",交易记录!$B$6:$B$605,"QQQM")</f>
        <v>0</v>
      </c>
      <c r="N33" s="21">
        <f t="shared" si="4"/>
        <v>0</v>
      </c>
      <c r="O33" s="22"/>
      <c r="P33" s="21">
        <f t="shared" si="5"/>
        <v>0</v>
      </c>
      <c r="Q33" s="21">
        <f t="shared" si="6"/>
        <v>5000</v>
      </c>
      <c r="R33" s="20" t="str">
        <f t="shared" si="7"/>
        <v>待补指数收盘／历史基准；先列基础额</v>
      </c>
      <c r="S33" s="28"/>
    </row>
    <row r="34" spans="1:19" ht="28.5" customHeight="1">
      <c r="A34" s="25">
        <f>月度计划!A31</f>
        <v>47067</v>
      </c>
      <c r="B34" s="26"/>
      <c r="C34" s="22"/>
      <c r="D34" s="22"/>
      <c r="E34" s="21">
        <f t="shared" si="8"/>
        <v>7794.35</v>
      </c>
      <c r="F34" s="27" t="str">
        <f t="shared" si="0"/>
        <v/>
      </c>
      <c r="G34" s="21" t="str">
        <f t="shared" si="1"/>
        <v/>
      </c>
      <c r="H34" s="21">
        <f>MAX(0,$E$4-SUM($P$9:P33))</f>
        <v>5000</v>
      </c>
      <c r="I34" s="21">
        <f t="shared" si="2"/>
        <v>0</v>
      </c>
      <c r="J34" s="21">
        <f t="shared" si="3"/>
        <v>500</v>
      </c>
      <c r="K34" s="21">
        <f>J34*总览!$B$8</f>
        <v>450</v>
      </c>
      <c r="L34" s="21">
        <f>J34*总览!$B$9</f>
        <v>50</v>
      </c>
      <c r="M34" s="21">
        <f>SUMIFS(交易记录!$D$6:$D$605,交易记录!$A$6:$A$605,"&gt;="&amp;DATE(YEAR(A34),MONTH(A34),1),交易记录!$A$6:$A$605,"&lt;"&amp;DATE(YEAR(A34),MONTH(A34)+1,1),交易记录!$C$6:$C$605,"买入",交易记录!$P$6:$P$605,"&lt;&gt;分红再投",交易记录!$P$6:$P$605,"&lt;&gt;其他",交易记录!$B$6:$B$605,"VOO")+SUMIFS(交易记录!$D$6:$D$605,交易记录!$A$6:$A$605,"&gt;="&amp;DATE(YEAR(A34),MONTH(A34),1),交易记录!$A$6:$A$605,"&lt;"&amp;DATE(YEAR(A34),MONTH(A34)+1,1),交易记录!$C$6:$C$605,"买入",交易记录!$P$6:$P$605,"&lt;&gt;分红再投",交易记录!$P$6:$P$605,"&lt;&gt;其他",交易记录!$B$6:$B$605,"QQQM")+SUMIFS(交易记录!$E$6:$E$605,交易记录!$A$6:$A$605,"&gt;="&amp;DATE(YEAR(A34),MONTH(A34),1),交易记录!$A$6:$A$605,"&lt;"&amp;DATE(YEAR(A34),MONTH(A34)+1,1),交易记录!$C$6:$C$605,"买入",交易记录!$P$6:$P$605,"&lt;&gt;分红再投",交易记录!$P$6:$P$605,"&lt;&gt;其他",交易记录!$B$6:$B$605,"VOO")+SUMIFS(交易记录!$E$6:$E$605,交易记录!$A$6:$A$605,"&gt;="&amp;DATE(YEAR(A34),MONTH(A34),1),交易记录!$A$6:$A$605,"&lt;"&amp;DATE(YEAR(A34),MONTH(A34)+1,1),交易记录!$C$6:$C$605,"买入",交易记录!$P$6:$P$605,"&lt;&gt;分红再投",交易记录!$P$6:$P$605,"&lt;&gt;其他",交易记录!$B$6:$B$605,"QQQM")</f>
        <v>0</v>
      </c>
      <c r="N34" s="21">
        <f t="shared" si="4"/>
        <v>0</v>
      </c>
      <c r="O34" s="22"/>
      <c r="P34" s="21">
        <f t="shared" si="5"/>
        <v>0</v>
      </c>
      <c r="Q34" s="21">
        <f t="shared" si="6"/>
        <v>5000</v>
      </c>
      <c r="R34" s="20" t="str">
        <f t="shared" si="7"/>
        <v>待补指数收盘／历史基准；先列基础额</v>
      </c>
      <c r="S34" s="28"/>
    </row>
    <row r="35" spans="1:19" ht="28.5" customHeight="1">
      <c r="A35" s="25">
        <f>月度计划!A32</f>
        <v>47097</v>
      </c>
      <c r="B35" s="26"/>
      <c r="C35" s="22"/>
      <c r="D35" s="22"/>
      <c r="E35" s="21">
        <f t="shared" si="8"/>
        <v>7794.35</v>
      </c>
      <c r="F35" s="27" t="str">
        <f t="shared" si="0"/>
        <v/>
      </c>
      <c r="G35" s="21" t="str">
        <f t="shared" si="1"/>
        <v/>
      </c>
      <c r="H35" s="21">
        <f>MAX(0,$E$4-SUM($P$9:P34))</f>
        <v>5000</v>
      </c>
      <c r="I35" s="21">
        <f t="shared" si="2"/>
        <v>0</v>
      </c>
      <c r="J35" s="21">
        <f t="shared" si="3"/>
        <v>500</v>
      </c>
      <c r="K35" s="21">
        <f>J35*总览!$B$8</f>
        <v>450</v>
      </c>
      <c r="L35" s="21">
        <f>J35*总览!$B$9</f>
        <v>50</v>
      </c>
      <c r="M35" s="21">
        <f>SUMIFS(交易记录!$D$6:$D$605,交易记录!$A$6:$A$605,"&gt;="&amp;DATE(YEAR(A35),MONTH(A35),1),交易记录!$A$6:$A$605,"&lt;"&amp;DATE(YEAR(A35),MONTH(A35)+1,1),交易记录!$C$6:$C$605,"买入",交易记录!$P$6:$P$605,"&lt;&gt;分红再投",交易记录!$P$6:$P$605,"&lt;&gt;其他",交易记录!$B$6:$B$605,"VOO")+SUMIFS(交易记录!$D$6:$D$605,交易记录!$A$6:$A$605,"&gt;="&amp;DATE(YEAR(A35),MONTH(A35),1),交易记录!$A$6:$A$605,"&lt;"&amp;DATE(YEAR(A35),MONTH(A35)+1,1),交易记录!$C$6:$C$605,"买入",交易记录!$P$6:$P$605,"&lt;&gt;分红再投",交易记录!$P$6:$P$605,"&lt;&gt;其他",交易记录!$B$6:$B$605,"QQQM")+SUMIFS(交易记录!$E$6:$E$605,交易记录!$A$6:$A$605,"&gt;="&amp;DATE(YEAR(A35),MONTH(A35),1),交易记录!$A$6:$A$605,"&lt;"&amp;DATE(YEAR(A35),MONTH(A35)+1,1),交易记录!$C$6:$C$605,"买入",交易记录!$P$6:$P$605,"&lt;&gt;分红再投",交易记录!$P$6:$P$605,"&lt;&gt;其他",交易记录!$B$6:$B$605,"VOO")+SUMIFS(交易记录!$E$6:$E$605,交易记录!$A$6:$A$605,"&gt;="&amp;DATE(YEAR(A35),MONTH(A35),1),交易记录!$A$6:$A$605,"&lt;"&amp;DATE(YEAR(A35),MONTH(A35)+1,1),交易记录!$C$6:$C$605,"买入",交易记录!$P$6:$P$605,"&lt;&gt;分红再投",交易记录!$P$6:$P$605,"&lt;&gt;其他",交易记录!$B$6:$B$605,"QQQM")</f>
        <v>0</v>
      </c>
      <c r="N35" s="21">
        <f t="shared" si="4"/>
        <v>0</v>
      </c>
      <c r="O35" s="22"/>
      <c r="P35" s="21">
        <f t="shared" si="5"/>
        <v>0</v>
      </c>
      <c r="Q35" s="21">
        <f t="shared" si="6"/>
        <v>5000</v>
      </c>
      <c r="R35" s="20" t="str">
        <f t="shared" si="7"/>
        <v>待补指数收盘／历史基准；先列基础额</v>
      </c>
      <c r="S35" s="28"/>
    </row>
    <row r="36" spans="1:19" ht="28.5" customHeight="1">
      <c r="A36" s="25">
        <f>月度计划!A33</f>
        <v>47128</v>
      </c>
      <c r="B36" s="26"/>
      <c r="C36" s="22"/>
      <c r="D36" s="22"/>
      <c r="E36" s="21">
        <f t="shared" si="8"/>
        <v>7794.35</v>
      </c>
      <c r="F36" s="27" t="str">
        <f t="shared" si="0"/>
        <v/>
      </c>
      <c r="G36" s="21" t="str">
        <f t="shared" si="1"/>
        <v/>
      </c>
      <c r="H36" s="21">
        <f>MAX(0,$E$4-SUM($P$9:P35))</f>
        <v>5000</v>
      </c>
      <c r="I36" s="21">
        <f t="shared" si="2"/>
        <v>0</v>
      </c>
      <c r="J36" s="21">
        <f t="shared" si="3"/>
        <v>500</v>
      </c>
      <c r="K36" s="21">
        <f>J36*总览!$B$8</f>
        <v>450</v>
      </c>
      <c r="L36" s="21">
        <f>J36*总览!$B$9</f>
        <v>50</v>
      </c>
      <c r="M36" s="21">
        <f>SUMIFS(交易记录!$D$6:$D$605,交易记录!$A$6:$A$605,"&gt;="&amp;DATE(YEAR(A36),MONTH(A36),1),交易记录!$A$6:$A$605,"&lt;"&amp;DATE(YEAR(A36),MONTH(A36)+1,1),交易记录!$C$6:$C$605,"买入",交易记录!$P$6:$P$605,"&lt;&gt;分红再投",交易记录!$P$6:$P$605,"&lt;&gt;其他",交易记录!$B$6:$B$605,"VOO")+SUMIFS(交易记录!$D$6:$D$605,交易记录!$A$6:$A$605,"&gt;="&amp;DATE(YEAR(A36),MONTH(A36),1),交易记录!$A$6:$A$605,"&lt;"&amp;DATE(YEAR(A36),MONTH(A36)+1,1),交易记录!$C$6:$C$605,"买入",交易记录!$P$6:$P$605,"&lt;&gt;分红再投",交易记录!$P$6:$P$605,"&lt;&gt;其他",交易记录!$B$6:$B$605,"QQQM")+SUMIFS(交易记录!$E$6:$E$605,交易记录!$A$6:$A$605,"&gt;="&amp;DATE(YEAR(A36),MONTH(A36),1),交易记录!$A$6:$A$605,"&lt;"&amp;DATE(YEAR(A36),MONTH(A36)+1,1),交易记录!$C$6:$C$605,"买入",交易记录!$P$6:$P$605,"&lt;&gt;分红再投",交易记录!$P$6:$P$605,"&lt;&gt;其他",交易记录!$B$6:$B$605,"VOO")+SUMIFS(交易记录!$E$6:$E$605,交易记录!$A$6:$A$605,"&gt;="&amp;DATE(YEAR(A36),MONTH(A36),1),交易记录!$A$6:$A$605,"&lt;"&amp;DATE(YEAR(A36),MONTH(A36)+1,1),交易记录!$C$6:$C$605,"买入",交易记录!$P$6:$P$605,"&lt;&gt;分红再投",交易记录!$P$6:$P$605,"&lt;&gt;其他",交易记录!$B$6:$B$605,"QQQM")</f>
        <v>0</v>
      </c>
      <c r="N36" s="21">
        <f t="shared" si="4"/>
        <v>0</v>
      </c>
      <c r="O36" s="22"/>
      <c r="P36" s="21">
        <f t="shared" si="5"/>
        <v>0</v>
      </c>
      <c r="Q36" s="21">
        <f t="shared" si="6"/>
        <v>5000</v>
      </c>
      <c r="R36" s="20" t="str">
        <f t="shared" si="7"/>
        <v>待补指数收盘／历史基准；先列基础额</v>
      </c>
      <c r="S36" s="28"/>
    </row>
    <row r="37" spans="1:19" ht="28.5" customHeight="1">
      <c r="A37" s="25">
        <f>月度计划!A34</f>
        <v>47159</v>
      </c>
      <c r="B37" s="26"/>
      <c r="C37" s="22"/>
      <c r="D37" s="22"/>
      <c r="E37" s="21">
        <f t="shared" si="8"/>
        <v>7794.35</v>
      </c>
      <c r="F37" s="27" t="str">
        <f t="shared" si="0"/>
        <v/>
      </c>
      <c r="G37" s="21" t="str">
        <f t="shared" si="1"/>
        <v/>
      </c>
      <c r="H37" s="21">
        <f>MAX(0,$E$4-SUM($P$9:P36))</f>
        <v>5000</v>
      </c>
      <c r="I37" s="21">
        <f t="shared" si="2"/>
        <v>0</v>
      </c>
      <c r="J37" s="21">
        <f t="shared" si="3"/>
        <v>500</v>
      </c>
      <c r="K37" s="21">
        <f>J37*总览!$B$8</f>
        <v>450</v>
      </c>
      <c r="L37" s="21">
        <f>J37*总览!$B$9</f>
        <v>50</v>
      </c>
      <c r="M37" s="21">
        <f>SUMIFS(交易记录!$D$6:$D$605,交易记录!$A$6:$A$605,"&gt;="&amp;DATE(YEAR(A37),MONTH(A37),1),交易记录!$A$6:$A$605,"&lt;"&amp;DATE(YEAR(A37),MONTH(A37)+1,1),交易记录!$C$6:$C$605,"买入",交易记录!$P$6:$P$605,"&lt;&gt;分红再投",交易记录!$P$6:$P$605,"&lt;&gt;其他",交易记录!$B$6:$B$605,"VOO")+SUMIFS(交易记录!$D$6:$D$605,交易记录!$A$6:$A$605,"&gt;="&amp;DATE(YEAR(A37),MONTH(A37),1),交易记录!$A$6:$A$605,"&lt;"&amp;DATE(YEAR(A37),MONTH(A37)+1,1),交易记录!$C$6:$C$605,"买入",交易记录!$P$6:$P$605,"&lt;&gt;分红再投",交易记录!$P$6:$P$605,"&lt;&gt;其他",交易记录!$B$6:$B$605,"QQQM")+SUMIFS(交易记录!$E$6:$E$605,交易记录!$A$6:$A$605,"&gt;="&amp;DATE(YEAR(A37),MONTH(A37),1),交易记录!$A$6:$A$605,"&lt;"&amp;DATE(YEAR(A37),MONTH(A37)+1,1),交易记录!$C$6:$C$605,"买入",交易记录!$P$6:$P$605,"&lt;&gt;分红再投",交易记录!$P$6:$P$605,"&lt;&gt;其他",交易记录!$B$6:$B$605,"VOO")+SUMIFS(交易记录!$E$6:$E$605,交易记录!$A$6:$A$605,"&gt;="&amp;DATE(YEAR(A37),MONTH(A37),1),交易记录!$A$6:$A$605,"&lt;"&amp;DATE(YEAR(A37),MONTH(A37)+1,1),交易记录!$C$6:$C$605,"买入",交易记录!$P$6:$P$605,"&lt;&gt;分红再投",交易记录!$P$6:$P$605,"&lt;&gt;其他",交易记录!$B$6:$B$605,"QQQM")</f>
        <v>0</v>
      </c>
      <c r="N37" s="21">
        <f t="shared" si="4"/>
        <v>0</v>
      </c>
      <c r="O37" s="22"/>
      <c r="P37" s="21">
        <f t="shared" si="5"/>
        <v>0</v>
      </c>
      <c r="Q37" s="21">
        <f t="shared" si="6"/>
        <v>5000</v>
      </c>
      <c r="R37" s="20" t="str">
        <f t="shared" si="7"/>
        <v>待补指数收盘／历史基准；先列基础额</v>
      </c>
      <c r="S37" s="28"/>
    </row>
    <row r="38" spans="1:19" ht="28.5" customHeight="1">
      <c r="A38" s="25">
        <f>月度计划!A35</f>
        <v>47187</v>
      </c>
      <c r="B38" s="26"/>
      <c r="C38" s="22"/>
      <c r="D38" s="22"/>
      <c r="E38" s="21">
        <f t="shared" si="8"/>
        <v>7794.35</v>
      </c>
      <c r="F38" s="27" t="str">
        <f t="shared" si="0"/>
        <v/>
      </c>
      <c r="G38" s="21" t="str">
        <f t="shared" si="1"/>
        <v/>
      </c>
      <c r="H38" s="21">
        <f>MAX(0,$E$4-SUM($P$9:P37))</f>
        <v>5000</v>
      </c>
      <c r="I38" s="21">
        <f t="shared" si="2"/>
        <v>0</v>
      </c>
      <c r="J38" s="21">
        <f t="shared" si="3"/>
        <v>500</v>
      </c>
      <c r="K38" s="21">
        <f>J38*总览!$B$8</f>
        <v>450</v>
      </c>
      <c r="L38" s="21">
        <f>J38*总览!$B$9</f>
        <v>50</v>
      </c>
      <c r="M38" s="21">
        <f>SUMIFS(交易记录!$D$6:$D$605,交易记录!$A$6:$A$605,"&gt;="&amp;DATE(YEAR(A38),MONTH(A38),1),交易记录!$A$6:$A$605,"&lt;"&amp;DATE(YEAR(A38),MONTH(A38)+1,1),交易记录!$C$6:$C$605,"买入",交易记录!$P$6:$P$605,"&lt;&gt;分红再投",交易记录!$P$6:$P$605,"&lt;&gt;其他",交易记录!$B$6:$B$605,"VOO")+SUMIFS(交易记录!$D$6:$D$605,交易记录!$A$6:$A$605,"&gt;="&amp;DATE(YEAR(A38),MONTH(A38),1),交易记录!$A$6:$A$605,"&lt;"&amp;DATE(YEAR(A38),MONTH(A38)+1,1),交易记录!$C$6:$C$605,"买入",交易记录!$P$6:$P$605,"&lt;&gt;分红再投",交易记录!$P$6:$P$605,"&lt;&gt;其他",交易记录!$B$6:$B$605,"QQQM")+SUMIFS(交易记录!$E$6:$E$605,交易记录!$A$6:$A$605,"&gt;="&amp;DATE(YEAR(A38),MONTH(A38),1),交易记录!$A$6:$A$605,"&lt;"&amp;DATE(YEAR(A38),MONTH(A38)+1,1),交易记录!$C$6:$C$605,"买入",交易记录!$P$6:$P$605,"&lt;&gt;分红再投",交易记录!$P$6:$P$605,"&lt;&gt;其他",交易记录!$B$6:$B$605,"VOO")+SUMIFS(交易记录!$E$6:$E$605,交易记录!$A$6:$A$605,"&gt;="&amp;DATE(YEAR(A38),MONTH(A38),1),交易记录!$A$6:$A$605,"&lt;"&amp;DATE(YEAR(A38),MONTH(A38)+1,1),交易记录!$C$6:$C$605,"买入",交易记录!$P$6:$P$605,"&lt;&gt;分红再投",交易记录!$P$6:$P$605,"&lt;&gt;其他",交易记录!$B$6:$B$605,"QQQM")</f>
        <v>0</v>
      </c>
      <c r="N38" s="21">
        <f t="shared" si="4"/>
        <v>0</v>
      </c>
      <c r="O38" s="22"/>
      <c r="P38" s="21">
        <f t="shared" si="5"/>
        <v>0</v>
      </c>
      <c r="Q38" s="21">
        <f t="shared" si="6"/>
        <v>5000</v>
      </c>
      <c r="R38" s="20" t="str">
        <f t="shared" si="7"/>
        <v>待补指数收盘／历史基准；先列基础额</v>
      </c>
      <c r="S38" s="28"/>
    </row>
    <row r="39" spans="1:19" ht="28.5" customHeight="1">
      <c r="A39" s="25">
        <f>月度计划!A36</f>
        <v>47218</v>
      </c>
      <c r="B39" s="26"/>
      <c r="C39" s="22"/>
      <c r="D39" s="22"/>
      <c r="E39" s="21">
        <f t="shared" si="8"/>
        <v>7794.35</v>
      </c>
      <c r="F39" s="27" t="str">
        <f t="shared" si="0"/>
        <v/>
      </c>
      <c r="G39" s="21" t="str">
        <f t="shared" si="1"/>
        <v/>
      </c>
      <c r="H39" s="21">
        <f>MAX(0,$E$4-SUM($P$9:P38))</f>
        <v>5000</v>
      </c>
      <c r="I39" s="21">
        <f t="shared" si="2"/>
        <v>0</v>
      </c>
      <c r="J39" s="21">
        <f t="shared" si="3"/>
        <v>500</v>
      </c>
      <c r="K39" s="21">
        <f>J39*总览!$B$8</f>
        <v>450</v>
      </c>
      <c r="L39" s="21">
        <f>J39*总览!$B$9</f>
        <v>50</v>
      </c>
      <c r="M39" s="21">
        <f>SUMIFS(交易记录!$D$6:$D$605,交易记录!$A$6:$A$605,"&gt;="&amp;DATE(YEAR(A39),MONTH(A39),1),交易记录!$A$6:$A$605,"&lt;"&amp;DATE(YEAR(A39),MONTH(A39)+1,1),交易记录!$C$6:$C$605,"买入",交易记录!$P$6:$P$605,"&lt;&gt;分红再投",交易记录!$P$6:$P$605,"&lt;&gt;其他",交易记录!$B$6:$B$605,"VOO")+SUMIFS(交易记录!$D$6:$D$605,交易记录!$A$6:$A$605,"&gt;="&amp;DATE(YEAR(A39),MONTH(A39),1),交易记录!$A$6:$A$605,"&lt;"&amp;DATE(YEAR(A39),MONTH(A39)+1,1),交易记录!$C$6:$C$605,"买入",交易记录!$P$6:$P$605,"&lt;&gt;分红再投",交易记录!$P$6:$P$605,"&lt;&gt;其他",交易记录!$B$6:$B$605,"QQQM")+SUMIFS(交易记录!$E$6:$E$605,交易记录!$A$6:$A$605,"&gt;="&amp;DATE(YEAR(A39),MONTH(A39),1),交易记录!$A$6:$A$605,"&lt;"&amp;DATE(YEAR(A39),MONTH(A39)+1,1),交易记录!$C$6:$C$605,"买入",交易记录!$P$6:$P$605,"&lt;&gt;分红再投",交易记录!$P$6:$P$605,"&lt;&gt;其他",交易记录!$B$6:$B$605,"VOO")+SUMIFS(交易记录!$E$6:$E$605,交易记录!$A$6:$A$605,"&gt;="&amp;DATE(YEAR(A39),MONTH(A39),1),交易记录!$A$6:$A$605,"&lt;"&amp;DATE(YEAR(A39),MONTH(A39)+1,1),交易记录!$C$6:$C$605,"买入",交易记录!$P$6:$P$605,"&lt;&gt;分红再投",交易记录!$P$6:$P$605,"&lt;&gt;其他",交易记录!$B$6:$B$605,"QQQM")</f>
        <v>0</v>
      </c>
      <c r="N39" s="21">
        <f t="shared" si="4"/>
        <v>0</v>
      </c>
      <c r="O39" s="22"/>
      <c r="P39" s="21">
        <f t="shared" si="5"/>
        <v>0</v>
      </c>
      <c r="Q39" s="21">
        <f t="shared" si="6"/>
        <v>5000</v>
      </c>
      <c r="R39" s="20" t="str">
        <f t="shared" si="7"/>
        <v>待补指数收盘／历史基准；先列基础额</v>
      </c>
      <c r="S39" s="28"/>
    </row>
    <row r="40" spans="1:19" ht="28.5" customHeight="1">
      <c r="A40" s="25">
        <f>月度计划!A37</f>
        <v>47248</v>
      </c>
      <c r="B40" s="26"/>
      <c r="C40" s="22"/>
      <c r="D40" s="22"/>
      <c r="E40" s="21">
        <f t="shared" si="8"/>
        <v>7794.35</v>
      </c>
      <c r="F40" s="27" t="str">
        <f t="shared" si="0"/>
        <v/>
      </c>
      <c r="G40" s="21" t="str">
        <f t="shared" si="1"/>
        <v/>
      </c>
      <c r="H40" s="21">
        <f>MAX(0,$E$4-SUM($P$9:P39))</f>
        <v>5000</v>
      </c>
      <c r="I40" s="21">
        <f t="shared" si="2"/>
        <v>0</v>
      </c>
      <c r="J40" s="21">
        <f t="shared" si="3"/>
        <v>500</v>
      </c>
      <c r="K40" s="21">
        <f>J40*总览!$B$8</f>
        <v>450</v>
      </c>
      <c r="L40" s="21">
        <f>J40*总览!$B$9</f>
        <v>50</v>
      </c>
      <c r="M40" s="21">
        <f>SUMIFS(交易记录!$D$6:$D$605,交易记录!$A$6:$A$605,"&gt;="&amp;DATE(YEAR(A40),MONTH(A40),1),交易记录!$A$6:$A$605,"&lt;"&amp;DATE(YEAR(A40),MONTH(A40)+1,1),交易记录!$C$6:$C$605,"买入",交易记录!$P$6:$P$605,"&lt;&gt;分红再投",交易记录!$P$6:$P$605,"&lt;&gt;其他",交易记录!$B$6:$B$605,"VOO")+SUMIFS(交易记录!$D$6:$D$605,交易记录!$A$6:$A$605,"&gt;="&amp;DATE(YEAR(A40),MONTH(A40),1),交易记录!$A$6:$A$605,"&lt;"&amp;DATE(YEAR(A40),MONTH(A40)+1,1),交易记录!$C$6:$C$605,"买入",交易记录!$P$6:$P$605,"&lt;&gt;分红再投",交易记录!$P$6:$P$605,"&lt;&gt;其他",交易记录!$B$6:$B$605,"QQQM")+SUMIFS(交易记录!$E$6:$E$605,交易记录!$A$6:$A$605,"&gt;="&amp;DATE(YEAR(A40),MONTH(A40),1),交易记录!$A$6:$A$605,"&lt;"&amp;DATE(YEAR(A40),MONTH(A40)+1,1),交易记录!$C$6:$C$605,"买入",交易记录!$P$6:$P$605,"&lt;&gt;分红再投",交易记录!$P$6:$P$605,"&lt;&gt;其他",交易记录!$B$6:$B$605,"VOO")+SUMIFS(交易记录!$E$6:$E$605,交易记录!$A$6:$A$605,"&gt;="&amp;DATE(YEAR(A40),MONTH(A40),1),交易记录!$A$6:$A$605,"&lt;"&amp;DATE(YEAR(A40),MONTH(A40)+1,1),交易记录!$C$6:$C$605,"买入",交易记录!$P$6:$P$605,"&lt;&gt;分红再投",交易记录!$P$6:$P$605,"&lt;&gt;其他",交易记录!$B$6:$B$605,"QQQM")</f>
        <v>0</v>
      </c>
      <c r="N40" s="21">
        <f t="shared" si="4"/>
        <v>0</v>
      </c>
      <c r="O40" s="22"/>
      <c r="P40" s="21">
        <f t="shared" si="5"/>
        <v>0</v>
      </c>
      <c r="Q40" s="21">
        <f t="shared" si="6"/>
        <v>5000</v>
      </c>
      <c r="R40" s="20" t="str">
        <f t="shared" si="7"/>
        <v>待补指数收盘／历史基准；先列基础额</v>
      </c>
      <c r="S40" s="28"/>
    </row>
    <row r="41" spans="1:19" ht="28.5" customHeight="1">
      <c r="A41" s="25">
        <f>月度计划!A38</f>
        <v>47279</v>
      </c>
      <c r="B41" s="26"/>
      <c r="C41" s="22"/>
      <c r="D41" s="22"/>
      <c r="E41" s="21">
        <f t="shared" si="8"/>
        <v>7794.35</v>
      </c>
      <c r="F41" s="27" t="str">
        <f t="shared" ref="F41:F72" si="9">IF(AND(ISNUMBER(B41),ISNUMBER(C41),C41&gt;0,ISNUMBER(E41),E41&gt;0),MAX(0,1-C41/E41),"")</f>
        <v/>
      </c>
      <c r="G41" s="21" t="str">
        <f t="shared" ref="G41:G72" si="10">IF(F41="","",IF(ROUND(F41,10)&lt;0.1,$B$4,IF(ROUND(F41,10)&lt;0.2,$B$4+250,$B$4+500)))</f>
        <v/>
      </c>
      <c r="H41" s="21">
        <f>MAX(0,$E$4-SUM($P$9:P40))</f>
        <v>5000</v>
      </c>
      <c r="I41" s="21">
        <f t="shared" ref="I41:I72" si="11">IF(G41="",0,MIN(MAX(0,G41-$B$4),H41))</f>
        <v>0</v>
      </c>
      <c r="J41" s="21">
        <f t="shared" ref="J41:J72" si="12">$B$4+I41</f>
        <v>500</v>
      </c>
      <c r="K41" s="21">
        <f>J41*总览!$B$8</f>
        <v>450</v>
      </c>
      <c r="L41" s="21">
        <f>J41*总览!$B$9</f>
        <v>50</v>
      </c>
      <c r="M41" s="21">
        <f>SUMIFS(交易记录!$D$6:$D$605,交易记录!$A$6:$A$605,"&gt;="&amp;DATE(YEAR(A41),MONTH(A41),1),交易记录!$A$6:$A$605,"&lt;"&amp;DATE(YEAR(A41),MONTH(A41)+1,1),交易记录!$C$6:$C$605,"买入",交易记录!$P$6:$P$605,"&lt;&gt;分红再投",交易记录!$P$6:$P$605,"&lt;&gt;其他",交易记录!$B$6:$B$605,"VOO")+SUMIFS(交易记录!$D$6:$D$605,交易记录!$A$6:$A$605,"&gt;="&amp;DATE(YEAR(A41),MONTH(A41),1),交易记录!$A$6:$A$605,"&lt;"&amp;DATE(YEAR(A41),MONTH(A41)+1,1),交易记录!$C$6:$C$605,"买入",交易记录!$P$6:$P$605,"&lt;&gt;分红再投",交易记录!$P$6:$P$605,"&lt;&gt;其他",交易记录!$B$6:$B$605,"QQQM")+SUMIFS(交易记录!$E$6:$E$605,交易记录!$A$6:$A$605,"&gt;="&amp;DATE(YEAR(A41),MONTH(A41),1),交易记录!$A$6:$A$605,"&lt;"&amp;DATE(YEAR(A41),MONTH(A41)+1,1),交易记录!$C$6:$C$605,"买入",交易记录!$P$6:$P$605,"&lt;&gt;分红再投",交易记录!$P$6:$P$605,"&lt;&gt;其他",交易记录!$B$6:$B$605,"VOO")+SUMIFS(交易记录!$E$6:$E$605,交易记录!$A$6:$A$605,"&gt;="&amp;DATE(YEAR(A41),MONTH(A41),1),交易记录!$A$6:$A$605,"&lt;"&amp;DATE(YEAR(A41),MONTH(A41)+1,1),交易记录!$C$6:$C$605,"买入",交易记录!$P$6:$P$605,"&lt;&gt;分红再投",交易记录!$P$6:$P$605,"&lt;&gt;其他",交易记录!$B$6:$B$605,"QQQM")</f>
        <v>0</v>
      </c>
      <c r="N41" s="21">
        <f t="shared" ref="N41:N72" si="13">MAX(0,M41-$B$4)</f>
        <v>0</v>
      </c>
      <c r="O41" s="22"/>
      <c r="P41" s="21">
        <f t="shared" ref="P41:P72" si="14">IF(O41="",N41,O41)</f>
        <v>0</v>
      </c>
      <c r="Q41" s="21">
        <f t="shared" ref="Q41:Q72" si="15">MAX(0,H41-P41)</f>
        <v>5000</v>
      </c>
      <c r="R41" s="20" t="str">
        <f t="shared" ref="R41:R72" si="16">IF(P41&gt;H41+0.005,"实际加投超剩余预算，请核对",IF(H41=0,"预算用完：基础定投",IF(F41="","待补指数收盘／历史基准；先列基础额",IF(AND(B41&gt;A41,M41=0),"核对观察日是否在实际交易前",IF(AND(O41&lt;&gt;"",ABS(O41-N41)&gt;0.005),"已按手填额外支出扣预算",IF(M41=0,"已计算，尚未记录买入",IF(ABS(M41-J41)&lt;0.01,"已按计划记录","实际定投与计划有差额")))))))</f>
        <v>待补指数收盘／历史基准；先列基础额</v>
      </c>
      <c r="S41" s="28"/>
    </row>
    <row r="42" spans="1:19" ht="28.5" customHeight="1">
      <c r="A42" s="25">
        <f>月度计划!A39</f>
        <v>47309</v>
      </c>
      <c r="B42" s="26"/>
      <c r="C42" s="22"/>
      <c r="D42" s="22"/>
      <c r="E42" s="21">
        <f t="shared" ref="E42:E73" si="17">IF(MAX($H$4,E41,D42)&lt;=0,"",MAX($H$4,E41,D42,C42))</f>
        <v>7794.35</v>
      </c>
      <c r="F42" s="27" t="str">
        <f t="shared" si="9"/>
        <v/>
      </c>
      <c r="G42" s="21" t="str">
        <f t="shared" si="10"/>
        <v/>
      </c>
      <c r="H42" s="21">
        <f>MAX(0,$E$4-SUM($P$9:P41))</f>
        <v>5000</v>
      </c>
      <c r="I42" s="21">
        <f t="shared" si="11"/>
        <v>0</v>
      </c>
      <c r="J42" s="21">
        <f t="shared" si="12"/>
        <v>500</v>
      </c>
      <c r="K42" s="21">
        <f>J42*总览!$B$8</f>
        <v>450</v>
      </c>
      <c r="L42" s="21">
        <f>J42*总览!$B$9</f>
        <v>50</v>
      </c>
      <c r="M42" s="21">
        <f>SUMIFS(交易记录!$D$6:$D$605,交易记录!$A$6:$A$605,"&gt;="&amp;DATE(YEAR(A42),MONTH(A42),1),交易记录!$A$6:$A$605,"&lt;"&amp;DATE(YEAR(A42),MONTH(A42)+1,1),交易记录!$C$6:$C$605,"买入",交易记录!$P$6:$P$605,"&lt;&gt;分红再投",交易记录!$P$6:$P$605,"&lt;&gt;其他",交易记录!$B$6:$B$605,"VOO")+SUMIFS(交易记录!$D$6:$D$605,交易记录!$A$6:$A$605,"&gt;="&amp;DATE(YEAR(A42),MONTH(A42),1),交易记录!$A$6:$A$605,"&lt;"&amp;DATE(YEAR(A42),MONTH(A42)+1,1),交易记录!$C$6:$C$605,"买入",交易记录!$P$6:$P$605,"&lt;&gt;分红再投",交易记录!$P$6:$P$605,"&lt;&gt;其他",交易记录!$B$6:$B$605,"QQQM")+SUMIFS(交易记录!$E$6:$E$605,交易记录!$A$6:$A$605,"&gt;="&amp;DATE(YEAR(A42),MONTH(A42),1),交易记录!$A$6:$A$605,"&lt;"&amp;DATE(YEAR(A42),MONTH(A42)+1,1),交易记录!$C$6:$C$605,"买入",交易记录!$P$6:$P$605,"&lt;&gt;分红再投",交易记录!$P$6:$P$605,"&lt;&gt;其他",交易记录!$B$6:$B$605,"VOO")+SUMIFS(交易记录!$E$6:$E$605,交易记录!$A$6:$A$605,"&gt;="&amp;DATE(YEAR(A42),MONTH(A42),1),交易记录!$A$6:$A$605,"&lt;"&amp;DATE(YEAR(A42),MONTH(A42)+1,1),交易记录!$C$6:$C$605,"买入",交易记录!$P$6:$P$605,"&lt;&gt;分红再投",交易记录!$P$6:$P$605,"&lt;&gt;其他",交易记录!$B$6:$B$605,"QQQM")</f>
        <v>0</v>
      </c>
      <c r="N42" s="21">
        <f t="shared" si="13"/>
        <v>0</v>
      </c>
      <c r="O42" s="22"/>
      <c r="P42" s="21">
        <f t="shared" si="14"/>
        <v>0</v>
      </c>
      <c r="Q42" s="21">
        <f t="shared" si="15"/>
        <v>5000</v>
      </c>
      <c r="R42" s="20" t="str">
        <f t="shared" si="16"/>
        <v>待补指数收盘／历史基准；先列基础额</v>
      </c>
      <c r="S42" s="28"/>
    </row>
    <row r="43" spans="1:19" ht="28.5" customHeight="1">
      <c r="A43" s="25">
        <f>月度计划!A40</f>
        <v>47340</v>
      </c>
      <c r="B43" s="26"/>
      <c r="C43" s="22"/>
      <c r="D43" s="22"/>
      <c r="E43" s="21">
        <f t="shared" si="17"/>
        <v>7794.35</v>
      </c>
      <c r="F43" s="27" t="str">
        <f t="shared" si="9"/>
        <v/>
      </c>
      <c r="G43" s="21" t="str">
        <f t="shared" si="10"/>
        <v/>
      </c>
      <c r="H43" s="21">
        <f>MAX(0,$E$4-SUM($P$9:P42))</f>
        <v>5000</v>
      </c>
      <c r="I43" s="21">
        <f t="shared" si="11"/>
        <v>0</v>
      </c>
      <c r="J43" s="21">
        <f t="shared" si="12"/>
        <v>500</v>
      </c>
      <c r="K43" s="21">
        <f>J43*总览!$B$8</f>
        <v>450</v>
      </c>
      <c r="L43" s="21">
        <f>J43*总览!$B$9</f>
        <v>50</v>
      </c>
      <c r="M43" s="21">
        <f>SUMIFS(交易记录!$D$6:$D$605,交易记录!$A$6:$A$605,"&gt;="&amp;DATE(YEAR(A43),MONTH(A43),1),交易记录!$A$6:$A$605,"&lt;"&amp;DATE(YEAR(A43),MONTH(A43)+1,1),交易记录!$C$6:$C$605,"买入",交易记录!$P$6:$P$605,"&lt;&gt;分红再投",交易记录!$P$6:$P$605,"&lt;&gt;其他",交易记录!$B$6:$B$605,"VOO")+SUMIFS(交易记录!$D$6:$D$605,交易记录!$A$6:$A$605,"&gt;="&amp;DATE(YEAR(A43),MONTH(A43),1),交易记录!$A$6:$A$605,"&lt;"&amp;DATE(YEAR(A43),MONTH(A43)+1,1),交易记录!$C$6:$C$605,"买入",交易记录!$P$6:$P$605,"&lt;&gt;分红再投",交易记录!$P$6:$P$605,"&lt;&gt;其他",交易记录!$B$6:$B$605,"QQQM")+SUMIFS(交易记录!$E$6:$E$605,交易记录!$A$6:$A$605,"&gt;="&amp;DATE(YEAR(A43),MONTH(A43),1),交易记录!$A$6:$A$605,"&lt;"&amp;DATE(YEAR(A43),MONTH(A43)+1,1),交易记录!$C$6:$C$605,"买入",交易记录!$P$6:$P$605,"&lt;&gt;分红再投",交易记录!$P$6:$P$605,"&lt;&gt;其他",交易记录!$B$6:$B$605,"VOO")+SUMIFS(交易记录!$E$6:$E$605,交易记录!$A$6:$A$605,"&gt;="&amp;DATE(YEAR(A43),MONTH(A43),1),交易记录!$A$6:$A$605,"&lt;"&amp;DATE(YEAR(A43),MONTH(A43)+1,1),交易记录!$C$6:$C$605,"买入",交易记录!$P$6:$P$605,"&lt;&gt;分红再投",交易记录!$P$6:$P$605,"&lt;&gt;其他",交易记录!$B$6:$B$605,"QQQM")</f>
        <v>0</v>
      </c>
      <c r="N43" s="21">
        <f t="shared" si="13"/>
        <v>0</v>
      </c>
      <c r="O43" s="22"/>
      <c r="P43" s="21">
        <f t="shared" si="14"/>
        <v>0</v>
      </c>
      <c r="Q43" s="21">
        <f t="shared" si="15"/>
        <v>5000</v>
      </c>
      <c r="R43" s="20" t="str">
        <f t="shared" si="16"/>
        <v>待补指数收盘／历史基准；先列基础额</v>
      </c>
      <c r="S43" s="28"/>
    </row>
    <row r="44" spans="1:19" ht="28.5" customHeight="1">
      <c r="A44" s="25">
        <f>月度计划!A41</f>
        <v>47371</v>
      </c>
      <c r="B44" s="26"/>
      <c r="C44" s="22"/>
      <c r="D44" s="22"/>
      <c r="E44" s="21">
        <f t="shared" si="17"/>
        <v>7794.35</v>
      </c>
      <c r="F44" s="27" t="str">
        <f t="shared" si="9"/>
        <v/>
      </c>
      <c r="G44" s="21" t="str">
        <f t="shared" si="10"/>
        <v/>
      </c>
      <c r="H44" s="21">
        <f>MAX(0,$E$4-SUM($P$9:P43))</f>
        <v>5000</v>
      </c>
      <c r="I44" s="21">
        <f t="shared" si="11"/>
        <v>0</v>
      </c>
      <c r="J44" s="21">
        <f t="shared" si="12"/>
        <v>500</v>
      </c>
      <c r="K44" s="21">
        <f>J44*总览!$B$8</f>
        <v>450</v>
      </c>
      <c r="L44" s="21">
        <f>J44*总览!$B$9</f>
        <v>50</v>
      </c>
      <c r="M44" s="21">
        <f>SUMIFS(交易记录!$D$6:$D$605,交易记录!$A$6:$A$605,"&gt;="&amp;DATE(YEAR(A44),MONTH(A44),1),交易记录!$A$6:$A$605,"&lt;"&amp;DATE(YEAR(A44),MONTH(A44)+1,1),交易记录!$C$6:$C$605,"买入",交易记录!$P$6:$P$605,"&lt;&gt;分红再投",交易记录!$P$6:$P$605,"&lt;&gt;其他",交易记录!$B$6:$B$605,"VOO")+SUMIFS(交易记录!$D$6:$D$605,交易记录!$A$6:$A$605,"&gt;="&amp;DATE(YEAR(A44),MONTH(A44),1),交易记录!$A$6:$A$605,"&lt;"&amp;DATE(YEAR(A44),MONTH(A44)+1,1),交易记录!$C$6:$C$605,"买入",交易记录!$P$6:$P$605,"&lt;&gt;分红再投",交易记录!$P$6:$P$605,"&lt;&gt;其他",交易记录!$B$6:$B$605,"QQQM")+SUMIFS(交易记录!$E$6:$E$605,交易记录!$A$6:$A$605,"&gt;="&amp;DATE(YEAR(A44),MONTH(A44),1),交易记录!$A$6:$A$605,"&lt;"&amp;DATE(YEAR(A44),MONTH(A44)+1,1),交易记录!$C$6:$C$605,"买入",交易记录!$P$6:$P$605,"&lt;&gt;分红再投",交易记录!$P$6:$P$605,"&lt;&gt;其他",交易记录!$B$6:$B$605,"VOO")+SUMIFS(交易记录!$E$6:$E$605,交易记录!$A$6:$A$605,"&gt;="&amp;DATE(YEAR(A44),MONTH(A44),1),交易记录!$A$6:$A$605,"&lt;"&amp;DATE(YEAR(A44),MONTH(A44)+1,1),交易记录!$C$6:$C$605,"买入",交易记录!$P$6:$P$605,"&lt;&gt;分红再投",交易记录!$P$6:$P$605,"&lt;&gt;其他",交易记录!$B$6:$B$605,"QQQM")</f>
        <v>0</v>
      </c>
      <c r="N44" s="21">
        <f t="shared" si="13"/>
        <v>0</v>
      </c>
      <c r="O44" s="22"/>
      <c r="P44" s="21">
        <f t="shared" si="14"/>
        <v>0</v>
      </c>
      <c r="Q44" s="21">
        <f t="shared" si="15"/>
        <v>5000</v>
      </c>
      <c r="R44" s="20" t="str">
        <f t="shared" si="16"/>
        <v>待补指数收盘／历史基准；先列基础额</v>
      </c>
      <c r="S44" s="28"/>
    </row>
    <row r="45" spans="1:19" ht="28.5" customHeight="1">
      <c r="A45" s="25">
        <f>月度计划!A42</f>
        <v>47401</v>
      </c>
      <c r="B45" s="26"/>
      <c r="C45" s="22"/>
      <c r="D45" s="22"/>
      <c r="E45" s="21">
        <f t="shared" si="17"/>
        <v>7794.35</v>
      </c>
      <c r="F45" s="27" t="str">
        <f t="shared" si="9"/>
        <v/>
      </c>
      <c r="G45" s="21" t="str">
        <f t="shared" si="10"/>
        <v/>
      </c>
      <c r="H45" s="21">
        <f>MAX(0,$E$4-SUM($P$9:P44))</f>
        <v>5000</v>
      </c>
      <c r="I45" s="21">
        <f t="shared" si="11"/>
        <v>0</v>
      </c>
      <c r="J45" s="21">
        <f t="shared" si="12"/>
        <v>500</v>
      </c>
      <c r="K45" s="21">
        <f>J45*总览!$B$8</f>
        <v>450</v>
      </c>
      <c r="L45" s="21">
        <f>J45*总览!$B$9</f>
        <v>50</v>
      </c>
      <c r="M45" s="21">
        <f>SUMIFS(交易记录!$D$6:$D$605,交易记录!$A$6:$A$605,"&gt;="&amp;DATE(YEAR(A45),MONTH(A45),1),交易记录!$A$6:$A$605,"&lt;"&amp;DATE(YEAR(A45),MONTH(A45)+1,1),交易记录!$C$6:$C$605,"买入",交易记录!$P$6:$P$605,"&lt;&gt;分红再投",交易记录!$P$6:$P$605,"&lt;&gt;其他",交易记录!$B$6:$B$605,"VOO")+SUMIFS(交易记录!$D$6:$D$605,交易记录!$A$6:$A$605,"&gt;="&amp;DATE(YEAR(A45),MONTH(A45),1),交易记录!$A$6:$A$605,"&lt;"&amp;DATE(YEAR(A45),MONTH(A45)+1,1),交易记录!$C$6:$C$605,"买入",交易记录!$P$6:$P$605,"&lt;&gt;分红再投",交易记录!$P$6:$P$605,"&lt;&gt;其他",交易记录!$B$6:$B$605,"QQQM")+SUMIFS(交易记录!$E$6:$E$605,交易记录!$A$6:$A$605,"&gt;="&amp;DATE(YEAR(A45),MONTH(A45),1),交易记录!$A$6:$A$605,"&lt;"&amp;DATE(YEAR(A45),MONTH(A45)+1,1),交易记录!$C$6:$C$605,"买入",交易记录!$P$6:$P$605,"&lt;&gt;分红再投",交易记录!$P$6:$P$605,"&lt;&gt;其他",交易记录!$B$6:$B$605,"VOO")+SUMIFS(交易记录!$E$6:$E$605,交易记录!$A$6:$A$605,"&gt;="&amp;DATE(YEAR(A45),MONTH(A45),1),交易记录!$A$6:$A$605,"&lt;"&amp;DATE(YEAR(A45),MONTH(A45)+1,1),交易记录!$C$6:$C$605,"买入",交易记录!$P$6:$P$605,"&lt;&gt;分红再投",交易记录!$P$6:$P$605,"&lt;&gt;其他",交易记录!$B$6:$B$605,"QQQM")</f>
        <v>0</v>
      </c>
      <c r="N45" s="21">
        <f t="shared" si="13"/>
        <v>0</v>
      </c>
      <c r="O45" s="22"/>
      <c r="P45" s="21">
        <f t="shared" si="14"/>
        <v>0</v>
      </c>
      <c r="Q45" s="21">
        <f t="shared" si="15"/>
        <v>5000</v>
      </c>
      <c r="R45" s="20" t="str">
        <f t="shared" si="16"/>
        <v>待补指数收盘／历史基准；先列基础额</v>
      </c>
      <c r="S45" s="28"/>
    </row>
    <row r="46" spans="1:19" ht="28.5" customHeight="1">
      <c r="A46" s="25">
        <f>月度计划!A43</f>
        <v>47432</v>
      </c>
      <c r="B46" s="26"/>
      <c r="C46" s="22"/>
      <c r="D46" s="22"/>
      <c r="E46" s="21">
        <f t="shared" si="17"/>
        <v>7794.35</v>
      </c>
      <c r="F46" s="27" t="str">
        <f t="shared" si="9"/>
        <v/>
      </c>
      <c r="G46" s="21" t="str">
        <f t="shared" si="10"/>
        <v/>
      </c>
      <c r="H46" s="21">
        <f>MAX(0,$E$4-SUM($P$9:P45))</f>
        <v>5000</v>
      </c>
      <c r="I46" s="21">
        <f t="shared" si="11"/>
        <v>0</v>
      </c>
      <c r="J46" s="21">
        <f t="shared" si="12"/>
        <v>500</v>
      </c>
      <c r="K46" s="21">
        <f>J46*总览!$B$8</f>
        <v>450</v>
      </c>
      <c r="L46" s="21">
        <f>J46*总览!$B$9</f>
        <v>50</v>
      </c>
      <c r="M46" s="21">
        <f>SUMIFS(交易记录!$D$6:$D$605,交易记录!$A$6:$A$605,"&gt;="&amp;DATE(YEAR(A46),MONTH(A46),1),交易记录!$A$6:$A$605,"&lt;"&amp;DATE(YEAR(A46),MONTH(A46)+1,1),交易记录!$C$6:$C$605,"买入",交易记录!$P$6:$P$605,"&lt;&gt;分红再投",交易记录!$P$6:$P$605,"&lt;&gt;其他",交易记录!$B$6:$B$605,"VOO")+SUMIFS(交易记录!$D$6:$D$605,交易记录!$A$6:$A$605,"&gt;="&amp;DATE(YEAR(A46),MONTH(A46),1),交易记录!$A$6:$A$605,"&lt;"&amp;DATE(YEAR(A46),MONTH(A46)+1,1),交易记录!$C$6:$C$605,"买入",交易记录!$P$6:$P$605,"&lt;&gt;分红再投",交易记录!$P$6:$P$605,"&lt;&gt;其他",交易记录!$B$6:$B$605,"QQQM")+SUMIFS(交易记录!$E$6:$E$605,交易记录!$A$6:$A$605,"&gt;="&amp;DATE(YEAR(A46),MONTH(A46),1),交易记录!$A$6:$A$605,"&lt;"&amp;DATE(YEAR(A46),MONTH(A46)+1,1),交易记录!$C$6:$C$605,"买入",交易记录!$P$6:$P$605,"&lt;&gt;分红再投",交易记录!$P$6:$P$605,"&lt;&gt;其他",交易记录!$B$6:$B$605,"VOO")+SUMIFS(交易记录!$E$6:$E$605,交易记录!$A$6:$A$605,"&gt;="&amp;DATE(YEAR(A46),MONTH(A46),1),交易记录!$A$6:$A$605,"&lt;"&amp;DATE(YEAR(A46),MONTH(A46)+1,1),交易记录!$C$6:$C$605,"买入",交易记录!$P$6:$P$605,"&lt;&gt;分红再投",交易记录!$P$6:$P$605,"&lt;&gt;其他",交易记录!$B$6:$B$605,"QQQM")</f>
        <v>0</v>
      </c>
      <c r="N46" s="21">
        <f t="shared" si="13"/>
        <v>0</v>
      </c>
      <c r="O46" s="22"/>
      <c r="P46" s="21">
        <f t="shared" si="14"/>
        <v>0</v>
      </c>
      <c r="Q46" s="21">
        <f t="shared" si="15"/>
        <v>5000</v>
      </c>
      <c r="R46" s="20" t="str">
        <f t="shared" si="16"/>
        <v>待补指数收盘／历史基准；先列基础额</v>
      </c>
      <c r="S46" s="28"/>
    </row>
    <row r="47" spans="1:19" ht="28.5" customHeight="1">
      <c r="A47" s="25">
        <f>月度计划!A44</f>
        <v>47462</v>
      </c>
      <c r="B47" s="26"/>
      <c r="C47" s="22"/>
      <c r="D47" s="22"/>
      <c r="E47" s="21">
        <f t="shared" si="17"/>
        <v>7794.35</v>
      </c>
      <c r="F47" s="27" t="str">
        <f t="shared" si="9"/>
        <v/>
      </c>
      <c r="G47" s="21" t="str">
        <f t="shared" si="10"/>
        <v/>
      </c>
      <c r="H47" s="21">
        <f>MAX(0,$E$4-SUM($P$9:P46))</f>
        <v>5000</v>
      </c>
      <c r="I47" s="21">
        <f t="shared" si="11"/>
        <v>0</v>
      </c>
      <c r="J47" s="21">
        <f t="shared" si="12"/>
        <v>500</v>
      </c>
      <c r="K47" s="21">
        <f>J47*总览!$B$8</f>
        <v>450</v>
      </c>
      <c r="L47" s="21">
        <f>J47*总览!$B$9</f>
        <v>50</v>
      </c>
      <c r="M47" s="21">
        <f>SUMIFS(交易记录!$D$6:$D$605,交易记录!$A$6:$A$605,"&gt;="&amp;DATE(YEAR(A47),MONTH(A47),1),交易记录!$A$6:$A$605,"&lt;"&amp;DATE(YEAR(A47),MONTH(A47)+1,1),交易记录!$C$6:$C$605,"买入",交易记录!$P$6:$P$605,"&lt;&gt;分红再投",交易记录!$P$6:$P$605,"&lt;&gt;其他",交易记录!$B$6:$B$605,"VOO")+SUMIFS(交易记录!$D$6:$D$605,交易记录!$A$6:$A$605,"&gt;="&amp;DATE(YEAR(A47),MONTH(A47),1),交易记录!$A$6:$A$605,"&lt;"&amp;DATE(YEAR(A47),MONTH(A47)+1,1),交易记录!$C$6:$C$605,"买入",交易记录!$P$6:$P$605,"&lt;&gt;分红再投",交易记录!$P$6:$P$605,"&lt;&gt;其他",交易记录!$B$6:$B$605,"QQQM")+SUMIFS(交易记录!$E$6:$E$605,交易记录!$A$6:$A$605,"&gt;="&amp;DATE(YEAR(A47),MONTH(A47),1),交易记录!$A$6:$A$605,"&lt;"&amp;DATE(YEAR(A47),MONTH(A47)+1,1),交易记录!$C$6:$C$605,"买入",交易记录!$P$6:$P$605,"&lt;&gt;分红再投",交易记录!$P$6:$P$605,"&lt;&gt;其他",交易记录!$B$6:$B$605,"VOO")+SUMIFS(交易记录!$E$6:$E$605,交易记录!$A$6:$A$605,"&gt;="&amp;DATE(YEAR(A47),MONTH(A47),1),交易记录!$A$6:$A$605,"&lt;"&amp;DATE(YEAR(A47),MONTH(A47)+1,1),交易记录!$C$6:$C$605,"买入",交易记录!$P$6:$P$605,"&lt;&gt;分红再投",交易记录!$P$6:$P$605,"&lt;&gt;其他",交易记录!$B$6:$B$605,"QQQM")</f>
        <v>0</v>
      </c>
      <c r="N47" s="21">
        <f t="shared" si="13"/>
        <v>0</v>
      </c>
      <c r="O47" s="22"/>
      <c r="P47" s="21">
        <f t="shared" si="14"/>
        <v>0</v>
      </c>
      <c r="Q47" s="21">
        <f t="shared" si="15"/>
        <v>5000</v>
      </c>
      <c r="R47" s="20" t="str">
        <f t="shared" si="16"/>
        <v>待补指数收盘／历史基准；先列基础额</v>
      </c>
      <c r="S47" s="28"/>
    </row>
    <row r="48" spans="1:19" ht="28.5" customHeight="1">
      <c r="A48" s="25">
        <f>月度计划!A45</f>
        <v>47493</v>
      </c>
      <c r="B48" s="26"/>
      <c r="C48" s="22"/>
      <c r="D48" s="22"/>
      <c r="E48" s="21">
        <f t="shared" si="17"/>
        <v>7794.35</v>
      </c>
      <c r="F48" s="27" t="str">
        <f t="shared" si="9"/>
        <v/>
      </c>
      <c r="G48" s="21" t="str">
        <f t="shared" si="10"/>
        <v/>
      </c>
      <c r="H48" s="21">
        <f>MAX(0,$E$4-SUM($P$9:P47))</f>
        <v>5000</v>
      </c>
      <c r="I48" s="21">
        <f t="shared" si="11"/>
        <v>0</v>
      </c>
      <c r="J48" s="21">
        <f t="shared" si="12"/>
        <v>500</v>
      </c>
      <c r="K48" s="21">
        <f>J48*总览!$B$8</f>
        <v>450</v>
      </c>
      <c r="L48" s="21">
        <f>J48*总览!$B$9</f>
        <v>50</v>
      </c>
      <c r="M48" s="21">
        <f>SUMIFS(交易记录!$D$6:$D$605,交易记录!$A$6:$A$605,"&gt;="&amp;DATE(YEAR(A48),MONTH(A48),1),交易记录!$A$6:$A$605,"&lt;"&amp;DATE(YEAR(A48),MONTH(A48)+1,1),交易记录!$C$6:$C$605,"买入",交易记录!$P$6:$P$605,"&lt;&gt;分红再投",交易记录!$P$6:$P$605,"&lt;&gt;其他",交易记录!$B$6:$B$605,"VOO")+SUMIFS(交易记录!$D$6:$D$605,交易记录!$A$6:$A$605,"&gt;="&amp;DATE(YEAR(A48),MONTH(A48),1),交易记录!$A$6:$A$605,"&lt;"&amp;DATE(YEAR(A48),MONTH(A48)+1,1),交易记录!$C$6:$C$605,"买入",交易记录!$P$6:$P$605,"&lt;&gt;分红再投",交易记录!$P$6:$P$605,"&lt;&gt;其他",交易记录!$B$6:$B$605,"QQQM")+SUMIFS(交易记录!$E$6:$E$605,交易记录!$A$6:$A$605,"&gt;="&amp;DATE(YEAR(A48),MONTH(A48),1),交易记录!$A$6:$A$605,"&lt;"&amp;DATE(YEAR(A48),MONTH(A48)+1,1),交易记录!$C$6:$C$605,"买入",交易记录!$P$6:$P$605,"&lt;&gt;分红再投",交易记录!$P$6:$P$605,"&lt;&gt;其他",交易记录!$B$6:$B$605,"VOO")+SUMIFS(交易记录!$E$6:$E$605,交易记录!$A$6:$A$605,"&gt;="&amp;DATE(YEAR(A48),MONTH(A48),1),交易记录!$A$6:$A$605,"&lt;"&amp;DATE(YEAR(A48),MONTH(A48)+1,1),交易记录!$C$6:$C$605,"买入",交易记录!$P$6:$P$605,"&lt;&gt;分红再投",交易记录!$P$6:$P$605,"&lt;&gt;其他",交易记录!$B$6:$B$605,"QQQM")</f>
        <v>0</v>
      </c>
      <c r="N48" s="21">
        <f t="shared" si="13"/>
        <v>0</v>
      </c>
      <c r="O48" s="22"/>
      <c r="P48" s="21">
        <f t="shared" si="14"/>
        <v>0</v>
      </c>
      <c r="Q48" s="21">
        <f t="shared" si="15"/>
        <v>5000</v>
      </c>
      <c r="R48" s="20" t="str">
        <f t="shared" si="16"/>
        <v>待补指数收盘／历史基准；先列基础额</v>
      </c>
      <c r="S48" s="28"/>
    </row>
    <row r="49" spans="1:19" ht="28.5" customHeight="1">
      <c r="A49" s="25">
        <f>月度计划!A46</f>
        <v>47524</v>
      </c>
      <c r="B49" s="26"/>
      <c r="C49" s="22"/>
      <c r="D49" s="22"/>
      <c r="E49" s="21">
        <f t="shared" si="17"/>
        <v>7794.35</v>
      </c>
      <c r="F49" s="27" t="str">
        <f t="shared" si="9"/>
        <v/>
      </c>
      <c r="G49" s="21" t="str">
        <f t="shared" si="10"/>
        <v/>
      </c>
      <c r="H49" s="21">
        <f>MAX(0,$E$4-SUM($P$9:P48))</f>
        <v>5000</v>
      </c>
      <c r="I49" s="21">
        <f t="shared" si="11"/>
        <v>0</v>
      </c>
      <c r="J49" s="21">
        <f t="shared" si="12"/>
        <v>500</v>
      </c>
      <c r="K49" s="21">
        <f>J49*总览!$B$8</f>
        <v>450</v>
      </c>
      <c r="L49" s="21">
        <f>J49*总览!$B$9</f>
        <v>50</v>
      </c>
      <c r="M49" s="21">
        <f>SUMIFS(交易记录!$D$6:$D$605,交易记录!$A$6:$A$605,"&gt;="&amp;DATE(YEAR(A49),MONTH(A49),1),交易记录!$A$6:$A$605,"&lt;"&amp;DATE(YEAR(A49),MONTH(A49)+1,1),交易记录!$C$6:$C$605,"买入",交易记录!$P$6:$P$605,"&lt;&gt;分红再投",交易记录!$P$6:$P$605,"&lt;&gt;其他",交易记录!$B$6:$B$605,"VOO")+SUMIFS(交易记录!$D$6:$D$605,交易记录!$A$6:$A$605,"&gt;="&amp;DATE(YEAR(A49),MONTH(A49),1),交易记录!$A$6:$A$605,"&lt;"&amp;DATE(YEAR(A49),MONTH(A49)+1,1),交易记录!$C$6:$C$605,"买入",交易记录!$P$6:$P$605,"&lt;&gt;分红再投",交易记录!$P$6:$P$605,"&lt;&gt;其他",交易记录!$B$6:$B$605,"QQQM")+SUMIFS(交易记录!$E$6:$E$605,交易记录!$A$6:$A$605,"&gt;="&amp;DATE(YEAR(A49),MONTH(A49),1),交易记录!$A$6:$A$605,"&lt;"&amp;DATE(YEAR(A49),MONTH(A49)+1,1),交易记录!$C$6:$C$605,"买入",交易记录!$P$6:$P$605,"&lt;&gt;分红再投",交易记录!$P$6:$P$605,"&lt;&gt;其他",交易记录!$B$6:$B$605,"VOO")+SUMIFS(交易记录!$E$6:$E$605,交易记录!$A$6:$A$605,"&gt;="&amp;DATE(YEAR(A49),MONTH(A49),1),交易记录!$A$6:$A$605,"&lt;"&amp;DATE(YEAR(A49),MONTH(A49)+1,1),交易记录!$C$6:$C$605,"买入",交易记录!$P$6:$P$605,"&lt;&gt;分红再投",交易记录!$P$6:$P$605,"&lt;&gt;其他",交易记录!$B$6:$B$605,"QQQM")</f>
        <v>0</v>
      </c>
      <c r="N49" s="21">
        <f t="shared" si="13"/>
        <v>0</v>
      </c>
      <c r="O49" s="22"/>
      <c r="P49" s="21">
        <f t="shared" si="14"/>
        <v>0</v>
      </c>
      <c r="Q49" s="21">
        <f t="shared" si="15"/>
        <v>5000</v>
      </c>
      <c r="R49" s="20" t="str">
        <f t="shared" si="16"/>
        <v>待补指数收盘／历史基准；先列基础额</v>
      </c>
      <c r="S49" s="28"/>
    </row>
    <row r="50" spans="1:19" ht="28.5" customHeight="1">
      <c r="A50" s="25">
        <f>月度计划!A47</f>
        <v>47552</v>
      </c>
      <c r="B50" s="26"/>
      <c r="C50" s="22"/>
      <c r="D50" s="22"/>
      <c r="E50" s="21">
        <f t="shared" si="17"/>
        <v>7794.35</v>
      </c>
      <c r="F50" s="27" t="str">
        <f t="shared" si="9"/>
        <v/>
      </c>
      <c r="G50" s="21" t="str">
        <f t="shared" si="10"/>
        <v/>
      </c>
      <c r="H50" s="21">
        <f>MAX(0,$E$4-SUM($P$9:P49))</f>
        <v>5000</v>
      </c>
      <c r="I50" s="21">
        <f t="shared" si="11"/>
        <v>0</v>
      </c>
      <c r="J50" s="21">
        <f t="shared" si="12"/>
        <v>500</v>
      </c>
      <c r="K50" s="21">
        <f>J50*总览!$B$8</f>
        <v>450</v>
      </c>
      <c r="L50" s="21">
        <f>J50*总览!$B$9</f>
        <v>50</v>
      </c>
      <c r="M50" s="21">
        <f>SUMIFS(交易记录!$D$6:$D$605,交易记录!$A$6:$A$605,"&gt;="&amp;DATE(YEAR(A50),MONTH(A50),1),交易记录!$A$6:$A$605,"&lt;"&amp;DATE(YEAR(A50),MONTH(A50)+1,1),交易记录!$C$6:$C$605,"买入",交易记录!$P$6:$P$605,"&lt;&gt;分红再投",交易记录!$P$6:$P$605,"&lt;&gt;其他",交易记录!$B$6:$B$605,"VOO")+SUMIFS(交易记录!$D$6:$D$605,交易记录!$A$6:$A$605,"&gt;="&amp;DATE(YEAR(A50),MONTH(A50),1),交易记录!$A$6:$A$605,"&lt;"&amp;DATE(YEAR(A50),MONTH(A50)+1,1),交易记录!$C$6:$C$605,"买入",交易记录!$P$6:$P$605,"&lt;&gt;分红再投",交易记录!$P$6:$P$605,"&lt;&gt;其他",交易记录!$B$6:$B$605,"QQQM")+SUMIFS(交易记录!$E$6:$E$605,交易记录!$A$6:$A$605,"&gt;="&amp;DATE(YEAR(A50),MONTH(A50),1),交易记录!$A$6:$A$605,"&lt;"&amp;DATE(YEAR(A50),MONTH(A50)+1,1),交易记录!$C$6:$C$605,"买入",交易记录!$P$6:$P$605,"&lt;&gt;分红再投",交易记录!$P$6:$P$605,"&lt;&gt;其他",交易记录!$B$6:$B$605,"VOO")+SUMIFS(交易记录!$E$6:$E$605,交易记录!$A$6:$A$605,"&gt;="&amp;DATE(YEAR(A50),MONTH(A50),1),交易记录!$A$6:$A$605,"&lt;"&amp;DATE(YEAR(A50),MONTH(A50)+1,1),交易记录!$C$6:$C$605,"买入",交易记录!$P$6:$P$605,"&lt;&gt;分红再投",交易记录!$P$6:$P$605,"&lt;&gt;其他",交易记录!$B$6:$B$605,"QQQM")</f>
        <v>0</v>
      </c>
      <c r="N50" s="21">
        <f t="shared" si="13"/>
        <v>0</v>
      </c>
      <c r="O50" s="22"/>
      <c r="P50" s="21">
        <f t="shared" si="14"/>
        <v>0</v>
      </c>
      <c r="Q50" s="21">
        <f t="shared" si="15"/>
        <v>5000</v>
      </c>
      <c r="R50" s="20" t="str">
        <f t="shared" si="16"/>
        <v>待补指数收盘／历史基准；先列基础额</v>
      </c>
      <c r="S50" s="28"/>
    </row>
    <row r="51" spans="1:19" ht="28.5" customHeight="1">
      <c r="A51" s="25">
        <f>月度计划!A48</f>
        <v>47583</v>
      </c>
      <c r="B51" s="26"/>
      <c r="C51" s="22"/>
      <c r="D51" s="22"/>
      <c r="E51" s="21">
        <f t="shared" si="17"/>
        <v>7794.35</v>
      </c>
      <c r="F51" s="27" t="str">
        <f t="shared" si="9"/>
        <v/>
      </c>
      <c r="G51" s="21" t="str">
        <f t="shared" si="10"/>
        <v/>
      </c>
      <c r="H51" s="21">
        <f>MAX(0,$E$4-SUM($P$9:P50))</f>
        <v>5000</v>
      </c>
      <c r="I51" s="21">
        <f t="shared" si="11"/>
        <v>0</v>
      </c>
      <c r="J51" s="21">
        <f t="shared" si="12"/>
        <v>500</v>
      </c>
      <c r="K51" s="21">
        <f>J51*总览!$B$8</f>
        <v>450</v>
      </c>
      <c r="L51" s="21">
        <f>J51*总览!$B$9</f>
        <v>50</v>
      </c>
      <c r="M51" s="21">
        <f>SUMIFS(交易记录!$D$6:$D$605,交易记录!$A$6:$A$605,"&gt;="&amp;DATE(YEAR(A51),MONTH(A51),1),交易记录!$A$6:$A$605,"&lt;"&amp;DATE(YEAR(A51),MONTH(A51)+1,1),交易记录!$C$6:$C$605,"买入",交易记录!$P$6:$P$605,"&lt;&gt;分红再投",交易记录!$P$6:$P$605,"&lt;&gt;其他",交易记录!$B$6:$B$605,"VOO")+SUMIFS(交易记录!$D$6:$D$605,交易记录!$A$6:$A$605,"&gt;="&amp;DATE(YEAR(A51),MONTH(A51),1),交易记录!$A$6:$A$605,"&lt;"&amp;DATE(YEAR(A51),MONTH(A51)+1,1),交易记录!$C$6:$C$605,"买入",交易记录!$P$6:$P$605,"&lt;&gt;分红再投",交易记录!$P$6:$P$605,"&lt;&gt;其他",交易记录!$B$6:$B$605,"QQQM")+SUMIFS(交易记录!$E$6:$E$605,交易记录!$A$6:$A$605,"&gt;="&amp;DATE(YEAR(A51),MONTH(A51),1),交易记录!$A$6:$A$605,"&lt;"&amp;DATE(YEAR(A51),MONTH(A51)+1,1),交易记录!$C$6:$C$605,"买入",交易记录!$P$6:$P$605,"&lt;&gt;分红再投",交易记录!$P$6:$P$605,"&lt;&gt;其他",交易记录!$B$6:$B$605,"VOO")+SUMIFS(交易记录!$E$6:$E$605,交易记录!$A$6:$A$605,"&gt;="&amp;DATE(YEAR(A51),MONTH(A51),1),交易记录!$A$6:$A$605,"&lt;"&amp;DATE(YEAR(A51),MONTH(A51)+1,1),交易记录!$C$6:$C$605,"买入",交易记录!$P$6:$P$605,"&lt;&gt;分红再投",交易记录!$P$6:$P$605,"&lt;&gt;其他",交易记录!$B$6:$B$605,"QQQM")</f>
        <v>0</v>
      </c>
      <c r="N51" s="21">
        <f t="shared" si="13"/>
        <v>0</v>
      </c>
      <c r="O51" s="22"/>
      <c r="P51" s="21">
        <f t="shared" si="14"/>
        <v>0</v>
      </c>
      <c r="Q51" s="21">
        <f t="shared" si="15"/>
        <v>5000</v>
      </c>
      <c r="R51" s="20" t="str">
        <f t="shared" si="16"/>
        <v>待补指数收盘／历史基准；先列基础额</v>
      </c>
      <c r="S51" s="28"/>
    </row>
    <row r="52" spans="1:19" ht="28.5" customHeight="1">
      <c r="A52" s="25">
        <f>月度计划!A49</f>
        <v>47613</v>
      </c>
      <c r="B52" s="26"/>
      <c r="C52" s="22"/>
      <c r="D52" s="22"/>
      <c r="E52" s="21">
        <f t="shared" si="17"/>
        <v>7794.35</v>
      </c>
      <c r="F52" s="27" t="str">
        <f t="shared" si="9"/>
        <v/>
      </c>
      <c r="G52" s="21" t="str">
        <f t="shared" si="10"/>
        <v/>
      </c>
      <c r="H52" s="21">
        <f>MAX(0,$E$4-SUM($P$9:P51))</f>
        <v>5000</v>
      </c>
      <c r="I52" s="21">
        <f t="shared" si="11"/>
        <v>0</v>
      </c>
      <c r="J52" s="21">
        <f t="shared" si="12"/>
        <v>500</v>
      </c>
      <c r="K52" s="21">
        <f>J52*总览!$B$8</f>
        <v>450</v>
      </c>
      <c r="L52" s="21">
        <f>J52*总览!$B$9</f>
        <v>50</v>
      </c>
      <c r="M52" s="21">
        <f>SUMIFS(交易记录!$D$6:$D$605,交易记录!$A$6:$A$605,"&gt;="&amp;DATE(YEAR(A52),MONTH(A52),1),交易记录!$A$6:$A$605,"&lt;"&amp;DATE(YEAR(A52),MONTH(A52)+1,1),交易记录!$C$6:$C$605,"买入",交易记录!$P$6:$P$605,"&lt;&gt;分红再投",交易记录!$P$6:$P$605,"&lt;&gt;其他",交易记录!$B$6:$B$605,"VOO")+SUMIFS(交易记录!$D$6:$D$605,交易记录!$A$6:$A$605,"&gt;="&amp;DATE(YEAR(A52),MONTH(A52),1),交易记录!$A$6:$A$605,"&lt;"&amp;DATE(YEAR(A52),MONTH(A52)+1,1),交易记录!$C$6:$C$605,"买入",交易记录!$P$6:$P$605,"&lt;&gt;分红再投",交易记录!$P$6:$P$605,"&lt;&gt;其他",交易记录!$B$6:$B$605,"QQQM")+SUMIFS(交易记录!$E$6:$E$605,交易记录!$A$6:$A$605,"&gt;="&amp;DATE(YEAR(A52),MONTH(A52),1),交易记录!$A$6:$A$605,"&lt;"&amp;DATE(YEAR(A52),MONTH(A52)+1,1),交易记录!$C$6:$C$605,"买入",交易记录!$P$6:$P$605,"&lt;&gt;分红再投",交易记录!$P$6:$P$605,"&lt;&gt;其他",交易记录!$B$6:$B$605,"VOO")+SUMIFS(交易记录!$E$6:$E$605,交易记录!$A$6:$A$605,"&gt;="&amp;DATE(YEAR(A52),MONTH(A52),1),交易记录!$A$6:$A$605,"&lt;"&amp;DATE(YEAR(A52),MONTH(A52)+1,1),交易记录!$C$6:$C$605,"买入",交易记录!$P$6:$P$605,"&lt;&gt;分红再投",交易记录!$P$6:$P$605,"&lt;&gt;其他",交易记录!$B$6:$B$605,"QQQM")</f>
        <v>0</v>
      </c>
      <c r="N52" s="21">
        <f t="shared" si="13"/>
        <v>0</v>
      </c>
      <c r="O52" s="22"/>
      <c r="P52" s="21">
        <f t="shared" si="14"/>
        <v>0</v>
      </c>
      <c r="Q52" s="21">
        <f t="shared" si="15"/>
        <v>5000</v>
      </c>
      <c r="R52" s="20" t="str">
        <f t="shared" si="16"/>
        <v>待补指数收盘／历史基准；先列基础额</v>
      </c>
      <c r="S52" s="28"/>
    </row>
    <row r="53" spans="1:19" ht="28.5" customHeight="1">
      <c r="A53" s="25">
        <f>月度计划!A50</f>
        <v>47644</v>
      </c>
      <c r="B53" s="26"/>
      <c r="C53" s="22"/>
      <c r="D53" s="22"/>
      <c r="E53" s="21">
        <f t="shared" si="17"/>
        <v>7794.35</v>
      </c>
      <c r="F53" s="27" t="str">
        <f t="shared" si="9"/>
        <v/>
      </c>
      <c r="G53" s="21" t="str">
        <f t="shared" si="10"/>
        <v/>
      </c>
      <c r="H53" s="21">
        <f>MAX(0,$E$4-SUM($P$9:P52))</f>
        <v>5000</v>
      </c>
      <c r="I53" s="21">
        <f t="shared" si="11"/>
        <v>0</v>
      </c>
      <c r="J53" s="21">
        <f t="shared" si="12"/>
        <v>500</v>
      </c>
      <c r="K53" s="21">
        <f>J53*总览!$B$8</f>
        <v>450</v>
      </c>
      <c r="L53" s="21">
        <f>J53*总览!$B$9</f>
        <v>50</v>
      </c>
      <c r="M53" s="21">
        <f>SUMIFS(交易记录!$D$6:$D$605,交易记录!$A$6:$A$605,"&gt;="&amp;DATE(YEAR(A53),MONTH(A53),1),交易记录!$A$6:$A$605,"&lt;"&amp;DATE(YEAR(A53),MONTH(A53)+1,1),交易记录!$C$6:$C$605,"买入",交易记录!$P$6:$P$605,"&lt;&gt;分红再投",交易记录!$P$6:$P$605,"&lt;&gt;其他",交易记录!$B$6:$B$605,"VOO")+SUMIFS(交易记录!$D$6:$D$605,交易记录!$A$6:$A$605,"&gt;="&amp;DATE(YEAR(A53),MONTH(A53),1),交易记录!$A$6:$A$605,"&lt;"&amp;DATE(YEAR(A53),MONTH(A53)+1,1),交易记录!$C$6:$C$605,"买入",交易记录!$P$6:$P$605,"&lt;&gt;分红再投",交易记录!$P$6:$P$605,"&lt;&gt;其他",交易记录!$B$6:$B$605,"QQQM")+SUMIFS(交易记录!$E$6:$E$605,交易记录!$A$6:$A$605,"&gt;="&amp;DATE(YEAR(A53),MONTH(A53),1),交易记录!$A$6:$A$605,"&lt;"&amp;DATE(YEAR(A53),MONTH(A53)+1,1),交易记录!$C$6:$C$605,"买入",交易记录!$P$6:$P$605,"&lt;&gt;分红再投",交易记录!$P$6:$P$605,"&lt;&gt;其他",交易记录!$B$6:$B$605,"VOO")+SUMIFS(交易记录!$E$6:$E$605,交易记录!$A$6:$A$605,"&gt;="&amp;DATE(YEAR(A53),MONTH(A53),1),交易记录!$A$6:$A$605,"&lt;"&amp;DATE(YEAR(A53),MONTH(A53)+1,1),交易记录!$C$6:$C$605,"买入",交易记录!$P$6:$P$605,"&lt;&gt;分红再投",交易记录!$P$6:$P$605,"&lt;&gt;其他",交易记录!$B$6:$B$605,"QQQM")</f>
        <v>0</v>
      </c>
      <c r="N53" s="21">
        <f t="shared" si="13"/>
        <v>0</v>
      </c>
      <c r="O53" s="22"/>
      <c r="P53" s="21">
        <f t="shared" si="14"/>
        <v>0</v>
      </c>
      <c r="Q53" s="21">
        <f t="shared" si="15"/>
        <v>5000</v>
      </c>
      <c r="R53" s="20" t="str">
        <f t="shared" si="16"/>
        <v>待补指数收盘／历史基准；先列基础额</v>
      </c>
      <c r="S53" s="28"/>
    </row>
    <row r="54" spans="1:19" ht="28.5" customHeight="1">
      <c r="A54" s="25">
        <f>月度计划!A51</f>
        <v>47674</v>
      </c>
      <c r="B54" s="26"/>
      <c r="C54" s="22"/>
      <c r="D54" s="22"/>
      <c r="E54" s="21">
        <f t="shared" si="17"/>
        <v>7794.35</v>
      </c>
      <c r="F54" s="27" t="str">
        <f t="shared" si="9"/>
        <v/>
      </c>
      <c r="G54" s="21" t="str">
        <f t="shared" si="10"/>
        <v/>
      </c>
      <c r="H54" s="21">
        <f>MAX(0,$E$4-SUM($P$9:P53))</f>
        <v>5000</v>
      </c>
      <c r="I54" s="21">
        <f t="shared" si="11"/>
        <v>0</v>
      </c>
      <c r="J54" s="21">
        <f t="shared" si="12"/>
        <v>500</v>
      </c>
      <c r="K54" s="21">
        <f>J54*总览!$B$8</f>
        <v>450</v>
      </c>
      <c r="L54" s="21">
        <f>J54*总览!$B$9</f>
        <v>50</v>
      </c>
      <c r="M54" s="21">
        <f>SUMIFS(交易记录!$D$6:$D$605,交易记录!$A$6:$A$605,"&gt;="&amp;DATE(YEAR(A54),MONTH(A54),1),交易记录!$A$6:$A$605,"&lt;"&amp;DATE(YEAR(A54),MONTH(A54)+1,1),交易记录!$C$6:$C$605,"买入",交易记录!$P$6:$P$605,"&lt;&gt;分红再投",交易记录!$P$6:$P$605,"&lt;&gt;其他",交易记录!$B$6:$B$605,"VOO")+SUMIFS(交易记录!$D$6:$D$605,交易记录!$A$6:$A$605,"&gt;="&amp;DATE(YEAR(A54),MONTH(A54),1),交易记录!$A$6:$A$605,"&lt;"&amp;DATE(YEAR(A54),MONTH(A54)+1,1),交易记录!$C$6:$C$605,"买入",交易记录!$P$6:$P$605,"&lt;&gt;分红再投",交易记录!$P$6:$P$605,"&lt;&gt;其他",交易记录!$B$6:$B$605,"QQQM")+SUMIFS(交易记录!$E$6:$E$605,交易记录!$A$6:$A$605,"&gt;="&amp;DATE(YEAR(A54),MONTH(A54),1),交易记录!$A$6:$A$605,"&lt;"&amp;DATE(YEAR(A54),MONTH(A54)+1,1),交易记录!$C$6:$C$605,"买入",交易记录!$P$6:$P$605,"&lt;&gt;分红再投",交易记录!$P$6:$P$605,"&lt;&gt;其他",交易记录!$B$6:$B$605,"VOO")+SUMIFS(交易记录!$E$6:$E$605,交易记录!$A$6:$A$605,"&gt;="&amp;DATE(YEAR(A54),MONTH(A54),1),交易记录!$A$6:$A$605,"&lt;"&amp;DATE(YEAR(A54),MONTH(A54)+1,1),交易记录!$C$6:$C$605,"买入",交易记录!$P$6:$P$605,"&lt;&gt;分红再投",交易记录!$P$6:$P$605,"&lt;&gt;其他",交易记录!$B$6:$B$605,"QQQM")</f>
        <v>0</v>
      </c>
      <c r="N54" s="21">
        <f t="shared" si="13"/>
        <v>0</v>
      </c>
      <c r="O54" s="22"/>
      <c r="P54" s="21">
        <f t="shared" si="14"/>
        <v>0</v>
      </c>
      <c r="Q54" s="21">
        <f t="shared" si="15"/>
        <v>5000</v>
      </c>
      <c r="R54" s="20" t="str">
        <f t="shared" si="16"/>
        <v>待补指数收盘／历史基准；先列基础额</v>
      </c>
      <c r="S54" s="28"/>
    </row>
    <row r="55" spans="1:19" ht="28.5" customHeight="1">
      <c r="A55" s="25">
        <f>月度计划!A52</f>
        <v>47705</v>
      </c>
      <c r="B55" s="26"/>
      <c r="C55" s="22"/>
      <c r="D55" s="22"/>
      <c r="E55" s="21">
        <f t="shared" si="17"/>
        <v>7794.35</v>
      </c>
      <c r="F55" s="27" t="str">
        <f t="shared" si="9"/>
        <v/>
      </c>
      <c r="G55" s="21" t="str">
        <f t="shared" si="10"/>
        <v/>
      </c>
      <c r="H55" s="21">
        <f>MAX(0,$E$4-SUM($P$9:P54))</f>
        <v>5000</v>
      </c>
      <c r="I55" s="21">
        <f t="shared" si="11"/>
        <v>0</v>
      </c>
      <c r="J55" s="21">
        <f t="shared" si="12"/>
        <v>500</v>
      </c>
      <c r="K55" s="21">
        <f>J55*总览!$B$8</f>
        <v>450</v>
      </c>
      <c r="L55" s="21">
        <f>J55*总览!$B$9</f>
        <v>50</v>
      </c>
      <c r="M55" s="21">
        <f>SUMIFS(交易记录!$D$6:$D$605,交易记录!$A$6:$A$605,"&gt;="&amp;DATE(YEAR(A55),MONTH(A55),1),交易记录!$A$6:$A$605,"&lt;"&amp;DATE(YEAR(A55),MONTH(A55)+1,1),交易记录!$C$6:$C$605,"买入",交易记录!$P$6:$P$605,"&lt;&gt;分红再投",交易记录!$P$6:$P$605,"&lt;&gt;其他",交易记录!$B$6:$B$605,"VOO")+SUMIFS(交易记录!$D$6:$D$605,交易记录!$A$6:$A$605,"&gt;="&amp;DATE(YEAR(A55),MONTH(A55),1),交易记录!$A$6:$A$605,"&lt;"&amp;DATE(YEAR(A55),MONTH(A55)+1,1),交易记录!$C$6:$C$605,"买入",交易记录!$P$6:$P$605,"&lt;&gt;分红再投",交易记录!$P$6:$P$605,"&lt;&gt;其他",交易记录!$B$6:$B$605,"QQQM")+SUMIFS(交易记录!$E$6:$E$605,交易记录!$A$6:$A$605,"&gt;="&amp;DATE(YEAR(A55),MONTH(A55),1),交易记录!$A$6:$A$605,"&lt;"&amp;DATE(YEAR(A55),MONTH(A55)+1,1),交易记录!$C$6:$C$605,"买入",交易记录!$P$6:$P$605,"&lt;&gt;分红再投",交易记录!$P$6:$P$605,"&lt;&gt;其他",交易记录!$B$6:$B$605,"VOO")+SUMIFS(交易记录!$E$6:$E$605,交易记录!$A$6:$A$605,"&gt;="&amp;DATE(YEAR(A55),MONTH(A55),1),交易记录!$A$6:$A$605,"&lt;"&amp;DATE(YEAR(A55),MONTH(A55)+1,1),交易记录!$C$6:$C$605,"买入",交易记录!$P$6:$P$605,"&lt;&gt;分红再投",交易记录!$P$6:$P$605,"&lt;&gt;其他",交易记录!$B$6:$B$605,"QQQM")</f>
        <v>0</v>
      </c>
      <c r="N55" s="21">
        <f t="shared" si="13"/>
        <v>0</v>
      </c>
      <c r="O55" s="22"/>
      <c r="P55" s="21">
        <f t="shared" si="14"/>
        <v>0</v>
      </c>
      <c r="Q55" s="21">
        <f t="shared" si="15"/>
        <v>5000</v>
      </c>
      <c r="R55" s="20" t="str">
        <f t="shared" si="16"/>
        <v>待补指数收盘／历史基准；先列基础额</v>
      </c>
      <c r="S55" s="28"/>
    </row>
    <row r="56" spans="1:19" ht="28.5" customHeight="1">
      <c r="A56" s="25">
        <f>月度计划!A53</f>
        <v>47736</v>
      </c>
      <c r="B56" s="26"/>
      <c r="C56" s="22"/>
      <c r="D56" s="22"/>
      <c r="E56" s="21">
        <f t="shared" si="17"/>
        <v>7794.35</v>
      </c>
      <c r="F56" s="27" t="str">
        <f t="shared" si="9"/>
        <v/>
      </c>
      <c r="G56" s="21" t="str">
        <f t="shared" si="10"/>
        <v/>
      </c>
      <c r="H56" s="21">
        <f>MAX(0,$E$4-SUM($P$9:P55))</f>
        <v>5000</v>
      </c>
      <c r="I56" s="21">
        <f t="shared" si="11"/>
        <v>0</v>
      </c>
      <c r="J56" s="21">
        <f t="shared" si="12"/>
        <v>500</v>
      </c>
      <c r="K56" s="21">
        <f>J56*总览!$B$8</f>
        <v>450</v>
      </c>
      <c r="L56" s="21">
        <f>J56*总览!$B$9</f>
        <v>50</v>
      </c>
      <c r="M56" s="21">
        <f>SUMIFS(交易记录!$D$6:$D$605,交易记录!$A$6:$A$605,"&gt;="&amp;DATE(YEAR(A56),MONTH(A56),1),交易记录!$A$6:$A$605,"&lt;"&amp;DATE(YEAR(A56),MONTH(A56)+1,1),交易记录!$C$6:$C$605,"买入",交易记录!$P$6:$P$605,"&lt;&gt;分红再投",交易记录!$P$6:$P$605,"&lt;&gt;其他",交易记录!$B$6:$B$605,"VOO")+SUMIFS(交易记录!$D$6:$D$605,交易记录!$A$6:$A$605,"&gt;="&amp;DATE(YEAR(A56),MONTH(A56),1),交易记录!$A$6:$A$605,"&lt;"&amp;DATE(YEAR(A56),MONTH(A56)+1,1),交易记录!$C$6:$C$605,"买入",交易记录!$P$6:$P$605,"&lt;&gt;分红再投",交易记录!$P$6:$P$605,"&lt;&gt;其他",交易记录!$B$6:$B$605,"QQQM")+SUMIFS(交易记录!$E$6:$E$605,交易记录!$A$6:$A$605,"&gt;="&amp;DATE(YEAR(A56),MONTH(A56),1),交易记录!$A$6:$A$605,"&lt;"&amp;DATE(YEAR(A56),MONTH(A56)+1,1),交易记录!$C$6:$C$605,"买入",交易记录!$P$6:$P$605,"&lt;&gt;分红再投",交易记录!$P$6:$P$605,"&lt;&gt;其他",交易记录!$B$6:$B$605,"VOO")+SUMIFS(交易记录!$E$6:$E$605,交易记录!$A$6:$A$605,"&gt;="&amp;DATE(YEAR(A56),MONTH(A56),1),交易记录!$A$6:$A$605,"&lt;"&amp;DATE(YEAR(A56),MONTH(A56)+1,1),交易记录!$C$6:$C$605,"买入",交易记录!$P$6:$P$605,"&lt;&gt;分红再投",交易记录!$P$6:$P$605,"&lt;&gt;其他",交易记录!$B$6:$B$605,"QQQM")</f>
        <v>0</v>
      </c>
      <c r="N56" s="21">
        <f t="shared" si="13"/>
        <v>0</v>
      </c>
      <c r="O56" s="22"/>
      <c r="P56" s="21">
        <f t="shared" si="14"/>
        <v>0</v>
      </c>
      <c r="Q56" s="21">
        <f t="shared" si="15"/>
        <v>5000</v>
      </c>
      <c r="R56" s="20" t="str">
        <f t="shared" si="16"/>
        <v>待补指数收盘／历史基准；先列基础额</v>
      </c>
      <c r="S56" s="28"/>
    </row>
    <row r="57" spans="1:19" ht="28.5" customHeight="1">
      <c r="A57" s="25">
        <f>月度计划!A54</f>
        <v>47766</v>
      </c>
      <c r="B57" s="26"/>
      <c r="C57" s="22"/>
      <c r="D57" s="22"/>
      <c r="E57" s="21">
        <f t="shared" si="17"/>
        <v>7794.35</v>
      </c>
      <c r="F57" s="27" t="str">
        <f t="shared" si="9"/>
        <v/>
      </c>
      <c r="G57" s="21" t="str">
        <f t="shared" si="10"/>
        <v/>
      </c>
      <c r="H57" s="21">
        <f>MAX(0,$E$4-SUM($P$9:P56))</f>
        <v>5000</v>
      </c>
      <c r="I57" s="21">
        <f t="shared" si="11"/>
        <v>0</v>
      </c>
      <c r="J57" s="21">
        <f t="shared" si="12"/>
        <v>500</v>
      </c>
      <c r="K57" s="21">
        <f>J57*总览!$B$8</f>
        <v>450</v>
      </c>
      <c r="L57" s="21">
        <f>J57*总览!$B$9</f>
        <v>50</v>
      </c>
      <c r="M57" s="21">
        <f>SUMIFS(交易记录!$D$6:$D$605,交易记录!$A$6:$A$605,"&gt;="&amp;DATE(YEAR(A57),MONTH(A57),1),交易记录!$A$6:$A$605,"&lt;"&amp;DATE(YEAR(A57),MONTH(A57)+1,1),交易记录!$C$6:$C$605,"买入",交易记录!$P$6:$P$605,"&lt;&gt;分红再投",交易记录!$P$6:$P$605,"&lt;&gt;其他",交易记录!$B$6:$B$605,"VOO")+SUMIFS(交易记录!$D$6:$D$605,交易记录!$A$6:$A$605,"&gt;="&amp;DATE(YEAR(A57),MONTH(A57),1),交易记录!$A$6:$A$605,"&lt;"&amp;DATE(YEAR(A57),MONTH(A57)+1,1),交易记录!$C$6:$C$605,"买入",交易记录!$P$6:$P$605,"&lt;&gt;分红再投",交易记录!$P$6:$P$605,"&lt;&gt;其他",交易记录!$B$6:$B$605,"QQQM")+SUMIFS(交易记录!$E$6:$E$605,交易记录!$A$6:$A$605,"&gt;="&amp;DATE(YEAR(A57),MONTH(A57),1),交易记录!$A$6:$A$605,"&lt;"&amp;DATE(YEAR(A57),MONTH(A57)+1,1),交易记录!$C$6:$C$605,"买入",交易记录!$P$6:$P$605,"&lt;&gt;分红再投",交易记录!$P$6:$P$605,"&lt;&gt;其他",交易记录!$B$6:$B$605,"VOO")+SUMIFS(交易记录!$E$6:$E$605,交易记录!$A$6:$A$605,"&gt;="&amp;DATE(YEAR(A57),MONTH(A57),1),交易记录!$A$6:$A$605,"&lt;"&amp;DATE(YEAR(A57),MONTH(A57)+1,1),交易记录!$C$6:$C$605,"买入",交易记录!$P$6:$P$605,"&lt;&gt;分红再投",交易记录!$P$6:$P$605,"&lt;&gt;其他",交易记录!$B$6:$B$605,"QQQM")</f>
        <v>0</v>
      </c>
      <c r="N57" s="21">
        <f t="shared" si="13"/>
        <v>0</v>
      </c>
      <c r="O57" s="22"/>
      <c r="P57" s="21">
        <f t="shared" si="14"/>
        <v>0</v>
      </c>
      <c r="Q57" s="21">
        <f t="shared" si="15"/>
        <v>5000</v>
      </c>
      <c r="R57" s="20" t="str">
        <f t="shared" si="16"/>
        <v>待补指数收盘／历史基准；先列基础额</v>
      </c>
      <c r="S57" s="28"/>
    </row>
    <row r="58" spans="1:19" ht="28.5" customHeight="1">
      <c r="A58" s="25">
        <f>月度计划!A55</f>
        <v>47797</v>
      </c>
      <c r="B58" s="26"/>
      <c r="C58" s="22"/>
      <c r="D58" s="22"/>
      <c r="E58" s="21">
        <f t="shared" si="17"/>
        <v>7794.35</v>
      </c>
      <c r="F58" s="27" t="str">
        <f t="shared" si="9"/>
        <v/>
      </c>
      <c r="G58" s="21" t="str">
        <f t="shared" si="10"/>
        <v/>
      </c>
      <c r="H58" s="21">
        <f>MAX(0,$E$4-SUM($P$9:P57))</f>
        <v>5000</v>
      </c>
      <c r="I58" s="21">
        <f t="shared" si="11"/>
        <v>0</v>
      </c>
      <c r="J58" s="21">
        <f t="shared" si="12"/>
        <v>500</v>
      </c>
      <c r="K58" s="21">
        <f>J58*总览!$B$8</f>
        <v>450</v>
      </c>
      <c r="L58" s="21">
        <f>J58*总览!$B$9</f>
        <v>50</v>
      </c>
      <c r="M58" s="21">
        <f>SUMIFS(交易记录!$D$6:$D$605,交易记录!$A$6:$A$605,"&gt;="&amp;DATE(YEAR(A58),MONTH(A58),1),交易记录!$A$6:$A$605,"&lt;"&amp;DATE(YEAR(A58),MONTH(A58)+1,1),交易记录!$C$6:$C$605,"买入",交易记录!$P$6:$P$605,"&lt;&gt;分红再投",交易记录!$P$6:$P$605,"&lt;&gt;其他",交易记录!$B$6:$B$605,"VOO")+SUMIFS(交易记录!$D$6:$D$605,交易记录!$A$6:$A$605,"&gt;="&amp;DATE(YEAR(A58),MONTH(A58),1),交易记录!$A$6:$A$605,"&lt;"&amp;DATE(YEAR(A58),MONTH(A58)+1,1),交易记录!$C$6:$C$605,"买入",交易记录!$P$6:$P$605,"&lt;&gt;分红再投",交易记录!$P$6:$P$605,"&lt;&gt;其他",交易记录!$B$6:$B$605,"QQQM")+SUMIFS(交易记录!$E$6:$E$605,交易记录!$A$6:$A$605,"&gt;="&amp;DATE(YEAR(A58),MONTH(A58),1),交易记录!$A$6:$A$605,"&lt;"&amp;DATE(YEAR(A58),MONTH(A58)+1,1),交易记录!$C$6:$C$605,"买入",交易记录!$P$6:$P$605,"&lt;&gt;分红再投",交易记录!$P$6:$P$605,"&lt;&gt;其他",交易记录!$B$6:$B$605,"VOO")+SUMIFS(交易记录!$E$6:$E$605,交易记录!$A$6:$A$605,"&gt;="&amp;DATE(YEAR(A58),MONTH(A58),1),交易记录!$A$6:$A$605,"&lt;"&amp;DATE(YEAR(A58),MONTH(A58)+1,1),交易记录!$C$6:$C$605,"买入",交易记录!$P$6:$P$605,"&lt;&gt;分红再投",交易记录!$P$6:$P$605,"&lt;&gt;其他",交易记录!$B$6:$B$605,"QQQM")</f>
        <v>0</v>
      </c>
      <c r="N58" s="21">
        <f t="shared" si="13"/>
        <v>0</v>
      </c>
      <c r="O58" s="22"/>
      <c r="P58" s="21">
        <f t="shared" si="14"/>
        <v>0</v>
      </c>
      <c r="Q58" s="21">
        <f t="shared" si="15"/>
        <v>5000</v>
      </c>
      <c r="R58" s="20" t="str">
        <f t="shared" si="16"/>
        <v>待补指数收盘／历史基准；先列基础额</v>
      </c>
      <c r="S58" s="28"/>
    </row>
    <row r="59" spans="1:19" ht="28.5" customHeight="1">
      <c r="A59" s="25">
        <f>月度计划!A56</f>
        <v>47827</v>
      </c>
      <c r="B59" s="26"/>
      <c r="C59" s="22"/>
      <c r="D59" s="22"/>
      <c r="E59" s="21">
        <f t="shared" si="17"/>
        <v>7794.35</v>
      </c>
      <c r="F59" s="27" t="str">
        <f t="shared" si="9"/>
        <v/>
      </c>
      <c r="G59" s="21" t="str">
        <f t="shared" si="10"/>
        <v/>
      </c>
      <c r="H59" s="21">
        <f>MAX(0,$E$4-SUM($P$9:P58))</f>
        <v>5000</v>
      </c>
      <c r="I59" s="21">
        <f t="shared" si="11"/>
        <v>0</v>
      </c>
      <c r="J59" s="21">
        <f t="shared" si="12"/>
        <v>500</v>
      </c>
      <c r="K59" s="21">
        <f>J59*总览!$B$8</f>
        <v>450</v>
      </c>
      <c r="L59" s="21">
        <f>J59*总览!$B$9</f>
        <v>50</v>
      </c>
      <c r="M59" s="21">
        <f>SUMIFS(交易记录!$D$6:$D$605,交易记录!$A$6:$A$605,"&gt;="&amp;DATE(YEAR(A59),MONTH(A59),1),交易记录!$A$6:$A$605,"&lt;"&amp;DATE(YEAR(A59),MONTH(A59)+1,1),交易记录!$C$6:$C$605,"买入",交易记录!$P$6:$P$605,"&lt;&gt;分红再投",交易记录!$P$6:$P$605,"&lt;&gt;其他",交易记录!$B$6:$B$605,"VOO")+SUMIFS(交易记录!$D$6:$D$605,交易记录!$A$6:$A$605,"&gt;="&amp;DATE(YEAR(A59),MONTH(A59),1),交易记录!$A$6:$A$605,"&lt;"&amp;DATE(YEAR(A59),MONTH(A59)+1,1),交易记录!$C$6:$C$605,"买入",交易记录!$P$6:$P$605,"&lt;&gt;分红再投",交易记录!$P$6:$P$605,"&lt;&gt;其他",交易记录!$B$6:$B$605,"QQQM")+SUMIFS(交易记录!$E$6:$E$605,交易记录!$A$6:$A$605,"&gt;="&amp;DATE(YEAR(A59),MONTH(A59),1),交易记录!$A$6:$A$605,"&lt;"&amp;DATE(YEAR(A59),MONTH(A59)+1,1),交易记录!$C$6:$C$605,"买入",交易记录!$P$6:$P$605,"&lt;&gt;分红再投",交易记录!$P$6:$P$605,"&lt;&gt;其他",交易记录!$B$6:$B$605,"VOO")+SUMIFS(交易记录!$E$6:$E$605,交易记录!$A$6:$A$605,"&gt;="&amp;DATE(YEAR(A59),MONTH(A59),1),交易记录!$A$6:$A$605,"&lt;"&amp;DATE(YEAR(A59),MONTH(A59)+1,1),交易记录!$C$6:$C$605,"买入",交易记录!$P$6:$P$605,"&lt;&gt;分红再投",交易记录!$P$6:$P$605,"&lt;&gt;其他",交易记录!$B$6:$B$605,"QQQM")</f>
        <v>0</v>
      </c>
      <c r="N59" s="21">
        <f t="shared" si="13"/>
        <v>0</v>
      </c>
      <c r="O59" s="22"/>
      <c r="P59" s="21">
        <f t="shared" si="14"/>
        <v>0</v>
      </c>
      <c r="Q59" s="21">
        <f t="shared" si="15"/>
        <v>5000</v>
      </c>
      <c r="R59" s="20" t="str">
        <f t="shared" si="16"/>
        <v>待补指数收盘／历史基准；先列基础额</v>
      </c>
      <c r="S59" s="28"/>
    </row>
    <row r="60" spans="1:19" ht="28.5" customHeight="1">
      <c r="A60" s="25">
        <f>月度计划!A57</f>
        <v>47858</v>
      </c>
      <c r="B60" s="26"/>
      <c r="C60" s="22"/>
      <c r="D60" s="22"/>
      <c r="E60" s="21">
        <f t="shared" si="17"/>
        <v>7794.35</v>
      </c>
      <c r="F60" s="27" t="str">
        <f t="shared" si="9"/>
        <v/>
      </c>
      <c r="G60" s="21" t="str">
        <f t="shared" si="10"/>
        <v/>
      </c>
      <c r="H60" s="21">
        <f>MAX(0,$E$4-SUM($P$9:P59))</f>
        <v>5000</v>
      </c>
      <c r="I60" s="21">
        <f t="shared" si="11"/>
        <v>0</v>
      </c>
      <c r="J60" s="21">
        <f t="shared" si="12"/>
        <v>500</v>
      </c>
      <c r="K60" s="21">
        <f>J60*总览!$B$8</f>
        <v>450</v>
      </c>
      <c r="L60" s="21">
        <f>J60*总览!$B$9</f>
        <v>50</v>
      </c>
      <c r="M60" s="21">
        <f>SUMIFS(交易记录!$D$6:$D$605,交易记录!$A$6:$A$605,"&gt;="&amp;DATE(YEAR(A60),MONTH(A60),1),交易记录!$A$6:$A$605,"&lt;"&amp;DATE(YEAR(A60),MONTH(A60)+1,1),交易记录!$C$6:$C$605,"买入",交易记录!$P$6:$P$605,"&lt;&gt;分红再投",交易记录!$P$6:$P$605,"&lt;&gt;其他",交易记录!$B$6:$B$605,"VOO")+SUMIFS(交易记录!$D$6:$D$605,交易记录!$A$6:$A$605,"&gt;="&amp;DATE(YEAR(A60),MONTH(A60),1),交易记录!$A$6:$A$605,"&lt;"&amp;DATE(YEAR(A60),MONTH(A60)+1,1),交易记录!$C$6:$C$605,"买入",交易记录!$P$6:$P$605,"&lt;&gt;分红再投",交易记录!$P$6:$P$605,"&lt;&gt;其他",交易记录!$B$6:$B$605,"QQQM")+SUMIFS(交易记录!$E$6:$E$605,交易记录!$A$6:$A$605,"&gt;="&amp;DATE(YEAR(A60),MONTH(A60),1),交易记录!$A$6:$A$605,"&lt;"&amp;DATE(YEAR(A60),MONTH(A60)+1,1),交易记录!$C$6:$C$605,"买入",交易记录!$P$6:$P$605,"&lt;&gt;分红再投",交易记录!$P$6:$P$605,"&lt;&gt;其他",交易记录!$B$6:$B$605,"VOO")+SUMIFS(交易记录!$E$6:$E$605,交易记录!$A$6:$A$605,"&gt;="&amp;DATE(YEAR(A60),MONTH(A60),1),交易记录!$A$6:$A$605,"&lt;"&amp;DATE(YEAR(A60),MONTH(A60)+1,1),交易记录!$C$6:$C$605,"买入",交易记录!$P$6:$P$605,"&lt;&gt;分红再投",交易记录!$P$6:$P$605,"&lt;&gt;其他",交易记录!$B$6:$B$605,"QQQM")</f>
        <v>0</v>
      </c>
      <c r="N60" s="21">
        <f t="shared" si="13"/>
        <v>0</v>
      </c>
      <c r="O60" s="22"/>
      <c r="P60" s="21">
        <f t="shared" si="14"/>
        <v>0</v>
      </c>
      <c r="Q60" s="21">
        <f t="shared" si="15"/>
        <v>5000</v>
      </c>
      <c r="R60" s="20" t="str">
        <f t="shared" si="16"/>
        <v>待补指数收盘／历史基准；先列基础额</v>
      </c>
      <c r="S60" s="28"/>
    </row>
    <row r="61" spans="1:19" ht="28.5" customHeight="1">
      <c r="A61" s="25">
        <f>月度计划!A58</f>
        <v>47889</v>
      </c>
      <c r="B61" s="26"/>
      <c r="C61" s="22"/>
      <c r="D61" s="22"/>
      <c r="E61" s="21">
        <f t="shared" si="17"/>
        <v>7794.35</v>
      </c>
      <c r="F61" s="27" t="str">
        <f t="shared" si="9"/>
        <v/>
      </c>
      <c r="G61" s="21" t="str">
        <f t="shared" si="10"/>
        <v/>
      </c>
      <c r="H61" s="21">
        <f>MAX(0,$E$4-SUM($P$9:P60))</f>
        <v>5000</v>
      </c>
      <c r="I61" s="21">
        <f t="shared" si="11"/>
        <v>0</v>
      </c>
      <c r="J61" s="21">
        <f t="shared" si="12"/>
        <v>500</v>
      </c>
      <c r="K61" s="21">
        <f>J61*总览!$B$8</f>
        <v>450</v>
      </c>
      <c r="L61" s="21">
        <f>J61*总览!$B$9</f>
        <v>50</v>
      </c>
      <c r="M61" s="21">
        <f>SUMIFS(交易记录!$D$6:$D$605,交易记录!$A$6:$A$605,"&gt;="&amp;DATE(YEAR(A61),MONTH(A61),1),交易记录!$A$6:$A$605,"&lt;"&amp;DATE(YEAR(A61),MONTH(A61)+1,1),交易记录!$C$6:$C$605,"买入",交易记录!$P$6:$P$605,"&lt;&gt;分红再投",交易记录!$P$6:$P$605,"&lt;&gt;其他",交易记录!$B$6:$B$605,"VOO")+SUMIFS(交易记录!$D$6:$D$605,交易记录!$A$6:$A$605,"&gt;="&amp;DATE(YEAR(A61),MONTH(A61),1),交易记录!$A$6:$A$605,"&lt;"&amp;DATE(YEAR(A61),MONTH(A61)+1,1),交易记录!$C$6:$C$605,"买入",交易记录!$P$6:$P$605,"&lt;&gt;分红再投",交易记录!$P$6:$P$605,"&lt;&gt;其他",交易记录!$B$6:$B$605,"QQQM")+SUMIFS(交易记录!$E$6:$E$605,交易记录!$A$6:$A$605,"&gt;="&amp;DATE(YEAR(A61),MONTH(A61),1),交易记录!$A$6:$A$605,"&lt;"&amp;DATE(YEAR(A61),MONTH(A61)+1,1),交易记录!$C$6:$C$605,"买入",交易记录!$P$6:$P$605,"&lt;&gt;分红再投",交易记录!$P$6:$P$605,"&lt;&gt;其他",交易记录!$B$6:$B$605,"VOO")+SUMIFS(交易记录!$E$6:$E$605,交易记录!$A$6:$A$605,"&gt;="&amp;DATE(YEAR(A61),MONTH(A61),1),交易记录!$A$6:$A$605,"&lt;"&amp;DATE(YEAR(A61),MONTH(A61)+1,1),交易记录!$C$6:$C$605,"买入",交易记录!$P$6:$P$605,"&lt;&gt;分红再投",交易记录!$P$6:$P$605,"&lt;&gt;其他",交易记录!$B$6:$B$605,"QQQM")</f>
        <v>0</v>
      </c>
      <c r="N61" s="21">
        <f t="shared" si="13"/>
        <v>0</v>
      </c>
      <c r="O61" s="22"/>
      <c r="P61" s="21">
        <f t="shared" si="14"/>
        <v>0</v>
      </c>
      <c r="Q61" s="21">
        <f t="shared" si="15"/>
        <v>5000</v>
      </c>
      <c r="R61" s="20" t="str">
        <f t="shared" si="16"/>
        <v>待补指数收盘／历史基准；先列基础额</v>
      </c>
      <c r="S61" s="28"/>
    </row>
    <row r="62" spans="1:19" ht="28.5" customHeight="1">
      <c r="A62" s="25">
        <f>月度计划!A59</f>
        <v>47917</v>
      </c>
      <c r="B62" s="26"/>
      <c r="C62" s="22"/>
      <c r="D62" s="22"/>
      <c r="E62" s="21">
        <f t="shared" si="17"/>
        <v>7794.35</v>
      </c>
      <c r="F62" s="27" t="str">
        <f t="shared" si="9"/>
        <v/>
      </c>
      <c r="G62" s="21" t="str">
        <f t="shared" si="10"/>
        <v/>
      </c>
      <c r="H62" s="21">
        <f>MAX(0,$E$4-SUM($P$9:P61))</f>
        <v>5000</v>
      </c>
      <c r="I62" s="21">
        <f t="shared" si="11"/>
        <v>0</v>
      </c>
      <c r="J62" s="21">
        <f t="shared" si="12"/>
        <v>500</v>
      </c>
      <c r="K62" s="21">
        <f>J62*总览!$B$8</f>
        <v>450</v>
      </c>
      <c r="L62" s="21">
        <f>J62*总览!$B$9</f>
        <v>50</v>
      </c>
      <c r="M62" s="21">
        <f>SUMIFS(交易记录!$D$6:$D$605,交易记录!$A$6:$A$605,"&gt;="&amp;DATE(YEAR(A62),MONTH(A62),1),交易记录!$A$6:$A$605,"&lt;"&amp;DATE(YEAR(A62),MONTH(A62)+1,1),交易记录!$C$6:$C$605,"买入",交易记录!$P$6:$P$605,"&lt;&gt;分红再投",交易记录!$P$6:$P$605,"&lt;&gt;其他",交易记录!$B$6:$B$605,"VOO")+SUMIFS(交易记录!$D$6:$D$605,交易记录!$A$6:$A$605,"&gt;="&amp;DATE(YEAR(A62),MONTH(A62),1),交易记录!$A$6:$A$605,"&lt;"&amp;DATE(YEAR(A62),MONTH(A62)+1,1),交易记录!$C$6:$C$605,"买入",交易记录!$P$6:$P$605,"&lt;&gt;分红再投",交易记录!$P$6:$P$605,"&lt;&gt;其他",交易记录!$B$6:$B$605,"QQQM")+SUMIFS(交易记录!$E$6:$E$605,交易记录!$A$6:$A$605,"&gt;="&amp;DATE(YEAR(A62),MONTH(A62),1),交易记录!$A$6:$A$605,"&lt;"&amp;DATE(YEAR(A62),MONTH(A62)+1,1),交易记录!$C$6:$C$605,"买入",交易记录!$P$6:$P$605,"&lt;&gt;分红再投",交易记录!$P$6:$P$605,"&lt;&gt;其他",交易记录!$B$6:$B$605,"VOO")+SUMIFS(交易记录!$E$6:$E$605,交易记录!$A$6:$A$605,"&gt;="&amp;DATE(YEAR(A62),MONTH(A62),1),交易记录!$A$6:$A$605,"&lt;"&amp;DATE(YEAR(A62),MONTH(A62)+1,1),交易记录!$C$6:$C$605,"买入",交易记录!$P$6:$P$605,"&lt;&gt;分红再投",交易记录!$P$6:$P$605,"&lt;&gt;其他",交易记录!$B$6:$B$605,"QQQM")</f>
        <v>0</v>
      </c>
      <c r="N62" s="21">
        <f t="shared" si="13"/>
        <v>0</v>
      </c>
      <c r="O62" s="22"/>
      <c r="P62" s="21">
        <f t="shared" si="14"/>
        <v>0</v>
      </c>
      <c r="Q62" s="21">
        <f t="shared" si="15"/>
        <v>5000</v>
      </c>
      <c r="R62" s="20" t="str">
        <f t="shared" si="16"/>
        <v>待补指数收盘／历史基准；先列基础额</v>
      </c>
      <c r="S62" s="28"/>
    </row>
    <row r="63" spans="1:19" ht="28.5" customHeight="1">
      <c r="A63" s="25">
        <f>月度计划!A60</f>
        <v>47948</v>
      </c>
      <c r="B63" s="26"/>
      <c r="C63" s="22"/>
      <c r="D63" s="22"/>
      <c r="E63" s="21">
        <f t="shared" si="17"/>
        <v>7794.35</v>
      </c>
      <c r="F63" s="27" t="str">
        <f t="shared" si="9"/>
        <v/>
      </c>
      <c r="G63" s="21" t="str">
        <f t="shared" si="10"/>
        <v/>
      </c>
      <c r="H63" s="21">
        <f>MAX(0,$E$4-SUM($P$9:P62))</f>
        <v>5000</v>
      </c>
      <c r="I63" s="21">
        <f t="shared" si="11"/>
        <v>0</v>
      </c>
      <c r="J63" s="21">
        <f t="shared" si="12"/>
        <v>500</v>
      </c>
      <c r="K63" s="21">
        <f>J63*总览!$B$8</f>
        <v>450</v>
      </c>
      <c r="L63" s="21">
        <f>J63*总览!$B$9</f>
        <v>50</v>
      </c>
      <c r="M63" s="21">
        <f>SUMIFS(交易记录!$D$6:$D$605,交易记录!$A$6:$A$605,"&gt;="&amp;DATE(YEAR(A63),MONTH(A63),1),交易记录!$A$6:$A$605,"&lt;"&amp;DATE(YEAR(A63),MONTH(A63)+1,1),交易记录!$C$6:$C$605,"买入",交易记录!$P$6:$P$605,"&lt;&gt;分红再投",交易记录!$P$6:$P$605,"&lt;&gt;其他",交易记录!$B$6:$B$605,"VOO")+SUMIFS(交易记录!$D$6:$D$605,交易记录!$A$6:$A$605,"&gt;="&amp;DATE(YEAR(A63),MONTH(A63),1),交易记录!$A$6:$A$605,"&lt;"&amp;DATE(YEAR(A63),MONTH(A63)+1,1),交易记录!$C$6:$C$605,"买入",交易记录!$P$6:$P$605,"&lt;&gt;分红再投",交易记录!$P$6:$P$605,"&lt;&gt;其他",交易记录!$B$6:$B$605,"QQQM")+SUMIFS(交易记录!$E$6:$E$605,交易记录!$A$6:$A$605,"&gt;="&amp;DATE(YEAR(A63),MONTH(A63),1),交易记录!$A$6:$A$605,"&lt;"&amp;DATE(YEAR(A63),MONTH(A63)+1,1),交易记录!$C$6:$C$605,"买入",交易记录!$P$6:$P$605,"&lt;&gt;分红再投",交易记录!$P$6:$P$605,"&lt;&gt;其他",交易记录!$B$6:$B$605,"VOO")+SUMIFS(交易记录!$E$6:$E$605,交易记录!$A$6:$A$605,"&gt;="&amp;DATE(YEAR(A63),MONTH(A63),1),交易记录!$A$6:$A$605,"&lt;"&amp;DATE(YEAR(A63),MONTH(A63)+1,1),交易记录!$C$6:$C$605,"买入",交易记录!$P$6:$P$605,"&lt;&gt;分红再投",交易记录!$P$6:$P$605,"&lt;&gt;其他",交易记录!$B$6:$B$605,"QQQM")</f>
        <v>0</v>
      </c>
      <c r="N63" s="21">
        <f t="shared" si="13"/>
        <v>0</v>
      </c>
      <c r="O63" s="22"/>
      <c r="P63" s="21">
        <f t="shared" si="14"/>
        <v>0</v>
      </c>
      <c r="Q63" s="21">
        <f t="shared" si="15"/>
        <v>5000</v>
      </c>
      <c r="R63" s="20" t="str">
        <f t="shared" si="16"/>
        <v>待补指数收盘／历史基准；先列基础额</v>
      </c>
      <c r="S63" s="28"/>
    </row>
    <row r="64" spans="1:19" ht="28.5" customHeight="1">
      <c r="A64" s="25">
        <f>月度计划!A61</f>
        <v>47978</v>
      </c>
      <c r="B64" s="26"/>
      <c r="C64" s="22"/>
      <c r="D64" s="22"/>
      <c r="E64" s="21">
        <f t="shared" si="17"/>
        <v>7794.35</v>
      </c>
      <c r="F64" s="27" t="str">
        <f t="shared" si="9"/>
        <v/>
      </c>
      <c r="G64" s="21" t="str">
        <f t="shared" si="10"/>
        <v/>
      </c>
      <c r="H64" s="21">
        <f>MAX(0,$E$4-SUM($P$9:P63))</f>
        <v>5000</v>
      </c>
      <c r="I64" s="21">
        <f t="shared" si="11"/>
        <v>0</v>
      </c>
      <c r="J64" s="21">
        <f t="shared" si="12"/>
        <v>500</v>
      </c>
      <c r="K64" s="21">
        <f>J64*总览!$B$8</f>
        <v>450</v>
      </c>
      <c r="L64" s="21">
        <f>J64*总览!$B$9</f>
        <v>50</v>
      </c>
      <c r="M64" s="21">
        <f>SUMIFS(交易记录!$D$6:$D$605,交易记录!$A$6:$A$605,"&gt;="&amp;DATE(YEAR(A64),MONTH(A64),1),交易记录!$A$6:$A$605,"&lt;"&amp;DATE(YEAR(A64),MONTH(A64)+1,1),交易记录!$C$6:$C$605,"买入",交易记录!$P$6:$P$605,"&lt;&gt;分红再投",交易记录!$P$6:$P$605,"&lt;&gt;其他",交易记录!$B$6:$B$605,"VOO")+SUMIFS(交易记录!$D$6:$D$605,交易记录!$A$6:$A$605,"&gt;="&amp;DATE(YEAR(A64),MONTH(A64),1),交易记录!$A$6:$A$605,"&lt;"&amp;DATE(YEAR(A64),MONTH(A64)+1,1),交易记录!$C$6:$C$605,"买入",交易记录!$P$6:$P$605,"&lt;&gt;分红再投",交易记录!$P$6:$P$605,"&lt;&gt;其他",交易记录!$B$6:$B$605,"QQQM")+SUMIFS(交易记录!$E$6:$E$605,交易记录!$A$6:$A$605,"&gt;="&amp;DATE(YEAR(A64),MONTH(A64),1),交易记录!$A$6:$A$605,"&lt;"&amp;DATE(YEAR(A64),MONTH(A64)+1,1),交易记录!$C$6:$C$605,"买入",交易记录!$P$6:$P$605,"&lt;&gt;分红再投",交易记录!$P$6:$P$605,"&lt;&gt;其他",交易记录!$B$6:$B$605,"VOO")+SUMIFS(交易记录!$E$6:$E$605,交易记录!$A$6:$A$605,"&gt;="&amp;DATE(YEAR(A64),MONTH(A64),1),交易记录!$A$6:$A$605,"&lt;"&amp;DATE(YEAR(A64),MONTH(A64)+1,1),交易记录!$C$6:$C$605,"买入",交易记录!$P$6:$P$605,"&lt;&gt;分红再投",交易记录!$P$6:$P$605,"&lt;&gt;其他",交易记录!$B$6:$B$605,"QQQM")</f>
        <v>0</v>
      </c>
      <c r="N64" s="21">
        <f t="shared" si="13"/>
        <v>0</v>
      </c>
      <c r="O64" s="22"/>
      <c r="P64" s="21">
        <f t="shared" si="14"/>
        <v>0</v>
      </c>
      <c r="Q64" s="21">
        <f t="shared" si="15"/>
        <v>5000</v>
      </c>
      <c r="R64" s="20" t="str">
        <f t="shared" si="16"/>
        <v>待补指数收盘／历史基准；先列基础额</v>
      </c>
      <c r="S64" s="28"/>
    </row>
    <row r="65" spans="1:19" ht="28.5" customHeight="1">
      <c r="A65" s="25">
        <f>月度计划!A62</f>
        <v>48009</v>
      </c>
      <c r="B65" s="26"/>
      <c r="C65" s="22"/>
      <c r="D65" s="22"/>
      <c r="E65" s="21">
        <f t="shared" si="17"/>
        <v>7794.35</v>
      </c>
      <c r="F65" s="27" t="str">
        <f t="shared" si="9"/>
        <v/>
      </c>
      <c r="G65" s="21" t="str">
        <f t="shared" si="10"/>
        <v/>
      </c>
      <c r="H65" s="21">
        <f>MAX(0,$E$4-SUM($P$9:P64))</f>
        <v>5000</v>
      </c>
      <c r="I65" s="21">
        <f t="shared" si="11"/>
        <v>0</v>
      </c>
      <c r="J65" s="21">
        <f t="shared" si="12"/>
        <v>500</v>
      </c>
      <c r="K65" s="21">
        <f>J65*总览!$B$8</f>
        <v>450</v>
      </c>
      <c r="L65" s="21">
        <f>J65*总览!$B$9</f>
        <v>50</v>
      </c>
      <c r="M65" s="21">
        <f>SUMIFS(交易记录!$D$6:$D$605,交易记录!$A$6:$A$605,"&gt;="&amp;DATE(YEAR(A65),MONTH(A65),1),交易记录!$A$6:$A$605,"&lt;"&amp;DATE(YEAR(A65),MONTH(A65)+1,1),交易记录!$C$6:$C$605,"买入",交易记录!$P$6:$P$605,"&lt;&gt;分红再投",交易记录!$P$6:$P$605,"&lt;&gt;其他",交易记录!$B$6:$B$605,"VOO")+SUMIFS(交易记录!$D$6:$D$605,交易记录!$A$6:$A$605,"&gt;="&amp;DATE(YEAR(A65),MONTH(A65),1),交易记录!$A$6:$A$605,"&lt;"&amp;DATE(YEAR(A65),MONTH(A65)+1,1),交易记录!$C$6:$C$605,"买入",交易记录!$P$6:$P$605,"&lt;&gt;分红再投",交易记录!$P$6:$P$605,"&lt;&gt;其他",交易记录!$B$6:$B$605,"QQQM")+SUMIFS(交易记录!$E$6:$E$605,交易记录!$A$6:$A$605,"&gt;="&amp;DATE(YEAR(A65),MONTH(A65),1),交易记录!$A$6:$A$605,"&lt;"&amp;DATE(YEAR(A65),MONTH(A65)+1,1),交易记录!$C$6:$C$605,"买入",交易记录!$P$6:$P$605,"&lt;&gt;分红再投",交易记录!$P$6:$P$605,"&lt;&gt;其他",交易记录!$B$6:$B$605,"VOO")+SUMIFS(交易记录!$E$6:$E$605,交易记录!$A$6:$A$605,"&gt;="&amp;DATE(YEAR(A65),MONTH(A65),1),交易记录!$A$6:$A$605,"&lt;"&amp;DATE(YEAR(A65),MONTH(A65)+1,1),交易记录!$C$6:$C$605,"买入",交易记录!$P$6:$P$605,"&lt;&gt;分红再投",交易记录!$P$6:$P$605,"&lt;&gt;其他",交易记录!$B$6:$B$605,"QQQM")</f>
        <v>0</v>
      </c>
      <c r="N65" s="21">
        <f t="shared" si="13"/>
        <v>0</v>
      </c>
      <c r="O65" s="22"/>
      <c r="P65" s="21">
        <f t="shared" si="14"/>
        <v>0</v>
      </c>
      <c r="Q65" s="21">
        <f t="shared" si="15"/>
        <v>5000</v>
      </c>
      <c r="R65" s="20" t="str">
        <f t="shared" si="16"/>
        <v>待补指数收盘／历史基准；先列基础额</v>
      </c>
      <c r="S65" s="28"/>
    </row>
    <row r="66" spans="1:19" ht="28.5" customHeight="1">
      <c r="A66" s="25">
        <f>月度计划!A63</f>
        <v>48039</v>
      </c>
      <c r="B66" s="26"/>
      <c r="C66" s="22"/>
      <c r="D66" s="22"/>
      <c r="E66" s="21">
        <f t="shared" si="17"/>
        <v>7794.35</v>
      </c>
      <c r="F66" s="27" t="str">
        <f t="shared" si="9"/>
        <v/>
      </c>
      <c r="G66" s="21" t="str">
        <f t="shared" si="10"/>
        <v/>
      </c>
      <c r="H66" s="21">
        <f>MAX(0,$E$4-SUM($P$9:P65))</f>
        <v>5000</v>
      </c>
      <c r="I66" s="21">
        <f t="shared" si="11"/>
        <v>0</v>
      </c>
      <c r="J66" s="21">
        <f t="shared" si="12"/>
        <v>500</v>
      </c>
      <c r="K66" s="21">
        <f>J66*总览!$B$8</f>
        <v>450</v>
      </c>
      <c r="L66" s="21">
        <f>J66*总览!$B$9</f>
        <v>50</v>
      </c>
      <c r="M66" s="21">
        <f>SUMIFS(交易记录!$D$6:$D$605,交易记录!$A$6:$A$605,"&gt;="&amp;DATE(YEAR(A66),MONTH(A66),1),交易记录!$A$6:$A$605,"&lt;"&amp;DATE(YEAR(A66),MONTH(A66)+1,1),交易记录!$C$6:$C$605,"买入",交易记录!$P$6:$P$605,"&lt;&gt;分红再投",交易记录!$P$6:$P$605,"&lt;&gt;其他",交易记录!$B$6:$B$605,"VOO")+SUMIFS(交易记录!$D$6:$D$605,交易记录!$A$6:$A$605,"&gt;="&amp;DATE(YEAR(A66),MONTH(A66),1),交易记录!$A$6:$A$605,"&lt;"&amp;DATE(YEAR(A66),MONTH(A66)+1,1),交易记录!$C$6:$C$605,"买入",交易记录!$P$6:$P$605,"&lt;&gt;分红再投",交易记录!$P$6:$P$605,"&lt;&gt;其他",交易记录!$B$6:$B$605,"QQQM")+SUMIFS(交易记录!$E$6:$E$605,交易记录!$A$6:$A$605,"&gt;="&amp;DATE(YEAR(A66),MONTH(A66),1),交易记录!$A$6:$A$605,"&lt;"&amp;DATE(YEAR(A66),MONTH(A66)+1,1),交易记录!$C$6:$C$605,"买入",交易记录!$P$6:$P$605,"&lt;&gt;分红再投",交易记录!$P$6:$P$605,"&lt;&gt;其他",交易记录!$B$6:$B$605,"VOO")+SUMIFS(交易记录!$E$6:$E$605,交易记录!$A$6:$A$605,"&gt;="&amp;DATE(YEAR(A66),MONTH(A66),1),交易记录!$A$6:$A$605,"&lt;"&amp;DATE(YEAR(A66),MONTH(A66)+1,1),交易记录!$C$6:$C$605,"买入",交易记录!$P$6:$P$605,"&lt;&gt;分红再投",交易记录!$P$6:$P$605,"&lt;&gt;其他",交易记录!$B$6:$B$605,"QQQM")</f>
        <v>0</v>
      </c>
      <c r="N66" s="21">
        <f t="shared" si="13"/>
        <v>0</v>
      </c>
      <c r="O66" s="22"/>
      <c r="P66" s="21">
        <f t="shared" si="14"/>
        <v>0</v>
      </c>
      <c r="Q66" s="21">
        <f t="shared" si="15"/>
        <v>5000</v>
      </c>
      <c r="R66" s="20" t="str">
        <f t="shared" si="16"/>
        <v>待补指数收盘／历史基准；先列基础额</v>
      </c>
      <c r="S66" s="28"/>
    </row>
    <row r="67" spans="1:19" ht="28.5" customHeight="1">
      <c r="A67" s="25">
        <f>月度计划!A64</f>
        <v>48070</v>
      </c>
      <c r="B67" s="26"/>
      <c r="C67" s="22"/>
      <c r="D67" s="22"/>
      <c r="E67" s="21">
        <f t="shared" si="17"/>
        <v>7794.35</v>
      </c>
      <c r="F67" s="27" t="str">
        <f t="shared" si="9"/>
        <v/>
      </c>
      <c r="G67" s="21" t="str">
        <f t="shared" si="10"/>
        <v/>
      </c>
      <c r="H67" s="21">
        <f>MAX(0,$E$4-SUM($P$9:P66))</f>
        <v>5000</v>
      </c>
      <c r="I67" s="21">
        <f t="shared" si="11"/>
        <v>0</v>
      </c>
      <c r="J67" s="21">
        <f t="shared" si="12"/>
        <v>500</v>
      </c>
      <c r="K67" s="21">
        <f>J67*总览!$B$8</f>
        <v>450</v>
      </c>
      <c r="L67" s="21">
        <f>J67*总览!$B$9</f>
        <v>50</v>
      </c>
      <c r="M67" s="21">
        <f>SUMIFS(交易记录!$D$6:$D$605,交易记录!$A$6:$A$605,"&gt;="&amp;DATE(YEAR(A67),MONTH(A67),1),交易记录!$A$6:$A$605,"&lt;"&amp;DATE(YEAR(A67),MONTH(A67)+1,1),交易记录!$C$6:$C$605,"买入",交易记录!$P$6:$P$605,"&lt;&gt;分红再投",交易记录!$P$6:$P$605,"&lt;&gt;其他",交易记录!$B$6:$B$605,"VOO")+SUMIFS(交易记录!$D$6:$D$605,交易记录!$A$6:$A$605,"&gt;="&amp;DATE(YEAR(A67),MONTH(A67),1),交易记录!$A$6:$A$605,"&lt;"&amp;DATE(YEAR(A67),MONTH(A67)+1,1),交易记录!$C$6:$C$605,"买入",交易记录!$P$6:$P$605,"&lt;&gt;分红再投",交易记录!$P$6:$P$605,"&lt;&gt;其他",交易记录!$B$6:$B$605,"QQQM")+SUMIFS(交易记录!$E$6:$E$605,交易记录!$A$6:$A$605,"&gt;="&amp;DATE(YEAR(A67),MONTH(A67),1),交易记录!$A$6:$A$605,"&lt;"&amp;DATE(YEAR(A67),MONTH(A67)+1,1),交易记录!$C$6:$C$605,"买入",交易记录!$P$6:$P$605,"&lt;&gt;分红再投",交易记录!$P$6:$P$605,"&lt;&gt;其他",交易记录!$B$6:$B$605,"VOO")+SUMIFS(交易记录!$E$6:$E$605,交易记录!$A$6:$A$605,"&gt;="&amp;DATE(YEAR(A67),MONTH(A67),1),交易记录!$A$6:$A$605,"&lt;"&amp;DATE(YEAR(A67),MONTH(A67)+1,1),交易记录!$C$6:$C$605,"买入",交易记录!$P$6:$P$605,"&lt;&gt;分红再投",交易记录!$P$6:$P$605,"&lt;&gt;其他",交易记录!$B$6:$B$605,"QQQM")</f>
        <v>0</v>
      </c>
      <c r="N67" s="21">
        <f t="shared" si="13"/>
        <v>0</v>
      </c>
      <c r="O67" s="22"/>
      <c r="P67" s="21">
        <f t="shared" si="14"/>
        <v>0</v>
      </c>
      <c r="Q67" s="21">
        <f t="shared" si="15"/>
        <v>5000</v>
      </c>
      <c r="R67" s="20" t="str">
        <f t="shared" si="16"/>
        <v>待补指数收盘／历史基准；先列基础额</v>
      </c>
      <c r="S67" s="28"/>
    </row>
    <row r="68" spans="1:19" ht="28.5" customHeight="1">
      <c r="A68" s="25">
        <f>月度计划!A65</f>
        <v>48101</v>
      </c>
      <c r="B68" s="26"/>
      <c r="C68" s="22"/>
      <c r="D68" s="22"/>
      <c r="E68" s="21">
        <f t="shared" si="17"/>
        <v>7794.35</v>
      </c>
      <c r="F68" s="27" t="str">
        <f t="shared" si="9"/>
        <v/>
      </c>
      <c r="G68" s="21" t="str">
        <f t="shared" si="10"/>
        <v/>
      </c>
      <c r="H68" s="21">
        <f>MAX(0,$E$4-SUM($P$9:P67))</f>
        <v>5000</v>
      </c>
      <c r="I68" s="21">
        <f t="shared" si="11"/>
        <v>0</v>
      </c>
      <c r="J68" s="21">
        <f t="shared" si="12"/>
        <v>500</v>
      </c>
      <c r="K68" s="21">
        <f>J68*总览!$B$8</f>
        <v>450</v>
      </c>
      <c r="L68" s="21">
        <f>J68*总览!$B$9</f>
        <v>50</v>
      </c>
      <c r="M68" s="21">
        <f>SUMIFS(交易记录!$D$6:$D$605,交易记录!$A$6:$A$605,"&gt;="&amp;DATE(YEAR(A68),MONTH(A68),1),交易记录!$A$6:$A$605,"&lt;"&amp;DATE(YEAR(A68),MONTH(A68)+1,1),交易记录!$C$6:$C$605,"买入",交易记录!$P$6:$P$605,"&lt;&gt;分红再投",交易记录!$P$6:$P$605,"&lt;&gt;其他",交易记录!$B$6:$B$605,"VOO")+SUMIFS(交易记录!$D$6:$D$605,交易记录!$A$6:$A$605,"&gt;="&amp;DATE(YEAR(A68),MONTH(A68),1),交易记录!$A$6:$A$605,"&lt;"&amp;DATE(YEAR(A68),MONTH(A68)+1,1),交易记录!$C$6:$C$605,"买入",交易记录!$P$6:$P$605,"&lt;&gt;分红再投",交易记录!$P$6:$P$605,"&lt;&gt;其他",交易记录!$B$6:$B$605,"QQQM")+SUMIFS(交易记录!$E$6:$E$605,交易记录!$A$6:$A$605,"&gt;="&amp;DATE(YEAR(A68),MONTH(A68),1),交易记录!$A$6:$A$605,"&lt;"&amp;DATE(YEAR(A68),MONTH(A68)+1,1),交易记录!$C$6:$C$605,"买入",交易记录!$P$6:$P$605,"&lt;&gt;分红再投",交易记录!$P$6:$P$605,"&lt;&gt;其他",交易记录!$B$6:$B$605,"VOO")+SUMIFS(交易记录!$E$6:$E$605,交易记录!$A$6:$A$605,"&gt;="&amp;DATE(YEAR(A68),MONTH(A68),1),交易记录!$A$6:$A$605,"&lt;"&amp;DATE(YEAR(A68),MONTH(A68)+1,1),交易记录!$C$6:$C$605,"买入",交易记录!$P$6:$P$605,"&lt;&gt;分红再投",交易记录!$P$6:$P$605,"&lt;&gt;其他",交易记录!$B$6:$B$605,"QQQM")</f>
        <v>0</v>
      </c>
      <c r="N68" s="21">
        <f t="shared" si="13"/>
        <v>0</v>
      </c>
      <c r="O68" s="22"/>
      <c r="P68" s="21">
        <f t="shared" si="14"/>
        <v>0</v>
      </c>
      <c r="Q68" s="21">
        <f t="shared" si="15"/>
        <v>5000</v>
      </c>
      <c r="R68" s="20" t="str">
        <f t="shared" si="16"/>
        <v>待补指数收盘／历史基准；先列基础额</v>
      </c>
      <c r="S68" s="28"/>
    </row>
    <row r="69" spans="1:19" ht="28.5" customHeight="1">
      <c r="A69" s="25">
        <f>月度计划!A66</f>
        <v>48131</v>
      </c>
      <c r="B69" s="26"/>
      <c r="C69" s="22"/>
      <c r="D69" s="22"/>
      <c r="E69" s="21">
        <f t="shared" si="17"/>
        <v>7794.35</v>
      </c>
      <c r="F69" s="27" t="str">
        <f t="shared" si="9"/>
        <v/>
      </c>
      <c r="G69" s="21" t="str">
        <f t="shared" si="10"/>
        <v/>
      </c>
      <c r="H69" s="21">
        <f>MAX(0,$E$4-SUM($P$9:P68))</f>
        <v>5000</v>
      </c>
      <c r="I69" s="21">
        <f t="shared" si="11"/>
        <v>0</v>
      </c>
      <c r="J69" s="21">
        <f t="shared" si="12"/>
        <v>500</v>
      </c>
      <c r="K69" s="21">
        <f>J69*总览!$B$8</f>
        <v>450</v>
      </c>
      <c r="L69" s="21">
        <f>J69*总览!$B$9</f>
        <v>50</v>
      </c>
      <c r="M69" s="21">
        <f>SUMIFS(交易记录!$D$6:$D$605,交易记录!$A$6:$A$605,"&gt;="&amp;DATE(YEAR(A69),MONTH(A69),1),交易记录!$A$6:$A$605,"&lt;"&amp;DATE(YEAR(A69),MONTH(A69)+1,1),交易记录!$C$6:$C$605,"买入",交易记录!$P$6:$P$605,"&lt;&gt;分红再投",交易记录!$P$6:$P$605,"&lt;&gt;其他",交易记录!$B$6:$B$605,"VOO")+SUMIFS(交易记录!$D$6:$D$605,交易记录!$A$6:$A$605,"&gt;="&amp;DATE(YEAR(A69),MONTH(A69),1),交易记录!$A$6:$A$605,"&lt;"&amp;DATE(YEAR(A69),MONTH(A69)+1,1),交易记录!$C$6:$C$605,"买入",交易记录!$P$6:$P$605,"&lt;&gt;分红再投",交易记录!$P$6:$P$605,"&lt;&gt;其他",交易记录!$B$6:$B$605,"QQQM")+SUMIFS(交易记录!$E$6:$E$605,交易记录!$A$6:$A$605,"&gt;="&amp;DATE(YEAR(A69),MONTH(A69),1),交易记录!$A$6:$A$605,"&lt;"&amp;DATE(YEAR(A69),MONTH(A69)+1,1),交易记录!$C$6:$C$605,"买入",交易记录!$P$6:$P$605,"&lt;&gt;分红再投",交易记录!$P$6:$P$605,"&lt;&gt;其他",交易记录!$B$6:$B$605,"VOO")+SUMIFS(交易记录!$E$6:$E$605,交易记录!$A$6:$A$605,"&gt;="&amp;DATE(YEAR(A69),MONTH(A69),1),交易记录!$A$6:$A$605,"&lt;"&amp;DATE(YEAR(A69),MONTH(A69)+1,1),交易记录!$C$6:$C$605,"买入",交易记录!$P$6:$P$605,"&lt;&gt;分红再投",交易记录!$P$6:$P$605,"&lt;&gt;其他",交易记录!$B$6:$B$605,"QQQM")</f>
        <v>0</v>
      </c>
      <c r="N69" s="21">
        <f t="shared" si="13"/>
        <v>0</v>
      </c>
      <c r="O69" s="22"/>
      <c r="P69" s="21">
        <f t="shared" si="14"/>
        <v>0</v>
      </c>
      <c r="Q69" s="21">
        <f t="shared" si="15"/>
        <v>5000</v>
      </c>
      <c r="R69" s="20" t="str">
        <f t="shared" si="16"/>
        <v>待补指数收盘／历史基准；先列基础额</v>
      </c>
      <c r="S69" s="28"/>
    </row>
    <row r="70" spans="1:19" ht="28.5" customHeight="1">
      <c r="A70" s="25">
        <f>月度计划!A67</f>
        <v>48162</v>
      </c>
      <c r="B70" s="26"/>
      <c r="C70" s="22"/>
      <c r="D70" s="22"/>
      <c r="E70" s="21">
        <f t="shared" si="17"/>
        <v>7794.35</v>
      </c>
      <c r="F70" s="27" t="str">
        <f t="shared" si="9"/>
        <v/>
      </c>
      <c r="G70" s="21" t="str">
        <f t="shared" si="10"/>
        <v/>
      </c>
      <c r="H70" s="21">
        <f>MAX(0,$E$4-SUM($P$9:P69))</f>
        <v>5000</v>
      </c>
      <c r="I70" s="21">
        <f t="shared" si="11"/>
        <v>0</v>
      </c>
      <c r="J70" s="21">
        <f t="shared" si="12"/>
        <v>500</v>
      </c>
      <c r="K70" s="21">
        <f>J70*总览!$B$8</f>
        <v>450</v>
      </c>
      <c r="L70" s="21">
        <f>J70*总览!$B$9</f>
        <v>50</v>
      </c>
      <c r="M70" s="21">
        <f>SUMIFS(交易记录!$D$6:$D$605,交易记录!$A$6:$A$605,"&gt;="&amp;DATE(YEAR(A70),MONTH(A70),1),交易记录!$A$6:$A$605,"&lt;"&amp;DATE(YEAR(A70),MONTH(A70)+1,1),交易记录!$C$6:$C$605,"买入",交易记录!$P$6:$P$605,"&lt;&gt;分红再投",交易记录!$P$6:$P$605,"&lt;&gt;其他",交易记录!$B$6:$B$605,"VOO")+SUMIFS(交易记录!$D$6:$D$605,交易记录!$A$6:$A$605,"&gt;="&amp;DATE(YEAR(A70),MONTH(A70),1),交易记录!$A$6:$A$605,"&lt;"&amp;DATE(YEAR(A70),MONTH(A70)+1,1),交易记录!$C$6:$C$605,"买入",交易记录!$P$6:$P$605,"&lt;&gt;分红再投",交易记录!$P$6:$P$605,"&lt;&gt;其他",交易记录!$B$6:$B$605,"QQQM")+SUMIFS(交易记录!$E$6:$E$605,交易记录!$A$6:$A$605,"&gt;="&amp;DATE(YEAR(A70),MONTH(A70),1),交易记录!$A$6:$A$605,"&lt;"&amp;DATE(YEAR(A70),MONTH(A70)+1,1),交易记录!$C$6:$C$605,"买入",交易记录!$P$6:$P$605,"&lt;&gt;分红再投",交易记录!$P$6:$P$605,"&lt;&gt;其他",交易记录!$B$6:$B$605,"VOO")+SUMIFS(交易记录!$E$6:$E$605,交易记录!$A$6:$A$605,"&gt;="&amp;DATE(YEAR(A70),MONTH(A70),1),交易记录!$A$6:$A$605,"&lt;"&amp;DATE(YEAR(A70),MONTH(A70)+1,1),交易记录!$C$6:$C$605,"买入",交易记录!$P$6:$P$605,"&lt;&gt;分红再投",交易记录!$P$6:$P$605,"&lt;&gt;其他",交易记录!$B$6:$B$605,"QQQM")</f>
        <v>0</v>
      </c>
      <c r="N70" s="21">
        <f t="shared" si="13"/>
        <v>0</v>
      </c>
      <c r="O70" s="22"/>
      <c r="P70" s="21">
        <f t="shared" si="14"/>
        <v>0</v>
      </c>
      <c r="Q70" s="21">
        <f t="shared" si="15"/>
        <v>5000</v>
      </c>
      <c r="R70" s="20" t="str">
        <f t="shared" si="16"/>
        <v>待补指数收盘／历史基准；先列基础额</v>
      </c>
      <c r="S70" s="28"/>
    </row>
    <row r="71" spans="1:19" ht="28.5" customHeight="1">
      <c r="A71" s="25">
        <f>月度计划!A68</f>
        <v>48192</v>
      </c>
      <c r="B71" s="26"/>
      <c r="C71" s="22"/>
      <c r="D71" s="22"/>
      <c r="E71" s="21">
        <f t="shared" si="17"/>
        <v>7794.35</v>
      </c>
      <c r="F71" s="27" t="str">
        <f t="shared" si="9"/>
        <v/>
      </c>
      <c r="G71" s="21" t="str">
        <f t="shared" si="10"/>
        <v/>
      </c>
      <c r="H71" s="21">
        <f>MAX(0,$E$4-SUM($P$9:P70))</f>
        <v>5000</v>
      </c>
      <c r="I71" s="21">
        <f t="shared" si="11"/>
        <v>0</v>
      </c>
      <c r="J71" s="21">
        <f t="shared" si="12"/>
        <v>500</v>
      </c>
      <c r="K71" s="21">
        <f>J71*总览!$B$8</f>
        <v>450</v>
      </c>
      <c r="L71" s="21">
        <f>J71*总览!$B$9</f>
        <v>50</v>
      </c>
      <c r="M71" s="21">
        <f>SUMIFS(交易记录!$D$6:$D$605,交易记录!$A$6:$A$605,"&gt;="&amp;DATE(YEAR(A71),MONTH(A71),1),交易记录!$A$6:$A$605,"&lt;"&amp;DATE(YEAR(A71),MONTH(A71)+1,1),交易记录!$C$6:$C$605,"买入",交易记录!$P$6:$P$605,"&lt;&gt;分红再投",交易记录!$P$6:$P$605,"&lt;&gt;其他",交易记录!$B$6:$B$605,"VOO")+SUMIFS(交易记录!$D$6:$D$605,交易记录!$A$6:$A$605,"&gt;="&amp;DATE(YEAR(A71),MONTH(A71),1),交易记录!$A$6:$A$605,"&lt;"&amp;DATE(YEAR(A71),MONTH(A71)+1,1),交易记录!$C$6:$C$605,"买入",交易记录!$P$6:$P$605,"&lt;&gt;分红再投",交易记录!$P$6:$P$605,"&lt;&gt;其他",交易记录!$B$6:$B$605,"QQQM")+SUMIFS(交易记录!$E$6:$E$605,交易记录!$A$6:$A$605,"&gt;="&amp;DATE(YEAR(A71),MONTH(A71),1),交易记录!$A$6:$A$605,"&lt;"&amp;DATE(YEAR(A71),MONTH(A71)+1,1),交易记录!$C$6:$C$605,"买入",交易记录!$P$6:$P$605,"&lt;&gt;分红再投",交易记录!$P$6:$P$605,"&lt;&gt;其他",交易记录!$B$6:$B$605,"VOO")+SUMIFS(交易记录!$E$6:$E$605,交易记录!$A$6:$A$605,"&gt;="&amp;DATE(YEAR(A71),MONTH(A71),1),交易记录!$A$6:$A$605,"&lt;"&amp;DATE(YEAR(A71),MONTH(A71)+1,1),交易记录!$C$6:$C$605,"买入",交易记录!$P$6:$P$605,"&lt;&gt;分红再投",交易记录!$P$6:$P$605,"&lt;&gt;其他",交易记录!$B$6:$B$605,"QQQM")</f>
        <v>0</v>
      </c>
      <c r="N71" s="21">
        <f t="shared" si="13"/>
        <v>0</v>
      </c>
      <c r="O71" s="22"/>
      <c r="P71" s="21">
        <f t="shared" si="14"/>
        <v>0</v>
      </c>
      <c r="Q71" s="21">
        <f t="shared" si="15"/>
        <v>5000</v>
      </c>
      <c r="R71" s="20" t="str">
        <f t="shared" si="16"/>
        <v>待补指数收盘／历史基准；先列基础额</v>
      </c>
      <c r="S71" s="28"/>
    </row>
    <row r="72" spans="1:19" ht="28.5" customHeight="1">
      <c r="A72" s="25">
        <f>月度计划!A69</f>
        <v>48223</v>
      </c>
      <c r="B72" s="26"/>
      <c r="C72" s="22"/>
      <c r="D72" s="22"/>
      <c r="E72" s="21">
        <f t="shared" si="17"/>
        <v>7794.35</v>
      </c>
      <c r="F72" s="27" t="str">
        <f t="shared" si="9"/>
        <v/>
      </c>
      <c r="G72" s="21" t="str">
        <f t="shared" si="10"/>
        <v/>
      </c>
      <c r="H72" s="21">
        <f>MAX(0,$E$4-SUM($P$9:P71))</f>
        <v>5000</v>
      </c>
      <c r="I72" s="21">
        <f t="shared" si="11"/>
        <v>0</v>
      </c>
      <c r="J72" s="21">
        <f t="shared" si="12"/>
        <v>500</v>
      </c>
      <c r="K72" s="21">
        <f>J72*总览!$B$8</f>
        <v>450</v>
      </c>
      <c r="L72" s="21">
        <f>J72*总览!$B$9</f>
        <v>50</v>
      </c>
      <c r="M72" s="21">
        <f>SUMIFS(交易记录!$D$6:$D$605,交易记录!$A$6:$A$605,"&gt;="&amp;DATE(YEAR(A72),MONTH(A72),1),交易记录!$A$6:$A$605,"&lt;"&amp;DATE(YEAR(A72),MONTH(A72)+1,1),交易记录!$C$6:$C$605,"买入",交易记录!$P$6:$P$605,"&lt;&gt;分红再投",交易记录!$P$6:$P$605,"&lt;&gt;其他",交易记录!$B$6:$B$605,"VOO")+SUMIFS(交易记录!$D$6:$D$605,交易记录!$A$6:$A$605,"&gt;="&amp;DATE(YEAR(A72),MONTH(A72),1),交易记录!$A$6:$A$605,"&lt;"&amp;DATE(YEAR(A72),MONTH(A72)+1,1),交易记录!$C$6:$C$605,"买入",交易记录!$P$6:$P$605,"&lt;&gt;分红再投",交易记录!$P$6:$P$605,"&lt;&gt;其他",交易记录!$B$6:$B$605,"QQQM")+SUMIFS(交易记录!$E$6:$E$605,交易记录!$A$6:$A$605,"&gt;="&amp;DATE(YEAR(A72),MONTH(A72),1),交易记录!$A$6:$A$605,"&lt;"&amp;DATE(YEAR(A72),MONTH(A72)+1,1),交易记录!$C$6:$C$605,"买入",交易记录!$P$6:$P$605,"&lt;&gt;分红再投",交易记录!$P$6:$P$605,"&lt;&gt;其他",交易记录!$B$6:$B$605,"VOO")+SUMIFS(交易记录!$E$6:$E$605,交易记录!$A$6:$A$605,"&gt;="&amp;DATE(YEAR(A72),MONTH(A72),1),交易记录!$A$6:$A$605,"&lt;"&amp;DATE(YEAR(A72),MONTH(A72)+1,1),交易记录!$C$6:$C$605,"买入",交易记录!$P$6:$P$605,"&lt;&gt;分红再投",交易记录!$P$6:$P$605,"&lt;&gt;其他",交易记录!$B$6:$B$605,"QQQM")</f>
        <v>0</v>
      </c>
      <c r="N72" s="21">
        <f t="shared" si="13"/>
        <v>0</v>
      </c>
      <c r="O72" s="22"/>
      <c r="P72" s="21">
        <f t="shared" si="14"/>
        <v>0</v>
      </c>
      <c r="Q72" s="21">
        <f t="shared" si="15"/>
        <v>5000</v>
      </c>
      <c r="R72" s="20" t="str">
        <f t="shared" si="16"/>
        <v>待补指数收盘／历史基准；先列基础额</v>
      </c>
      <c r="S72" s="28"/>
    </row>
    <row r="73" spans="1:19" ht="28.5" customHeight="1">
      <c r="A73" s="25">
        <f>月度计划!A70</f>
        <v>48254</v>
      </c>
      <c r="B73" s="26"/>
      <c r="C73" s="22"/>
      <c r="D73" s="22"/>
      <c r="E73" s="21">
        <f t="shared" si="17"/>
        <v>7794.35</v>
      </c>
      <c r="F73" s="27" t="str">
        <f t="shared" ref="F73:F104" si="18">IF(AND(ISNUMBER(B73),ISNUMBER(C73),C73&gt;0,ISNUMBER(E73),E73&gt;0),MAX(0,1-C73/E73),"")</f>
        <v/>
      </c>
      <c r="G73" s="21" t="str">
        <f t="shared" ref="G73:G104" si="19">IF(F73="","",IF(ROUND(F73,10)&lt;0.1,$B$4,IF(ROUND(F73,10)&lt;0.2,$B$4+250,$B$4+500)))</f>
        <v/>
      </c>
      <c r="H73" s="21">
        <f>MAX(0,$E$4-SUM($P$9:P72))</f>
        <v>5000</v>
      </c>
      <c r="I73" s="21">
        <f t="shared" ref="I73:I104" si="20">IF(G73="",0,MIN(MAX(0,G73-$B$4),H73))</f>
        <v>0</v>
      </c>
      <c r="J73" s="21">
        <f t="shared" ref="J73:J104" si="21">$B$4+I73</f>
        <v>500</v>
      </c>
      <c r="K73" s="21">
        <f>J73*总览!$B$8</f>
        <v>450</v>
      </c>
      <c r="L73" s="21">
        <f>J73*总览!$B$9</f>
        <v>50</v>
      </c>
      <c r="M73" s="21">
        <f>SUMIFS(交易记录!$D$6:$D$605,交易记录!$A$6:$A$605,"&gt;="&amp;DATE(YEAR(A73),MONTH(A73),1),交易记录!$A$6:$A$605,"&lt;"&amp;DATE(YEAR(A73),MONTH(A73)+1,1),交易记录!$C$6:$C$605,"买入",交易记录!$P$6:$P$605,"&lt;&gt;分红再投",交易记录!$P$6:$P$605,"&lt;&gt;其他",交易记录!$B$6:$B$605,"VOO")+SUMIFS(交易记录!$D$6:$D$605,交易记录!$A$6:$A$605,"&gt;="&amp;DATE(YEAR(A73),MONTH(A73),1),交易记录!$A$6:$A$605,"&lt;"&amp;DATE(YEAR(A73),MONTH(A73)+1,1),交易记录!$C$6:$C$605,"买入",交易记录!$P$6:$P$605,"&lt;&gt;分红再投",交易记录!$P$6:$P$605,"&lt;&gt;其他",交易记录!$B$6:$B$605,"QQQM")+SUMIFS(交易记录!$E$6:$E$605,交易记录!$A$6:$A$605,"&gt;="&amp;DATE(YEAR(A73),MONTH(A73),1),交易记录!$A$6:$A$605,"&lt;"&amp;DATE(YEAR(A73),MONTH(A73)+1,1),交易记录!$C$6:$C$605,"买入",交易记录!$P$6:$P$605,"&lt;&gt;分红再投",交易记录!$P$6:$P$605,"&lt;&gt;其他",交易记录!$B$6:$B$605,"VOO")+SUMIFS(交易记录!$E$6:$E$605,交易记录!$A$6:$A$605,"&gt;="&amp;DATE(YEAR(A73),MONTH(A73),1),交易记录!$A$6:$A$605,"&lt;"&amp;DATE(YEAR(A73),MONTH(A73)+1,1),交易记录!$C$6:$C$605,"买入",交易记录!$P$6:$P$605,"&lt;&gt;分红再投",交易记录!$P$6:$P$605,"&lt;&gt;其他",交易记录!$B$6:$B$605,"QQQM")</f>
        <v>0</v>
      </c>
      <c r="N73" s="21">
        <f t="shared" ref="N73:N104" si="22">MAX(0,M73-$B$4)</f>
        <v>0</v>
      </c>
      <c r="O73" s="22"/>
      <c r="P73" s="21">
        <f t="shared" ref="P73:P104" si="23">IF(O73="",N73,O73)</f>
        <v>0</v>
      </c>
      <c r="Q73" s="21">
        <f t="shared" ref="Q73:Q104" si="24">MAX(0,H73-P73)</f>
        <v>5000</v>
      </c>
      <c r="R73" s="20" t="str">
        <f t="shared" ref="R73:R104" si="25">IF(P73&gt;H73+0.005,"实际加投超剩余预算，请核对",IF(H73=0,"预算用完：基础定投",IF(F73="","待补指数收盘／历史基准；先列基础额",IF(AND(B73&gt;A73,M73=0),"核对观察日是否在实际交易前",IF(AND(O73&lt;&gt;"",ABS(O73-N73)&gt;0.005),"已按手填额外支出扣预算",IF(M73=0,"已计算，尚未记录买入",IF(ABS(M73-J73)&lt;0.01,"已按计划记录","实际定投与计划有差额")))))))</f>
        <v>待补指数收盘／历史基准；先列基础额</v>
      </c>
      <c r="S73" s="28"/>
    </row>
    <row r="74" spans="1:19" ht="28.5" customHeight="1">
      <c r="A74" s="25">
        <f>月度计划!A71</f>
        <v>48283</v>
      </c>
      <c r="B74" s="26"/>
      <c r="C74" s="22"/>
      <c r="D74" s="22"/>
      <c r="E74" s="21">
        <f t="shared" ref="E74:E105" si="26">IF(MAX($H$4,E73,D74)&lt;=0,"",MAX($H$4,E73,D74,C74))</f>
        <v>7794.35</v>
      </c>
      <c r="F74" s="27" t="str">
        <f t="shared" si="18"/>
        <v/>
      </c>
      <c r="G74" s="21" t="str">
        <f t="shared" si="19"/>
        <v/>
      </c>
      <c r="H74" s="21">
        <f>MAX(0,$E$4-SUM($P$9:P73))</f>
        <v>5000</v>
      </c>
      <c r="I74" s="21">
        <f t="shared" si="20"/>
        <v>0</v>
      </c>
      <c r="J74" s="21">
        <f t="shared" si="21"/>
        <v>500</v>
      </c>
      <c r="K74" s="21">
        <f>J74*总览!$B$8</f>
        <v>450</v>
      </c>
      <c r="L74" s="21">
        <f>J74*总览!$B$9</f>
        <v>50</v>
      </c>
      <c r="M74" s="21">
        <f>SUMIFS(交易记录!$D$6:$D$605,交易记录!$A$6:$A$605,"&gt;="&amp;DATE(YEAR(A74),MONTH(A74),1),交易记录!$A$6:$A$605,"&lt;"&amp;DATE(YEAR(A74),MONTH(A74)+1,1),交易记录!$C$6:$C$605,"买入",交易记录!$P$6:$P$605,"&lt;&gt;分红再投",交易记录!$P$6:$P$605,"&lt;&gt;其他",交易记录!$B$6:$B$605,"VOO")+SUMIFS(交易记录!$D$6:$D$605,交易记录!$A$6:$A$605,"&gt;="&amp;DATE(YEAR(A74),MONTH(A74),1),交易记录!$A$6:$A$605,"&lt;"&amp;DATE(YEAR(A74),MONTH(A74)+1,1),交易记录!$C$6:$C$605,"买入",交易记录!$P$6:$P$605,"&lt;&gt;分红再投",交易记录!$P$6:$P$605,"&lt;&gt;其他",交易记录!$B$6:$B$605,"QQQM")+SUMIFS(交易记录!$E$6:$E$605,交易记录!$A$6:$A$605,"&gt;="&amp;DATE(YEAR(A74),MONTH(A74),1),交易记录!$A$6:$A$605,"&lt;"&amp;DATE(YEAR(A74),MONTH(A74)+1,1),交易记录!$C$6:$C$605,"买入",交易记录!$P$6:$P$605,"&lt;&gt;分红再投",交易记录!$P$6:$P$605,"&lt;&gt;其他",交易记录!$B$6:$B$605,"VOO")+SUMIFS(交易记录!$E$6:$E$605,交易记录!$A$6:$A$605,"&gt;="&amp;DATE(YEAR(A74),MONTH(A74),1),交易记录!$A$6:$A$605,"&lt;"&amp;DATE(YEAR(A74),MONTH(A74)+1,1),交易记录!$C$6:$C$605,"买入",交易记录!$P$6:$P$605,"&lt;&gt;分红再投",交易记录!$P$6:$P$605,"&lt;&gt;其他",交易记录!$B$6:$B$605,"QQQM")</f>
        <v>0</v>
      </c>
      <c r="N74" s="21">
        <f t="shared" si="22"/>
        <v>0</v>
      </c>
      <c r="O74" s="22"/>
      <c r="P74" s="21">
        <f t="shared" si="23"/>
        <v>0</v>
      </c>
      <c r="Q74" s="21">
        <f t="shared" si="24"/>
        <v>5000</v>
      </c>
      <c r="R74" s="20" t="str">
        <f t="shared" si="25"/>
        <v>待补指数收盘／历史基准；先列基础额</v>
      </c>
      <c r="S74" s="28"/>
    </row>
    <row r="75" spans="1:19" ht="28.5" customHeight="1">
      <c r="A75" s="25">
        <f>月度计划!A72</f>
        <v>48314</v>
      </c>
      <c r="B75" s="26"/>
      <c r="C75" s="22"/>
      <c r="D75" s="22"/>
      <c r="E75" s="21">
        <f t="shared" si="26"/>
        <v>7794.35</v>
      </c>
      <c r="F75" s="27" t="str">
        <f t="shared" si="18"/>
        <v/>
      </c>
      <c r="G75" s="21" t="str">
        <f t="shared" si="19"/>
        <v/>
      </c>
      <c r="H75" s="21">
        <f>MAX(0,$E$4-SUM($P$9:P74))</f>
        <v>5000</v>
      </c>
      <c r="I75" s="21">
        <f t="shared" si="20"/>
        <v>0</v>
      </c>
      <c r="J75" s="21">
        <f t="shared" si="21"/>
        <v>500</v>
      </c>
      <c r="K75" s="21">
        <f>J75*总览!$B$8</f>
        <v>450</v>
      </c>
      <c r="L75" s="21">
        <f>J75*总览!$B$9</f>
        <v>50</v>
      </c>
      <c r="M75" s="21">
        <f>SUMIFS(交易记录!$D$6:$D$605,交易记录!$A$6:$A$605,"&gt;="&amp;DATE(YEAR(A75),MONTH(A75),1),交易记录!$A$6:$A$605,"&lt;"&amp;DATE(YEAR(A75),MONTH(A75)+1,1),交易记录!$C$6:$C$605,"买入",交易记录!$P$6:$P$605,"&lt;&gt;分红再投",交易记录!$P$6:$P$605,"&lt;&gt;其他",交易记录!$B$6:$B$605,"VOO")+SUMIFS(交易记录!$D$6:$D$605,交易记录!$A$6:$A$605,"&gt;="&amp;DATE(YEAR(A75),MONTH(A75),1),交易记录!$A$6:$A$605,"&lt;"&amp;DATE(YEAR(A75),MONTH(A75)+1,1),交易记录!$C$6:$C$605,"买入",交易记录!$P$6:$P$605,"&lt;&gt;分红再投",交易记录!$P$6:$P$605,"&lt;&gt;其他",交易记录!$B$6:$B$605,"QQQM")+SUMIFS(交易记录!$E$6:$E$605,交易记录!$A$6:$A$605,"&gt;="&amp;DATE(YEAR(A75),MONTH(A75),1),交易记录!$A$6:$A$605,"&lt;"&amp;DATE(YEAR(A75),MONTH(A75)+1,1),交易记录!$C$6:$C$605,"买入",交易记录!$P$6:$P$605,"&lt;&gt;分红再投",交易记录!$P$6:$P$605,"&lt;&gt;其他",交易记录!$B$6:$B$605,"VOO")+SUMIFS(交易记录!$E$6:$E$605,交易记录!$A$6:$A$605,"&gt;="&amp;DATE(YEAR(A75),MONTH(A75),1),交易记录!$A$6:$A$605,"&lt;"&amp;DATE(YEAR(A75),MONTH(A75)+1,1),交易记录!$C$6:$C$605,"买入",交易记录!$P$6:$P$605,"&lt;&gt;分红再投",交易记录!$P$6:$P$605,"&lt;&gt;其他",交易记录!$B$6:$B$605,"QQQM")</f>
        <v>0</v>
      </c>
      <c r="N75" s="21">
        <f t="shared" si="22"/>
        <v>0</v>
      </c>
      <c r="O75" s="22"/>
      <c r="P75" s="21">
        <f t="shared" si="23"/>
        <v>0</v>
      </c>
      <c r="Q75" s="21">
        <f t="shared" si="24"/>
        <v>5000</v>
      </c>
      <c r="R75" s="20" t="str">
        <f t="shared" si="25"/>
        <v>待补指数收盘／历史基准；先列基础额</v>
      </c>
      <c r="S75" s="28"/>
    </row>
    <row r="76" spans="1:19" ht="28.5" customHeight="1">
      <c r="A76" s="25">
        <f>月度计划!A73</f>
        <v>48344</v>
      </c>
      <c r="B76" s="26"/>
      <c r="C76" s="22"/>
      <c r="D76" s="22"/>
      <c r="E76" s="21">
        <f t="shared" si="26"/>
        <v>7794.35</v>
      </c>
      <c r="F76" s="27" t="str">
        <f t="shared" si="18"/>
        <v/>
      </c>
      <c r="G76" s="21" t="str">
        <f t="shared" si="19"/>
        <v/>
      </c>
      <c r="H76" s="21">
        <f>MAX(0,$E$4-SUM($P$9:P75))</f>
        <v>5000</v>
      </c>
      <c r="I76" s="21">
        <f t="shared" si="20"/>
        <v>0</v>
      </c>
      <c r="J76" s="21">
        <f t="shared" si="21"/>
        <v>500</v>
      </c>
      <c r="K76" s="21">
        <f>J76*总览!$B$8</f>
        <v>450</v>
      </c>
      <c r="L76" s="21">
        <f>J76*总览!$B$9</f>
        <v>50</v>
      </c>
      <c r="M76" s="21">
        <f>SUMIFS(交易记录!$D$6:$D$605,交易记录!$A$6:$A$605,"&gt;="&amp;DATE(YEAR(A76),MONTH(A76),1),交易记录!$A$6:$A$605,"&lt;"&amp;DATE(YEAR(A76),MONTH(A76)+1,1),交易记录!$C$6:$C$605,"买入",交易记录!$P$6:$P$605,"&lt;&gt;分红再投",交易记录!$P$6:$P$605,"&lt;&gt;其他",交易记录!$B$6:$B$605,"VOO")+SUMIFS(交易记录!$D$6:$D$605,交易记录!$A$6:$A$605,"&gt;="&amp;DATE(YEAR(A76),MONTH(A76),1),交易记录!$A$6:$A$605,"&lt;"&amp;DATE(YEAR(A76),MONTH(A76)+1,1),交易记录!$C$6:$C$605,"买入",交易记录!$P$6:$P$605,"&lt;&gt;分红再投",交易记录!$P$6:$P$605,"&lt;&gt;其他",交易记录!$B$6:$B$605,"QQQM")+SUMIFS(交易记录!$E$6:$E$605,交易记录!$A$6:$A$605,"&gt;="&amp;DATE(YEAR(A76),MONTH(A76),1),交易记录!$A$6:$A$605,"&lt;"&amp;DATE(YEAR(A76),MONTH(A76)+1,1),交易记录!$C$6:$C$605,"买入",交易记录!$P$6:$P$605,"&lt;&gt;分红再投",交易记录!$P$6:$P$605,"&lt;&gt;其他",交易记录!$B$6:$B$605,"VOO")+SUMIFS(交易记录!$E$6:$E$605,交易记录!$A$6:$A$605,"&gt;="&amp;DATE(YEAR(A76),MONTH(A76),1),交易记录!$A$6:$A$605,"&lt;"&amp;DATE(YEAR(A76),MONTH(A76)+1,1),交易记录!$C$6:$C$605,"买入",交易记录!$P$6:$P$605,"&lt;&gt;分红再投",交易记录!$P$6:$P$605,"&lt;&gt;其他",交易记录!$B$6:$B$605,"QQQM")</f>
        <v>0</v>
      </c>
      <c r="N76" s="21">
        <f t="shared" si="22"/>
        <v>0</v>
      </c>
      <c r="O76" s="22"/>
      <c r="P76" s="21">
        <f t="shared" si="23"/>
        <v>0</v>
      </c>
      <c r="Q76" s="21">
        <f t="shared" si="24"/>
        <v>5000</v>
      </c>
      <c r="R76" s="20" t="str">
        <f t="shared" si="25"/>
        <v>待补指数收盘／历史基准；先列基础额</v>
      </c>
      <c r="S76" s="28"/>
    </row>
    <row r="77" spans="1:19" ht="28.5" customHeight="1">
      <c r="A77" s="25">
        <f>月度计划!A74</f>
        <v>48375</v>
      </c>
      <c r="B77" s="26"/>
      <c r="C77" s="22"/>
      <c r="D77" s="22"/>
      <c r="E77" s="21">
        <f t="shared" si="26"/>
        <v>7794.35</v>
      </c>
      <c r="F77" s="27" t="str">
        <f t="shared" si="18"/>
        <v/>
      </c>
      <c r="G77" s="21" t="str">
        <f t="shared" si="19"/>
        <v/>
      </c>
      <c r="H77" s="21">
        <f>MAX(0,$E$4-SUM($P$9:P76))</f>
        <v>5000</v>
      </c>
      <c r="I77" s="21">
        <f t="shared" si="20"/>
        <v>0</v>
      </c>
      <c r="J77" s="21">
        <f t="shared" si="21"/>
        <v>500</v>
      </c>
      <c r="K77" s="21">
        <f>J77*总览!$B$8</f>
        <v>450</v>
      </c>
      <c r="L77" s="21">
        <f>J77*总览!$B$9</f>
        <v>50</v>
      </c>
      <c r="M77" s="21">
        <f>SUMIFS(交易记录!$D$6:$D$605,交易记录!$A$6:$A$605,"&gt;="&amp;DATE(YEAR(A77),MONTH(A77),1),交易记录!$A$6:$A$605,"&lt;"&amp;DATE(YEAR(A77),MONTH(A77)+1,1),交易记录!$C$6:$C$605,"买入",交易记录!$P$6:$P$605,"&lt;&gt;分红再投",交易记录!$P$6:$P$605,"&lt;&gt;其他",交易记录!$B$6:$B$605,"VOO")+SUMIFS(交易记录!$D$6:$D$605,交易记录!$A$6:$A$605,"&gt;="&amp;DATE(YEAR(A77),MONTH(A77),1),交易记录!$A$6:$A$605,"&lt;"&amp;DATE(YEAR(A77),MONTH(A77)+1,1),交易记录!$C$6:$C$605,"买入",交易记录!$P$6:$P$605,"&lt;&gt;分红再投",交易记录!$P$6:$P$605,"&lt;&gt;其他",交易记录!$B$6:$B$605,"QQQM")+SUMIFS(交易记录!$E$6:$E$605,交易记录!$A$6:$A$605,"&gt;="&amp;DATE(YEAR(A77),MONTH(A77),1),交易记录!$A$6:$A$605,"&lt;"&amp;DATE(YEAR(A77),MONTH(A77)+1,1),交易记录!$C$6:$C$605,"买入",交易记录!$P$6:$P$605,"&lt;&gt;分红再投",交易记录!$P$6:$P$605,"&lt;&gt;其他",交易记录!$B$6:$B$605,"VOO")+SUMIFS(交易记录!$E$6:$E$605,交易记录!$A$6:$A$605,"&gt;="&amp;DATE(YEAR(A77),MONTH(A77),1),交易记录!$A$6:$A$605,"&lt;"&amp;DATE(YEAR(A77),MONTH(A77)+1,1),交易记录!$C$6:$C$605,"买入",交易记录!$P$6:$P$605,"&lt;&gt;分红再投",交易记录!$P$6:$P$605,"&lt;&gt;其他",交易记录!$B$6:$B$605,"QQQM")</f>
        <v>0</v>
      </c>
      <c r="N77" s="21">
        <f t="shared" si="22"/>
        <v>0</v>
      </c>
      <c r="O77" s="22"/>
      <c r="P77" s="21">
        <f t="shared" si="23"/>
        <v>0</v>
      </c>
      <c r="Q77" s="21">
        <f t="shared" si="24"/>
        <v>5000</v>
      </c>
      <c r="R77" s="20" t="str">
        <f t="shared" si="25"/>
        <v>待补指数收盘／历史基准；先列基础额</v>
      </c>
      <c r="S77" s="28"/>
    </row>
    <row r="78" spans="1:19" ht="28.5" customHeight="1">
      <c r="A78" s="25">
        <f>月度计划!A75</f>
        <v>48405</v>
      </c>
      <c r="B78" s="26"/>
      <c r="C78" s="22"/>
      <c r="D78" s="22"/>
      <c r="E78" s="21">
        <f t="shared" si="26"/>
        <v>7794.35</v>
      </c>
      <c r="F78" s="27" t="str">
        <f t="shared" si="18"/>
        <v/>
      </c>
      <c r="G78" s="21" t="str">
        <f t="shared" si="19"/>
        <v/>
      </c>
      <c r="H78" s="21">
        <f>MAX(0,$E$4-SUM($P$9:P77))</f>
        <v>5000</v>
      </c>
      <c r="I78" s="21">
        <f t="shared" si="20"/>
        <v>0</v>
      </c>
      <c r="J78" s="21">
        <f t="shared" si="21"/>
        <v>500</v>
      </c>
      <c r="K78" s="21">
        <f>J78*总览!$B$8</f>
        <v>450</v>
      </c>
      <c r="L78" s="21">
        <f>J78*总览!$B$9</f>
        <v>50</v>
      </c>
      <c r="M78" s="21">
        <f>SUMIFS(交易记录!$D$6:$D$605,交易记录!$A$6:$A$605,"&gt;="&amp;DATE(YEAR(A78),MONTH(A78),1),交易记录!$A$6:$A$605,"&lt;"&amp;DATE(YEAR(A78),MONTH(A78)+1,1),交易记录!$C$6:$C$605,"买入",交易记录!$P$6:$P$605,"&lt;&gt;分红再投",交易记录!$P$6:$P$605,"&lt;&gt;其他",交易记录!$B$6:$B$605,"VOO")+SUMIFS(交易记录!$D$6:$D$605,交易记录!$A$6:$A$605,"&gt;="&amp;DATE(YEAR(A78),MONTH(A78),1),交易记录!$A$6:$A$605,"&lt;"&amp;DATE(YEAR(A78),MONTH(A78)+1,1),交易记录!$C$6:$C$605,"买入",交易记录!$P$6:$P$605,"&lt;&gt;分红再投",交易记录!$P$6:$P$605,"&lt;&gt;其他",交易记录!$B$6:$B$605,"QQQM")+SUMIFS(交易记录!$E$6:$E$605,交易记录!$A$6:$A$605,"&gt;="&amp;DATE(YEAR(A78),MONTH(A78),1),交易记录!$A$6:$A$605,"&lt;"&amp;DATE(YEAR(A78),MONTH(A78)+1,1),交易记录!$C$6:$C$605,"买入",交易记录!$P$6:$P$605,"&lt;&gt;分红再投",交易记录!$P$6:$P$605,"&lt;&gt;其他",交易记录!$B$6:$B$605,"VOO")+SUMIFS(交易记录!$E$6:$E$605,交易记录!$A$6:$A$605,"&gt;="&amp;DATE(YEAR(A78),MONTH(A78),1),交易记录!$A$6:$A$605,"&lt;"&amp;DATE(YEAR(A78),MONTH(A78)+1,1),交易记录!$C$6:$C$605,"买入",交易记录!$P$6:$P$605,"&lt;&gt;分红再投",交易记录!$P$6:$P$605,"&lt;&gt;其他",交易记录!$B$6:$B$605,"QQQM")</f>
        <v>0</v>
      </c>
      <c r="N78" s="21">
        <f t="shared" si="22"/>
        <v>0</v>
      </c>
      <c r="O78" s="22"/>
      <c r="P78" s="21">
        <f t="shared" si="23"/>
        <v>0</v>
      </c>
      <c r="Q78" s="21">
        <f t="shared" si="24"/>
        <v>5000</v>
      </c>
      <c r="R78" s="20" t="str">
        <f t="shared" si="25"/>
        <v>待补指数收盘／历史基准；先列基础额</v>
      </c>
      <c r="S78" s="28"/>
    </row>
    <row r="79" spans="1:19" ht="28.5" customHeight="1">
      <c r="A79" s="25">
        <f>月度计划!A76</f>
        <v>48436</v>
      </c>
      <c r="B79" s="26"/>
      <c r="C79" s="22"/>
      <c r="D79" s="22"/>
      <c r="E79" s="21">
        <f t="shared" si="26"/>
        <v>7794.35</v>
      </c>
      <c r="F79" s="27" t="str">
        <f t="shared" si="18"/>
        <v/>
      </c>
      <c r="G79" s="21" t="str">
        <f t="shared" si="19"/>
        <v/>
      </c>
      <c r="H79" s="21">
        <f>MAX(0,$E$4-SUM($P$9:P78))</f>
        <v>5000</v>
      </c>
      <c r="I79" s="21">
        <f t="shared" si="20"/>
        <v>0</v>
      </c>
      <c r="J79" s="21">
        <f t="shared" si="21"/>
        <v>500</v>
      </c>
      <c r="K79" s="21">
        <f>J79*总览!$B$8</f>
        <v>450</v>
      </c>
      <c r="L79" s="21">
        <f>J79*总览!$B$9</f>
        <v>50</v>
      </c>
      <c r="M79" s="21">
        <f>SUMIFS(交易记录!$D$6:$D$605,交易记录!$A$6:$A$605,"&gt;="&amp;DATE(YEAR(A79),MONTH(A79),1),交易记录!$A$6:$A$605,"&lt;"&amp;DATE(YEAR(A79),MONTH(A79)+1,1),交易记录!$C$6:$C$605,"买入",交易记录!$P$6:$P$605,"&lt;&gt;分红再投",交易记录!$P$6:$P$605,"&lt;&gt;其他",交易记录!$B$6:$B$605,"VOO")+SUMIFS(交易记录!$D$6:$D$605,交易记录!$A$6:$A$605,"&gt;="&amp;DATE(YEAR(A79),MONTH(A79),1),交易记录!$A$6:$A$605,"&lt;"&amp;DATE(YEAR(A79),MONTH(A79)+1,1),交易记录!$C$6:$C$605,"买入",交易记录!$P$6:$P$605,"&lt;&gt;分红再投",交易记录!$P$6:$P$605,"&lt;&gt;其他",交易记录!$B$6:$B$605,"QQQM")+SUMIFS(交易记录!$E$6:$E$605,交易记录!$A$6:$A$605,"&gt;="&amp;DATE(YEAR(A79),MONTH(A79),1),交易记录!$A$6:$A$605,"&lt;"&amp;DATE(YEAR(A79),MONTH(A79)+1,1),交易记录!$C$6:$C$605,"买入",交易记录!$P$6:$P$605,"&lt;&gt;分红再投",交易记录!$P$6:$P$605,"&lt;&gt;其他",交易记录!$B$6:$B$605,"VOO")+SUMIFS(交易记录!$E$6:$E$605,交易记录!$A$6:$A$605,"&gt;="&amp;DATE(YEAR(A79),MONTH(A79),1),交易记录!$A$6:$A$605,"&lt;"&amp;DATE(YEAR(A79),MONTH(A79)+1,1),交易记录!$C$6:$C$605,"买入",交易记录!$P$6:$P$605,"&lt;&gt;分红再投",交易记录!$P$6:$P$605,"&lt;&gt;其他",交易记录!$B$6:$B$605,"QQQM")</f>
        <v>0</v>
      </c>
      <c r="N79" s="21">
        <f t="shared" si="22"/>
        <v>0</v>
      </c>
      <c r="O79" s="22"/>
      <c r="P79" s="21">
        <f t="shared" si="23"/>
        <v>0</v>
      </c>
      <c r="Q79" s="21">
        <f t="shared" si="24"/>
        <v>5000</v>
      </c>
      <c r="R79" s="20" t="str">
        <f t="shared" si="25"/>
        <v>待补指数收盘／历史基准；先列基础额</v>
      </c>
      <c r="S79" s="28"/>
    </row>
    <row r="80" spans="1:19" ht="28.5" customHeight="1">
      <c r="A80" s="25">
        <f>月度计划!A77</f>
        <v>48467</v>
      </c>
      <c r="B80" s="26"/>
      <c r="C80" s="22"/>
      <c r="D80" s="22"/>
      <c r="E80" s="21">
        <f t="shared" si="26"/>
        <v>7794.35</v>
      </c>
      <c r="F80" s="27" t="str">
        <f t="shared" si="18"/>
        <v/>
      </c>
      <c r="G80" s="21" t="str">
        <f t="shared" si="19"/>
        <v/>
      </c>
      <c r="H80" s="21">
        <f>MAX(0,$E$4-SUM($P$9:P79))</f>
        <v>5000</v>
      </c>
      <c r="I80" s="21">
        <f t="shared" si="20"/>
        <v>0</v>
      </c>
      <c r="J80" s="21">
        <f t="shared" si="21"/>
        <v>500</v>
      </c>
      <c r="K80" s="21">
        <f>J80*总览!$B$8</f>
        <v>450</v>
      </c>
      <c r="L80" s="21">
        <f>J80*总览!$B$9</f>
        <v>50</v>
      </c>
      <c r="M80" s="21">
        <f>SUMIFS(交易记录!$D$6:$D$605,交易记录!$A$6:$A$605,"&gt;="&amp;DATE(YEAR(A80),MONTH(A80),1),交易记录!$A$6:$A$605,"&lt;"&amp;DATE(YEAR(A80),MONTH(A80)+1,1),交易记录!$C$6:$C$605,"买入",交易记录!$P$6:$P$605,"&lt;&gt;分红再投",交易记录!$P$6:$P$605,"&lt;&gt;其他",交易记录!$B$6:$B$605,"VOO")+SUMIFS(交易记录!$D$6:$D$605,交易记录!$A$6:$A$605,"&gt;="&amp;DATE(YEAR(A80),MONTH(A80),1),交易记录!$A$6:$A$605,"&lt;"&amp;DATE(YEAR(A80),MONTH(A80)+1,1),交易记录!$C$6:$C$605,"买入",交易记录!$P$6:$P$605,"&lt;&gt;分红再投",交易记录!$P$6:$P$605,"&lt;&gt;其他",交易记录!$B$6:$B$605,"QQQM")+SUMIFS(交易记录!$E$6:$E$605,交易记录!$A$6:$A$605,"&gt;="&amp;DATE(YEAR(A80),MONTH(A80),1),交易记录!$A$6:$A$605,"&lt;"&amp;DATE(YEAR(A80),MONTH(A80)+1,1),交易记录!$C$6:$C$605,"买入",交易记录!$P$6:$P$605,"&lt;&gt;分红再投",交易记录!$P$6:$P$605,"&lt;&gt;其他",交易记录!$B$6:$B$605,"VOO")+SUMIFS(交易记录!$E$6:$E$605,交易记录!$A$6:$A$605,"&gt;="&amp;DATE(YEAR(A80),MONTH(A80),1),交易记录!$A$6:$A$605,"&lt;"&amp;DATE(YEAR(A80),MONTH(A80)+1,1),交易记录!$C$6:$C$605,"买入",交易记录!$P$6:$P$605,"&lt;&gt;分红再投",交易记录!$P$6:$P$605,"&lt;&gt;其他",交易记录!$B$6:$B$605,"QQQM")</f>
        <v>0</v>
      </c>
      <c r="N80" s="21">
        <f t="shared" si="22"/>
        <v>0</v>
      </c>
      <c r="O80" s="22"/>
      <c r="P80" s="21">
        <f t="shared" si="23"/>
        <v>0</v>
      </c>
      <c r="Q80" s="21">
        <f t="shared" si="24"/>
        <v>5000</v>
      </c>
      <c r="R80" s="20" t="str">
        <f t="shared" si="25"/>
        <v>待补指数收盘／历史基准；先列基础额</v>
      </c>
      <c r="S80" s="28"/>
    </row>
    <row r="81" spans="1:19" ht="28.5" customHeight="1">
      <c r="A81" s="25">
        <f>月度计划!A78</f>
        <v>48497</v>
      </c>
      <c r="B81" s="26"/>
      <c r="C81" s="22"/>
      <c r="D81" s="22"/>
      <c r="E81" s="21">
        <f t="shared" si="26"/>
        <v>7794.35</v>
      </c>
      <c r="F81" s="27" t="str">
        <f t="shared" si="18"/>
        <v/>
      </c>
      <c r="G81" s="21" t="str">
        <f t="shared" si="19"/>
        <v/>
      </c>
      <c r="H81" s="21">
        <f>MAX(0,$E$4-SUM($P$9:P80))</f>
        <v>5000</v>
      </c>
      <c r="I81" s="21">
        <f t="shared" si="20"/>
        <v>0</v>
      </c>
      <c r="J81" s="21">
        <f t="shared" si="21"/>
        <v>500</v>
      </c>
      <c r="K81" s="21">
        <f>J81*总览!$B$8</f>
        <v>450</v>
      </c>
      <c r="L81" s="21">
        <f>J81*总览!$B$9</f>
        <v>50</v>
      </c>
      <c r="M81" s="21">
        <f>SUMIFS(交易记录!$D$6:$D$605,交易记录!$A$6:$A$605,"&gt;="&amp;DATE(YEAR(A81),MONTH(A81),1),交易记录!$A$6:$A$605,"&lt;"&amp;DATE(YEAR(A81),MONTH(A81)+1,1),交易记录!$C$6:$C$605,"买入",交易记录!$P$6:$P$605,"&lt;&gt;分红再投",交易记录!$P$6:$P$605,"&lt;&gt;其他",交易记录!$B$6:$B$605,"VOO")+SUMIFS(交易记录!$D$6:$D$605,交易记录!$A$6:$A$605,"&gt;="&amp;DATE(YEAR(A81),MONTH(A81),1),交易记录!$A$6:$A$605,"&lt;"&amp;DATE(YEAR(A81),MONTH(A81)+1,1),交易记录!$C$6:$C$605,"买入",交易记录!$P$6:$P$605,"&lt;&gt;分红再投",交易记录!$P$6:$P$605,"&lt;&gt;其他",交易记录!$B$6:$B$605,"QQQM")+SUMIFS(交易记录!$E$6:$E$605,交易记录!$A$6:$A$605,"&gt;="&amp;DATE(YEAR(A81),MONTH(A81),1),交易记录!$A$6:$A$605,"&lt;"&amp;DATE(YEAR(A81),MONTH(A81)+1,1),交易记录!$C$6:$C$605,"买入",交易记录!$P$6:$P$605,"&lt;&gt;分红再投",交易记录!$P$6:$P$605,"&lt;&gt;其他",交易记录!$B$6:$B$605,"VOO")+SUMIFS(交易记录!$E$6:$E$605,交易记录!$A$6:$A$605,"&gt;="&amp;DATE(YEAR(A81),MONTH(A81),1),交易记录!$A$6:$A$605,"&lt;"&amp;DATE(YEAR(A81),MONTH(A81)+1,1),交易记录!$C$6:$C$605,"买入",交易记录!$P$6:$P$605,"&lt;&gt;分红再投",交易记录!$P$6:$P$605,"&lt;&gt;其他",交易记录!$B$6:$B$605,"QQQM")</f>
        <v>0</v>
      </c>
      <c r="N81" s="21">
        <f t="shared" si="22"/>
        <v>0</v>
      </c>
      <c r="O81" s="22"/>
      <c r="P81" s="21">
        <f t="shared" si="23"/>
        <v>0</v>
      </c>
      <c r="Q81" s="21">
        <f t="shared" si="24"/>
        <v>5000</v>
      </c>
      <c r="R81" s="20" t="str">
        <f t="shared" si="25"/>
        <v>待补指数收盘／历史基准；先列基础额</v>
      </c>
      <c r="S81" s="28"/>
    </row>
    <row r="82" spans="1:19" ht="28.5" customHeight="1">
      <c r="A82" s="25">
        <f>月度计划!A79</f>
        <v>48528</v>
      </c>
      <c r="B82" s="26"/>
      <c r="C82" s="22"/>
      <c r="D82" s="22"/>
      <c r="E82" s="21">
        <f t="shared" si="26"/>
        <v>7794.35</v>
      </c>
      <c r="F82" s="27" t="str">
        <f t="shared" si="18"/>
        <v/>
      </c>
      <c r="G82" s="21" t="str">
        <f t="shared" si="19"/>
        <v/>
      </c>
      <c r="H82" s="21">
        <f>MAX(0,$E$4-SUM($P$9:P81))</f>
        <v>5000</v>
      </c>
      <c r="I82" s="21">
        <f t="shared" si="20"/>
        <v>0</v>
      </c>
      <c r="J82" s="21">
        <f t="shared" si="21"/>
        <v>500</v>
      </c>
      <c r="K82" s="21">
        <f>J82*总览!$B$8</f>
        <v>450</v>
      </c>
      <c r="L82" s="21">
        <f>J82*总览!$B$9</f>
        <v>50</v>
      </c>
      <c r="M82" s="21">
        <f>SUMIFS(交易记录!$D$6:$D$605,交易记录!$A$6:$A$605,"&gt;="&amp;DATE(YEAR(A82),MONTH(A82),1),交易记录!$A$6:$A$605,"&lt;"&amp;DATE(YEAR(A82),MONTH(A82)+1,1),交易记录!$C$6:$C$605,"买入",交易记录!$P$6:$P$605,"&lt;&gt;分红再投",交易记录!$P$6:$P$605,"&lt;&gt;其他",交易记录!$B$6:$B$605,"VOO")+SUMIFS(交易记录!$D$6:$D$605,交易记录!$A$6:$A$605,"&gt;="&amp;DATE(YEAR(A82),MONTH(A82),1),交易记录!$A$6:$A$605,"&lt;"&amp;DATE(YEAR(A82),MONTH(A82)+1,1),交易记录!$C$6:$C$605,"买入",交易记录!$P$6:$P$605,"&lt;&gt;分红再投",交易记录!$P$6:$P$605,"&lt;&gt;其他",交易记录!$B$6:$B$605,"QQQM")+SUMIFS(交易记录!$E$6:$E$605,交易记录!$A$6:$A$605,"&gt;="&amp;DATE(YEAR(A82),MONTH(A82),1),交易记录!$A$6:$A$605,"&lt;"&amp;DATE(YEAR(A82),MONTH(A82)+1,1),交易记录!$C$6:$C$605,"买入",交易记录!$P$6:$P$605,"&lt;&gt;分红再投",交易记录!$P$6:$P$605,"&lt;&gt;其他",交易记录!$B$6:$B$605,"VOO")+SUMIFS(交易记录!$E$6:$E$605,交易记录!$A$6:$A$605,"&gt;="&amp;DATE(YEAR(A82),MONTH(A82),1),交易记录!$A$6:$A$605,"&lt;"&amp;DATE(YEAR(A82),MONTH(A82)+1,1),交易记录!$C$6:$C$605,"买入",交易记录!$P$6:$P$605,"&lt;&gt;分红再投",交易记录!$P$6:$P$605,"&lt;&gt;其他",交易记录!$B$6:$B$605,"QQQM")</f>
        <v>0</v>
      </c>
      <c r="N82" s="21">
        <f t="shared" si="22"/>
        <v>0</v>
      </c>
      <c r="O82" s="22"/>
      <c r="P82" s="21">
        <f t="shared" si="23"/>
        <v>0</v>
      </c>
      <c r="Q82" s="21">
        <f t="shared" si="24"/>
        <v>5000</v>
      </c>
      <c r="R82" s="20" t="str">
        <f t="shared" si="25"/>
        <v>待补指数收盘／历史基准；先列基础额</v>
      </c>
      <c r="S82" s="28"/>
    </row>
    <row r="83" spans="1:19" ht="28.5" customHeight="1">
      <c r="A83" s="25">
        <f>月度计划!A80</f>
        <v>48558</v>
      </c>
      <c r="B83" s="26"/>
      <c r="C83" s="22"/>
      <c r="D83" s="22"/>
      <c r="E83" s="21">
        <f t="shared" si="26"/>
        <v>7794.35</v>
      </c>
      <c r="F83" s="27" t="str">
        <f t="shared" si="18"/>
        <v/>
      </c>
      <c r="G83" s="21" t="str">
        <f t="shared" si="19"/>
        <v/>
      </c>
      <c r="H83" s="21">
        <f>MAX(0,$E$4-SUM($P$9:P82))</f>
        <v>5000</v>
      </c>
      <c r="I83" s="21">
        <f t="shared" si="20"/>
        <v>0</v>
      </c>
      <c r="J83" s="21">
        <f t="shared" si="21"/>
        <v>500</v>
      </c>
      <c r="K83" s="21">
        <f>J83*总览!$B$8</f>
        <v>450</v>
      </c>
      <c r="L83" s="21">
        <f>J83*总览!$B$9</f>
        <v>50</v>
      </c>
      <c r="M83" s="21">
        <f>SUMIFS(交易记录!$D$6:$D$605,交易记录!$A$6:$A$605,"&gt;="&amp;DATE(YEAR(A83),MONTH(A83),1),交易记录!$A$6:$A$605,"&lt;"&amp;DATE(YEAR(A83),MONTH(A83)+1,1),交易记录!$C$6:$C$605,"买入",交易记录!$P$6:$P$605,"&lt;&gt;分红再投",交易记录!$P$6:$P$605,"&lt;&gt;其他",交易记录!$B$6:$B$605,"VOO")+SUMIFS(交易记录!$D$6:$D$605,交易记录!$A$6:$A$605,"&gt;="&amp;DATE(YEAR(A83),MONTH(A83),1),交易记录!$A$6:$A$605,"&lt;"&amp;DATE(YEAR(A83),MONTH(A83)+1,1),交易记录!$C$6:$C$605,"买入",交易记录!$P$6:$P$605,"&lt;&gt;分红再投",交易记录!$P$6:$P$605,"&lt;&gt;其他",交易记录!$B$6:$B$605,"QQQM")+SUMIFS(交易记录!$E$6:$E$605,交易记录!$A$6:$A$605,"&gt;="&amp;DATE(YEAR(A83),MONTH(A83),1),交易记录!$A$6:$A$605,"&lt;"&amp;DATE(YEAR(A83),MONTH(A83)+1,1),交易记录!$C$6:$C$605,"买入",交易记录!$P$6:$P$605,"&lt;&gt;分红再投",交易记录!$P$6:$P$605,"&lt;&gt;其他",交易记录!$B$6:$B$605,"VOO")+SUMIFS(交易记录!$E$6:$E$605,交易记录!$A$6:$A$605,"&gt;="&amp;DATE(YEAR(A83),MONTH(A83),1),交易记录!$A$6:$A$605,"&lt;"&amp;DATE(YEAR(A83),MONTH(A83)+1,1),交易记录!$C$6:$C$605,"买入",交易记录!$P$6:$P$605,"&lt;&gt;分红再投",交易记录!$P$6:$P$605,"&lt;&gt;其他",交易记录!$B$6:$B$605,"QQQM")</f>
        <v>0</v>
      </c>
      <c r="N83" s="21">
        <f t="shared" si="22"/>
        <v>0</v>
      </c>
      <c r="O83" s="22"/>
      <c r="P83" s="21">
        <f t="shared" si="23"/>
        <v>0</v>
      </c>
      <c r="Q83" s="21">
        <f t="shared" si="24"/>
        <v>5000</v>
      </c>
      <c r="R83" s="20" t="str">
        <f t="shared" si="25"/>
        <v>待补指数收盘／历史基准；先列基础额</v>
      </c>
      <c r="S83" s="28"/>
    </row>
    <row r="84" spans="1:19" ht="28.5" customHeight="1">
      <c r="A84" s="25">
        <f>月度计划!A81</f>
        <v>48589</v>
      </c>
      <c r="B84" s="26"/>
      <c r="C84" s="22"/>
      <c r="D84" s="22"/>
      <c r="E84" s="21">
        <f t="shared" si="26"/>
        <v>7794.35</v>
      </c>
      <c r="F84" s="27" t="str">
        <f t="shared" si="18"/>
        <v/>
      </c>
      <c r="G84" s="21" t="str">
        <f t="shared" si="19"/>
        <v/>
      </c>
      <c r="H84" s="21">
        <f>MAX(0,$E$4-SUM($P$9:P83))</f>
        <v>5000</v>
      </c>
      <c r="I84" s="21">
        <f t="shared" si="20"/>
        <v>0</v>
      </c>
      <c r="J84" s="21">
        <f t="shared" si="21"/>
        <v>500</v>
      </c>
      <c r="K84" s="21">
        <f>J84*总览!$B$8</f>
        <v>450</v>
      </c>
      <c r="L84" s="21">
        <f>J84*总览!$B$9</f>
        <v>50</v>
      </c>
      <c r="M84" s="21">
        <f>SUMIFS(交易记录!$D$6:$D$605,交易记录!$A$6:$A$605,"&gt;="&amp;DATE(YEAR(A84),MONTH(A84),1),交易记录!$A$6:$A$605,"&lt;"&amp;DATE(YEAR(A84),MONTH(A84)+1,1),交易记录!$C$6:$C$605,"买入",交易记录!$P$6:$P$605,"&lt;&gt;分红再投",交易记录!$P$6:$P$605,"&lt;&gt;其他",交易记录!$B$6:$B$605,"VOO")+SUMIFS(交易记录!$D$6:$D$605,交易记录!$A$6:$A$605,"&gt;="&amp;DATE(YEAR(A84),MONTH(A84),1),交易记录!$A$6:$A$605,"&lt;"&amp;DATE(YEAR(A84),MONTH(A84)+1,1),交易记录!$C$6:$C$605,"买入",交易记录!$P$6:$P$605,"&lt;&gt;分红再投",交易记录!$P$6:$P$605,"&lt;&gt;其他",交易记录!$B$6:$B$605,"QQQM")+SUMIFS(交易记录!$E$6:$E$605,交易记录!$A$6:$A$605,"&gt;="&amp;DATE(YEAR(A84),MONTH(A84),1),交易记录!$A$6:$A$605,"&lt;"&amp;DATE(YEAR(A84),MONTH(A84)+1,1),交易记录!$C$6:$C$605,"买入",交易记录!$P$6:$P$605,"&lt;&gt;分红再投",交易记录!$P$6:$P$605,"&lt;&gt;其他",交易记录!$B$6:$B$605,"VOO")+SUMIFS(交易记录!$E$6:$E$605,交易记录!$A$6:$A$605,"&gt;="&amp;DATE(YEAR(A84),MONTH(A84),1),交易记录!$A$6:$A$605,"&lt;"&amp;DATE(YEAR(A84),MONTH(A84)+1,1),交易记录!$C$6:$C$605,"买入",交易记录!$P$6:$P$605,"&lt;&gt;分红再投",交易记录!$P$6:$P$605,"&lt;&gt;其他",交易记录!$B$6:$B$605,"QQQM")</f>
        <v>0</v>
      </c>
      <c r="N84" s="21">
        <f t="shared" si="22"/>
        <v>0</v>
      </c>
      <c r="O84" s="22"/>
      <c r="P84" s="21">
        <f t="shared" si="23"/>
        <v>0</v>
      </c>
      <c r="Q84" s="21">
        <f t="shared" si="24"/>
        <v>5000</v>
      </c>
      <c r="R84" s="20" t="str">
        <f t="shared" si="25"/>
        <v>待补指数收盘／历史基准；先列基础额</v>
      </c>
      <c r="S84" s="28"/>
    </row>
    <row r="85" spans="1:19" ht="28.5" customHeight="1">
      <c r="A85" s="25">
        <f>月度计划!A82</f>
        <v>48620</v>
      </c>
      <c r="B85" s="26"/>
      <c r="C85" s="22"/>
      <c r="D85" s="22"/>
      <c r="E85" s="21">
        <f t="shared" si="26"/>
        <v>7794.35</v>
      </c>
      <c r="F85" s="27" t="str">
        <f t="shared" si="18"/>
        <v/>
      </c>
      <c r="G85" s="21" t="str">
        <f t="shared" si="19"/>
        <v/>
      </c>
      <c r="H85" s="21">
        <f>MAX(0,$E$4-SUM($P$9:P84))</f>
        <v>5000</v>
      </c>
      <c r="I85" s="21">
        <f t="shared" si="20"/>
        <v>0</v>
      </c>
      <c r="J85" s="21">
        <f t="shared" si="21"/>
        <v>500</v>
      </c>
      <c r="K85" s="21">
        <f>J85*总览!$B$8</f>
        <v>450</v>
      </c>
      <c r="L85" s="21">
        <f>J85*总览!$B$9</f>
        <v>50</v>
      </c>
      <c r="M85" s="21">
        <f>SUMIFS(交易记录!$D$6:$D$605,交易记录!$A$6:$A$605,"&gt;="&amp;DATE(YEAR(A85),MONTH(A85),1),交易记录!$A$6:$A$605,"&lt;"&amp;DATE(YEAR(A85),MONTH(A85)+1,1),交易记录!$C$6:$C$605,"买入",交易记录!$P$6:$P$605,"&lt;&gt;分红再投",交易记录!$P$6:$P$605,"&lt;&gt;其他",交易记录!$B$6:$B$605,"VOO")+SUMIFS(交易记录!$D$6:$D$605,交易记录!$A$6:$A$605,"&gt;="&amp;DATE(YEAR(A85),MONTH(A85),1),交易记录!$A$6:$A$605,"&lt;"&amp;DATE(YEAR(A85),MONTH(A85)+1,1),交易记录!$C$6:$C$605,"买入",交易记录!$P$6:$P$605,"&lt;&gt;分红再投",交易记录!$P$6:$P$605,"&lt;&gt;其他",交易记录!$B$6:$B$605,"QQQM")+SUMIFS(交易记录!$E$6:$E$605,交易记录!$A$6:$A$605,"&gt;="&amp;DATE(YEAR(A85),MONTH(A85),1),交易记录!$A$6:$A$605,"&lt;"&amp;DATE(YEAR(A85),MONTH(A85)+1,1),交易记录!$C$6:$C$605,"买入",交易记录!$P$6:$P$605,"&lt;&gt;分红再投",交易记录!$P$6:$P$605,"&lt;&gt;其他",交易记录!$B$6:$B$605,"VOO")+SUMIFS(交易记录!$E$6:$E$605,交易记录!$A$6:$A$605,"&gt;="&amp;DATE(YEAR(A85),MONTH(A85),1),交易记录!$A$6:$A$605,"&lt;"&amp;DATE(YEAR(A85),MONTH(A85)+1,1),交易记录!$C$6:$C$605,"买入",交易记录!$P$6:$P$605,"&lt;&gt;分红再投",交易记录!$P$6:$P$605,"&lt;&gt;其他",交易记录!$B$6:$B$605,"QQQM")</f>
        <v>0</v>
      </c>
      <c r="N85" s="21">
        <f t="shared" si="22"/>
        <v>0</v>
      </c>
      <c r="O85" s="22"/>
      <c r="P85" s="21">
        <f t="shared" si="23"/>
        <v>0</v>
      </c>
      <c r="Q85" s="21">
        <f t="shared" si="24"/>
        <v>5000</v>
      </c>
      <c r="R85" s="20" t="str">
        <f t="shared" si="25"/>
        <v>待补指数收盘／历史基准；先列基础额</v>
      </c>
      <c r="S85" s="28"/>
    </row>
    <row r="86" spans="1:19" ht="28.5" customHeight="1">
      <c r="A86" s="25">
        <f>月度计划!A83</f>
        <v>48648</v>
      </c>
      <c r="B86" s="26"/>
      <c r="C86" s="22"/>
      <c r="D86" s="22"/>
      <c r="E86" s="21">
        <f t="shared" si="26"/>
        <v>7794.35</v>
      </c>
      <c r="F86" s="27" t="str">
        <f t="shared" si="18"/>
        <v/>
      </c>
      <c r="G86" s="21" t="str">
        <f t="shared" si="19"/>
        <v/>
      </c>
      <c r="H86" s="21">
        <f>MAX(0,$E$4-SUM($P$9:P85))</f>
        <v>5000</v>
      </c>
      <c r="I86" s="21">
        <f t="shared" si="20"/>
        <v>0</v>
      </c>
      <c r="J86" s="21">
        <f t="shared" si="21"/>
        <v>500</v>
      </c>
      <c r="K86" s="21">
        <f>J86*总览!$B$8</f>
        <v>450</v>
      </c>
      <c r="L86" s="21">
        <f>J86*总览!$B$9</f>
        <v>50</v>
      </c>
      <c r="M86" s="21">
        <f>SUMIFS(交易记录!$D$6:$D$605,交易记录!$A$6:$A$605,"&gt;="&amp;DATE(YEAR(A86),MONTH(A86),1),交易记录!$A$6:$A$605,"&lt;"&amp;DATE(YEAR(A86),MONTH(A86)+1,1),交易记录!$C$6:$C$605,"买入",交易记录!$P$6:$P$605,"&lt;&gt;分红再投",交易记录!$P$6:$P$605,"&lt;&gt;其他",交易记录!$B$6:$B$605,"VOO")+SUMIFS(交易记录!$D$6:$D$605,交易记录!$A$6:$A$605,"&gt;="&amp;DATE(YEAR(A86),MONTH(A86),1),交易记录!$A$6:$A$605,"&lt;"&amp;DATE(YEAR(A86),MONTH(A86)+1,1),交易记录!$C$6:$C$605,"买入",交易记录!$P$6:$P$605,"&lt;&gt;分红再投",交易记录!$P$6:$P$605,"&lt;&gt;其他",交易记录!$B$6:$B$605,"QQQM")+SUMIFS(交易记录!$E$6:$E$605,交易记录!$A$6:$A$605,"&gt;="&amp;DATE(YEAR(A86),MONTH(A86),1),交易记录!$A$6:$A$605,"&lt;"&amp;DATE(YEAR(A86),MONTH(A86)+1,1),交易记录!$C$6:$C$605,"买入",交易记录!$P$6:$P$605,"&lt;&gt;分红再投",交易记录!$P$6:$P$605,"&lt;&gt;其他",交易记录!$B$6:$B$605,"VOO")+SUMIFS(交易记录!$E$6:$E$605,交易记录!$A$6:$A$605,"&gt;="&amp;DATE(YEAR(A86),MONTH(A86),1),交易记录!$A$6:$A$605,"&lt;"&amp;DATE(YEAR(A86),MONTH(A86)+1,1),交易记录!$C$6:$C$605,"买入",交易记录!$P$6:$P$605,"&lt;&gt;分红再投",交易记录!$P$6:$P$605,"&lt;&gt;其他",交易记录!$B$6:$B$605,"QQQM")</f>
        <v>0</v>
      </c>
      <c r="N86" s="21">
        <f t="shared" si="22"/>
        <v>0</v>
      </c>
      <c r="O86" s="22"/>
      <c r="P86" s="21">
        <f t="shared" si="23"/>
        <v>0</v>
      </c>
      <c r="Q86" s="21">
        <f t="shared" si="24"/>
        <v>5000</v>
      </c>
      <c r="R86" s="20" t="str">
        <f t="shared" si="25"/>
        <v>待补指数收盘／历史基准；先列基础额</v>
      </c>
      <c r="S86" s="28"/>
    </row>
    <row r="87" spans="1:19" ht="28.5" customHeight="1">
      <c r="A87" s="25">
        <f>月度计划!A84</f>
        <v>48679</v>
      </c>
      <c r="B87" s="26"/>
      <c r="C87" s="22"/>
      <c r="D87" s="22"/>
      <c r="E87" s="21">
        <f t="shared" si="26"/>
        <v>7794.35</v>
      </c>
      <c r="F87" s="27" t="str">
        <f t="shared" si="18"/>
        <v/>
      </c>
      <c r="G87" s="21" t="str">
        <f t="shared" si="19"/>
        <v/>
      </c>
      <c r="H87" s="21">
        <f>MAX(0,$E$4-SUM($P$9:P86))</f>
        <v>5000</v>
      </c>
      <c r="I87" s="21">
        <f t="shared" si="20"/>
        <v>0</v>
      </c>
      <c r="J87" s="21">
        <f t="shared" si="21"/>
        <v>500</v>
      </c>
      <c r="K87" s="21">
        <f>J87*总览!$B$8</f>
        <v>450</v>
      </c>
      <c r="L87" s="21">
        <f>J87*总览!$B$9</f>
        <v>50</v>
      </c>
      <c r="M87" s="21">
        <f>SUMIFS(交易记录!$D$6:$D$605,交易记录!$A$6:$A$605,"&gt;="&amp;DATE(YEAR(A87),MONTH(A87),1),交易记录!$A$6:$A$605,"&lt;"&amp;DATE(YEAR(A87),MONTH(A87)+1,1),交易记录!$C$6:$C$605,"买入",交易记录!$P$6:$P$605,"&lt;&gt;分红再投",交易记录!$P$6:$P$605,"&lt;&gt;其他",交易记录!$B$6:$B$605,"VOO")+SUMIFS(交易记录!$D$6:$D$605,交易记录!$A$6:$A$605,"&gt;="&amp;DATE(YEAR(A87),MONTH(A87),1),交易记录!$A$6:$A$605,"&lt;"&amp;DATE(YEAR(A87),MONTH(A87)+1,1),交易记录!$C$6:$C$605,"买入",交易记录!$P$6:$P$605,"&lt;&gt;分红再投",交易记录!$P$6:$P$605,"&lt;&gt;其他",交易记录!$B$6:$B$605,"QQQM")+SUMIFS(交易记录!$E$6:$E$605,交易记录!$A$6:$A$605,"&gt;="&amp;DATE(YEAR(A87),MONTH(A87),1),交易记录!$A$6:$A$605,"&lt;"&amp;DATE(YEAR(A87),MONTH(A87)+1,1),交易记录!$C$6:$C$605,"买入",交易记录!$P$6:$P$605,"&lt;&gt;分红再投",交易记录!$P$6:$P$605,"&lt;&gt;其他",交易记录!$B$6:$B$605,"VOO")+SUMIFS(交易记录!$E$6:$E$605,交易记录!$A$6:$A$605,"&gt;="&amp;DATE(YEAR(A87),MONTH(A87),1),交易记录!$A$6:$A$605,"&lt;"&amp;DATE(YEAR(A87),MONTH(A87)+1,1),交易记录!$C$6:$C$605,"买入",交易记录!$P$6:$P$605,"&lt;&gt;分红再投",交易记录!$P$6:$P$605,"&lt;&gt;其他",交易记录!$B$6:$B$605,"QQQM")</f>
        <v>0</v>
      </c>
      <c r="N87" s="21">
        <f t="shared" si="22"/>
        <v>0</v>
      </c>
      <c r="O87" s="22"/>
      <c r="P87" s="21">
        <f t="shared" si="23"/>
        <v>0</v>
      </c>
      <c r="Q87" s="21">
        <f t="shared" si="24"/>
        <v>5000</v>
      </c>
      <c r="R87" s="20" t="str">
        <f t="shared" si="25"/>
        <v>待补指数收盘／历史基准；先列基础额</v>
      </c>
      <c r="S87" s="28"/>
    </row>
    <row r="88" spans="1:19" ht="28.5" customHeight="1">
      <c r="A88" s="25">
        <f>月度计划!A85</f>
        <v>48709</v>
      </c>
      <c r="B88" s="26"/>
      <c r="C88" s="22"/>
      <c r="D88" s="22"/>
      <c r="E88" s="21">
        <f t="shared" si="26"/>
        <v>7794.35</v>
      </c>
      <c r="F88" s="27" t="str">
        <f t="shared" si="18"/>
        <v/>
      </c>
      <c r="G88" s="21" t="str">
        <f t="shared" si="19"/>
        <v/>
      </c>
      <c r="H88" s="21">
        <f>MAX(0,$E$4-SUM($P$9:P87))</f>
        <v>5000</v>
      </c>
      <c r="I88" s="21">
        <f t="shared" si="20"/>
        <v>0</v>
      </c>
      <c r="J88" s="21">
        <f t="shared" si="21"/>
        <v>500</v>
      </c>
      <c r="K88" s="21">
        <f>J88*总览!$B$8</f>
        <v>450</v>
      </c>
      <c r="L88" s="21">
        <f>J88*总览!$B$9</f>
        <v>50</v>
      </c>
      <c r="M88" s="21">
        <f>SUMIFS(交易记录!$D$6:$D$605,交易记录!$A$6:$A$605,"&gt;="&amp;DATE(YEAR(A88),MONTH(A88),1),交易记录!$A$6:$A$605,"&lt;"&amp;DATE(YEAR(A88),MONTH(A88)+1,1),交易记录!$C$6:$C$605,"买入",交易记录!$P$6:$P$605,"&lt;&gt;分红再投",交易记录!$P$6:$P$605,"&lt;&gt;其他",交易记录!$B$6:$B$605,"VOO")+SUMIFS(交易记录!$D$6:$D$605,交易记录!$A$6:$A$605,"&gt;="&amp;DATE(YEAR(A88),MONTH(A88),1),交易记录!$A$6:$A$605,"&lt;"&amp;DATE(YEAR(A88),MONTH(A88)+1,1),交易记录!$C$6:$C$605,"买入",交易记录!$P$6:$P$605,"&lt;&gt;分红再投",交易记录!$P$6:$P$605,"&lt;&gt;其他",交易记录!$B$6:$B$605,"QQQM")+SUMIFS(交易记录!$E$6:$E$605,交易记录!$A$6:$A$605,"&gt;="&amp;DATE(YEAR(A88),MONTH(A88),1),交易记录!$A$6:$A$605,"&lt;"&amp;DATE(YEAR(A88),MONTH(A88)+1,1),交易记录!$C$6:$C$605,"买入",交易记录!$P$6:$P$605,"&lt;&gt;分红再投",交易记录!$P$6:$P$605,"&lt;&gt;其他",交易记录!$B$6:$B$605,"VOO")+SUMIFS(交易记录!$E$6:$E$605,交易记录!$A$6:$A$605,"&gt;="&amp;DATE(YEAR(A88),MONTH(A88),1),交易记录!$A$6:$A$605,"&lt;"&amp;DATE(YEAR(A88),MONTH(A88)+1,1),交易记录!$C$6:$C$605,"买入",交易记录!$P$6:$P$605,"&lt;&gt;分红再投",交易记录!$P$6:$P$605,"&lt;&gt;其他",交易记录!$B$6:$B$605,"QQQM")</f>
        <v>0</v>
      </c>
      <c r="N88" s="21">
        <f t="shared" si="22"/>
        <v>0</v>
      </c>
      <c r="O88" s="22"/>
      <c r="P88" s="21">
        <f t="shared" si="23"/>
        <v>0</v>
      </c>
      <c r="Q88" s="21">
        <f t="shared" si="24"/>
        <v>5000</v>
      </c>
      <c r="R88" s="20" t="str">
        <f t="shared" si="25"/>
        <v>待补指数收盘／历史基准；先列基础额</v>
      </c>
      <c r="S88" s="28"/>
    </row>
    <row r="89" spans="1:19" ht="28.5" customHeight="1">
      <c r="A89" s="25">
        <f>月度计划!A86</f>
        <v>48740</v>
      </c>
      <c r="B89" s="26"/>
      <c r="C89" s="22"/>
      <c r="D89" s="22"/>
      <c r="E89" s="21">
        <f t="shared" si="26"/>
        <v>7794.35</v>
      </c>
      <c r="F89" s="27" t="str">
        <f t="shared" si="18"/>
        <v/>
      </c>
      <c r="G89" s="21" t="str">
        <f t="shared" si="19"/>
        <v/>
      </c>
      <c r="H89" s="21">
        <f>MAX(0,$E$4-SUM($P$9:P88))</f>
        <v>5000</v>
      </c>
      <c r="I89" s="21">
        <f t="shared" si="20"/>
        <v>0</v>
      </c>
      <c r="J89" s="21">
        <f t="shared" si="21"/>
        <v>500</v>
      </c>
      <c r="K89" s="21">
        <f>J89*总览!$B$8</f>
        <v>450</v>
      </c>
      <c r="L89" s="21">
        <f>J89*总览!$B$9</f>
        <v>50</v>
      </c>
      <c r="M89" s="21">
        <f>SUMIFS(交易记录!$D$6:$D$605,交易记录!$A$6:$A$605,"&gt;="&amp;DATE(YEAR(A89),MONTH(A89),1),交易记录!$A$6:$A$605,"&lt;"&amp;DATE(YEAR(A89),MONTH(A89)+1,1),交易记录!$C$6:$C$605,"买入",交易记录!$P$6:$P$605,"&lt;&gt;分红再投",交易记录!$P$6:$P$605,"&lt;&gt;其他",交易记录!$B$6:$B$605,"VOO")+SUMIFS(交易记录!$D$6:$D$605,交易记录!$A$6:$A$605,"&gt;="&amp;DATE(YEAR(A89),MONTH(A89),1),交易记录!$A$6:$A$605,"&lt;"&amp;DATE(YEAR(A89),MONTH(A89)+1,1),交易记录!$C$6:$C$605,"买入",交易记录!$P$6:$P$605,"&lt;&gt;分红再投",交易记录!$P$6:$P$605,"&lt;&gt;其他",交易记录!$B$6:$B$605,"QQQM")+SUMIFS(交易记录!$E$6:$E$605,交易记录!$A$6:$A$605,"&gt;="&amp;DATE(YEAR(A89),MONTH(A89),1),交易记录!$A$6:$A$605,"&lt;"&amp;DATE(YEAR(A89),MONTH(A89)+1,1),交易记录!$C$6:$C$605,"买入",交易记录!$P$6:$P$605,"&lt;&gt;分红再投",交易记录!$P$6:$P$605,"&lt;&gt;其他",交易记录!$B$6:$B$605,"VOO")+SUMIFS(交易记录!$E$6:$E$605,交易记录!$A$6:$A$605,"&gt;="&amp;DATE(YEAR(A89),MONTH(A89),1),交易记录!$A$6:$A$605,"&lt;"&amp;DATE(YEAR(A89),MONTH(A89)+1,1),交易记录!$C$6:$C$605,"买入",交易记录!$P$6:$P$605,"&lt;&gt;分红再投",交易记录!$P$6:$P$605,"&lt;&gt;其他",交易记录!$B$6:$B$605,"QQQM")</f>
        <v>0</v>
      </c>
      <c r="N89" s="21">
        <f t="shared" si="22"/>
        <v>0</v>
      </c>
      <c r="O89" s="22"/>
      <c r="P89" s="21">
        <f t="shared" si="23"/>
        <v>0</v>
      </c>
      <c r="Q89" s="21">
        <f t="shared" si="24"/>
        <v>5000</v>
      </c>
      <c r="R89" s="20" t="str">
        <f t="shared" si="25"/>
        <v>待补指数收盘／历史基准；先列基础额</v>
      </c>
      <c r="S89" s="28"/>
    </row>
    <row r="90" spans="1:19" ht="28.5" customHeight="1">
      <c r="A90" s="25">
        <f>月度计划!A87</f>
        <v>48770</v>
      </c>
      <c r="B90" s="26"/>
      <c r="C90" s="22"/>
      <c r="D90" s="22"/>
      <c r="E90" s="21">
        <f t="shared" si="26"/>
        <v>7794.35</v>
      </c>
      <c r="F90" s="27" t="str">
        <f t="shared" si="18"/>
        <v/>
      </c>
      <c r="G90" s="21" t="str">
        <f t="shared" si="19"/>
        <v/>
      </c>
      <c r="H90" s="21">
        <f>MAX(0,$E$4-SUM($P$9:P89))</f>
        <v>5000</v>
      </c>
      <c r="I90" s="21">
        <f t="shared" si="20"/>
        <v>0</v>
      </c>
      <c r="J90" s="21">
        <f t="shared" si="21"/>
        <v>500</v>
      </c>
      <c r="K90" s="21">
        <f>J90*总览!$B$8</f>
        <v>450</v>
      </c>
      <c r="L90" s="21">
        <f>J90*总览!$B$9</f>
        <v>50</v>
      </c>
      <c r="M90" s="21">
        <f>SUMIFS(交易记录!$D$6:$D$605,交易记录!$A$6:$A$605,"&gt;="&amp;DATE(YEAR(A90),MONTH(A90),1),交易记录!$A$6:$A$605,"&lt;"&amp;DATE(YEAR(A90),MONTH(A90)+1,1),交易记录!$C$6:$C$605,"买入",交易记录!$P$6:$P$605,"&lt;&gt;分红再投",交易记录!$P$6:$P$605,"&lt;&gt;其他",交易记录!$B$6:$B$605,"VOO")+SUMIFS(交易记录!$D$6:$D$605,交易记录!$A$6:$A$605,"&gt;="&amp;DATE(YEAR(A90),MONTH(A90),1),交易记录!$A$6:$A$605,"&lt;"&amp;DATE(YEAR(A90),MONTH(A90)+1,1),交易记录!$C$6:$C$605,"买入",交易记录!$P$6:$P$605,"&lt;&gt;分红再投",交易记录!$P$6:$P$605,"&lt;&gt;其他",交易记录!$B$6:$B$605,"QQQM")+SUMIFS(交易记录!$E$6:$E$605,交易记录!$A$6:$A$605,"&gt;="&amp;DATE(YEAR(A90),MONTH(A90),1),交易记录!$A$6:$A$605,"&lt;"&amp;DATE(YEAR(A90),MONTH(A90)+1,1),交易记录!$C$6:$C$605,"买入",交易记录!$P$6:$P$605,"&lt;&gt;分红再投",交易记录!$P$6:$P$605,"&lt;&gt;其他",交易记录!$B$6:$B$605,"VOO")+SUMIFS(交易记录!$E$6:$E$605,交易记录!$A$6:$A$605,"&gt;="&amp;DATE(YEAR(A90),MONTH(A90),1),交易记录!$A$6:$A$605,"&lt;"&amp;DATE(YEAR(A90),MONTH(A90)+1,1),交易记录!$C$6:$C$605,"买入",交易记录!$P$6:$P$605,"&lt;&gt;分红再投",交易记录!$P$6:$P$605,"&lt;&gt;其他",交易记录!$B$6:$B$605,"QQQM")</f>
        <v>0</v>
      </c>
      <c r="N90" s="21">
        <f t="shared" si="22"/>
        <v>0</v>
      </c>
      <c r="O90" s="22"/>
      <c r="P90" s="21">
        <f t="shared" si="23"/>
        <v>0</v>
      </c>
      <c r="Q90" s="21">
        <f t="shared" si="24"/>
        <v>5000</v>
      </c>
      <c r="R90" s="20" t="str">
        <f t="shared" si="25"/>
        <v>待补指数收盘／历史基准；先列基础额</v>
      </c>
      <c r="S90" s="28"/>
    </row>
    <row r="91" spans="1:19" ht="28.5" customHeight="1">
      <c r="A91" s="25">
        <f>月度计划!A88</f>
        <v>48801</v>
      </c>
      <c r="B91" s="26"/>
      <c r="C91" s="22"/>
      <c r="D91" s="22"/>
      <c r="E91" s="21">
        <f t="shared" si="26"/>
        <v>7794.35</v>
      </c>
      <c r="F91" s="27" t="str">
        <f t="shared" si="18"/>
        <v/>
      </c>
      <c r="G91" s="21" t="str">
        <f t="shared" si="19"/>
        <v/>
      </c>
      <c r="H91" s="21">
        <f>MAX(0,$E$4-SUM($P$9:P90))</f>
        <v>5000</v>
      </c>
      <c r="I91" s="21">
        <f t="shared" si="20"/>
        <v>0</v>
      </c>
      <c r="J91" s="21">
        <f t="shared" si="21"/>
        <v>500</v>
      </c>
      <c r="K91" s="21">
        <f>J91*总览!$B$8</f>
        <v>450</v>
      </c>
      <c r="L91" s="21">
        <f>J91*总览!$B$9</f>
        <v>50</v>
      </c>
      <c r="M91" s="21">
        <f>SUMIFS(交易记录!$D$6:$D$605,交易记录!$A$6:$A$605,"&gt;="&amp;DATE(YEAR(A91),MONTH(A91),1),交易记录!$A$6:$A$605,"&lt;"&amp;DATE(YEAR(A91),MONTH(A91)+1,1),交易记录!$C$6:$C$605,"买入",交易记录!$P$6:$P$605,"&lt;&gt;分红再投",交易记录!$P$6:$P$605,"&lt;&gt;其他",交易记录!$B$6:$B$605,"VOO")+SUMIFS(交易记录!$D$6:$D$605,交易记录!$A$6:$A$605,"&gt;="&amp;DATE(YEAR(A91),MONTH(A91),1),交易记录!$A$6:$A$605,"&lt;"&amp;DATE(YEAR(A91),MONTH(A91)+1,1),交易记录!$C$6:$C$605,"买入",交易记录!$P$6:$P$605,"&lt;&gt;分红再投",交易记录!$P$6:$P$605,"&lt;&gt;其他",交易记录!$B$6:$B$605,"QQQM")+SUMIFS(交易记录!$E$6:$E$605,交易记录!$A$6:$A$605,"&gt;="&amp;DATE(YEAR(A91),MONTH(A91),1),交易记录!$A$6:$A$605,"&lt;"&amp;DATE(YEAR(A91),MONTH(A91)+1,1),交易记录!$C$6:$C$605,"买入",交易记录!$P$6:$P$605,"&lt;&gt;分红再投",交易记录!$P$6:$P$605,"&lt;&gt;其他",交易记录!$B$6:$B$605,"VOO")+SUMIFS(交易记录!$E$6:$E$605,交易记录!$A$6:$A$605,"&gt;="&amp;DATE(YEAR(A91),MONTH(A91),1),交易记录!$A$6:$A$605,"&lt;"&amp;DATE(YEAR(A91),MONTH(A91)+1,1),交易记录!$C$6:$C$605,"买入",交易记录!$P$6:$P$605,"&lt;&gt;分红再投",交易记录!$P$6:$P$605,"&lt;&gt;其他",交易记录!$B$6:$B$605,"QQQM")</f>
        <v>0</v>
      </c>
      <c r="N91" s="21">
        <f t="shared" si="22"/>
        <v>0</v>
      </c>
      <c r="O91" s="22"/>
      <c r="P91" s="21">
        <f t="shared" si="23"/>
        <v>0</v>
      </c>
      <c r="Q91" s="21">
        <f t="shared" si="24"/>
        <v>5000</v>
      </c>
      <c r="R91" s="20" t="str">
        <f t="shared" si="25"/>
        <v>待补指数收盘／历史基准；先列基础额</v>
      </c>
      <c r="S91" s="28"/>
    </row>
    <row r="92" spans="1:19" ht="28.5" customHeight="1">
      <c r="A92" s="25">
        <f>月度计划!A89</f>
        <v>48832</v>
      </c>
      <c r="B92" s="26"/>
      <c r="C92" s="22"/>
      <c r="D92" s="22"/>
      <c r="E92" s="21">
        <f t="shared" si="26"/>
        <v>7794.35</v>
      </c>
      <c r="F92" s="27" t="str">
        <f t="shared" si="18"/>
        <v/>
      </c>
      <c r="G92" s="21" t="str">
        <f t="shared" si="19"/>
        <v/>
      </c>
      <c r="H92" s="21">
        <f>MAX(0,$E$4-SUM($P$9:P91))</f>
        <v>5000</v>
      </c>
      <c r="I92" s="21">
        <f t="shared" si="20"/>
        <v>0</v>
      </c>
      <c r="J92" s="21">
        <f t="shared" si="21"/>
        <v>500</v>
      </c>
      <c r="K92" s="21">
        <f>J92*总览!$B$8</f>
        <v>450</v>
      </c>
      <c r="L92" s="21">
        <f>J92*总览!$B$9</f>
        <v>50</v>
      </c>
      <c r="M92" s="21">
        <f>SUMIFS(交易记录!$D$6:$D$605,交易记录!$A$6:$A$605,"&gt;="&amp;DATE(YEAR(A92),MONTH(A92),1),交易记录!$A$6:$A$605,"&lt;"&amp;DATE(YEAR(A92),MONTH(A92)+1,1),交易记录!$C$6:$C$605,"买入",交易记录!$P$6:$P$605,"&lt;&gt;分红再投",交易记录!$P$6:$P$605,"&lt;&gt;其他",交易记录!$B$6:$B$605,"VOO")+SUMIFS(交易记录!$D$6:$D$605,交易记录!$A$6:$A$605,"&gt;="&amp;DATE(YEAR(A92),MONTH(A92),1),交易记录!$A$6:$A$605,"&lt;"&amp;DATE(YEAR(A92),MONTH(A92)+1,1),交易记录!$C$6:$C$605,"买入",交易记录!$P$6:$P$605,"&lt;&gt;分红再投",交易记录!$P$6:$P$605,"&lt;&gt;其他",交易记录!$B$6:$B$605,"QQQM")+SUMIFS(交易记录!$E$6:$E$605,交易记录!$A$6:$A$605,"&gt;="&amp;DATE(YEAR(A92),MONTH(A92),1),交易记录!$A$6:$A$605,"&lt;"&amp;DATE(YEAR(A92),MONTH(A92)+1,1),交易记录!$C$6:$C$605,"买入",交易记录!$P$6:$P$605,"&lt;&gt;分红再投",交易记录!$P$6:$P$605,"&lt;&gt;其他",交易记录!$B$6:$B$605,"VOO")+SUMIFS(交易记录!$E$6:$E$605,交易记录!$A$6:$A$605,"&gt;="&amp;DATE(YEAR(A92),MONTH(A92),1),交易记录!$A$6:$A$605,"&lt;"&amp;DATE(YEAR(A92),MONTH(A92)+1,1),交易记录!$C$6:$C$605,"买入",交易记录!$P$6:$P$605,"&lt;&gt;分红再投",交易记录!$P$6:$P$605,"&lt;&gt;其他",交易记录!$B$6:$B$605,"QQQM")</f>
        <v>0</v>
      </c>
      <c r="N92" s="21">
        <f t="shared" si="22"/>
        <v>0</v>
      </c>
      <c r="O92" s="22"/>
      <c r="P92" s="21">
        <f t="shared" si="23"/>
        <v>0</v>
      </c>
      <c r="Q92" s="21">
        <f t="shared" si="24"/>
        <v>5000</v>
      </c>
      <c r="R92" s="20" t="str">
        <f t="shared" si="25"/>
        <v>待补指数收盘／历史基准；先列基础额</v>
      </c>
      <c r="S92" s="28"/>
    </row>
    <row r="93" spans="1:19" ht="28.5" customHeight="1">
      <c r="A93" s="25">
        <f>月度计划!A90</f>
        <v>48862</v>
      </c>
      <c r="B93" s="26"/>
      <c r="C93" s="22"/>
      <c r="D93" s="22"/>
      <c r="E93" s="21">
        <f t="shared" si="26"/>
        <v>7794.35</v>
      </c>
      <c r="F93" s="27" t="str">
        <f t="shared" si="18"/>
        <v/>
      </c>
      <c r="G93" s="21" t="str">
        <f t="shared" si="19"/>
        <v/>
      </c>
      <c r="H93" s="21">
        <f>MAX(0,$E$4-SUM($P$9:P92))</f>
        <v>5000</v>
      </c>
      <c r="I93" s="21">
        <f t="shared" si="20"/>
        <v>0</v>
      </c>
      <c r="J93" s="21">
        <f t="shared" si="21"/>
        <v>500</v>
      </c>
      <c r="K93" s="21">
        <f>J93*总览!$B$8</f>
        <v>450</v>
      </c>
      <c r="L93" s="21">
        <f>J93*总览!$B$9</f>
        <v>50</v>
      </c>
      <c r="M93" s="21">
        <f>SUMIFS(交易记录!$D$6:$D$605,交易记录!$A$6:$A$605,"&gt;="&amp;DATE(YEAR(A93),MONTH(A93),1),交易记录!$A$6:$A$605,"&lt;"&amp;DATE(YEAR(A93),MONTH(A93)+1,1),交易记录!$C$6:$C$605,"买入",交易记录!$P$6:$P$605,"&lt;&gt;分红再投",交易记录!$P$6:$P$605,"&lt;&gt;其他",交易记录!$B$6:$B$605,"VOO")+SUMIFS(交易记录!$D$6:$D$605,交易记录!$A$6:$A$605,"&gt;="&amp;DATE(YEAR(A93),MONTH(A93),1),交易记录!$A$6:$A$605,"&lt;"&amp;DATE(YEAR(A93),MONTH(A93)+1,1),交易记录!$C$6:$C$605,"买入",交易记录!$P$6:$P$605,"&lt;&gt;分红再投",交易记录!$P$6:$P$605,"&lt;&gt;其他",交易记录!$B$6:$B$605,"QQQM")+SUMIFS(交易记录!$E$6:$E$605,交易记录!$A$6:$A$605,"&gt;="&amp;DATE(YEAR(A93),MONTH(A93),1),交易记录!$A$6:$A$605,"&lt;"&amp;DATE(YEAR(A93),MONTH(A93)+1,1),交易记录!$C$6:$C$605,"买入",交易记录!$P$6:$P$605,"&lt;&gt;分红再投",交易记录!$P$6:$P$605,"&lt;&gt;其他",交易记录!$B$6:$B$605,"VOO")+SUMIFS(交易记录!$E$6:$E$605,交易记录!$A$6:$A$605,"&gt;="&amp;DATE(YEAR(A93),MONTH(A93),1),交易记录!$A$6:$A$605,"&lt;"&amp;DATE(YEAR(A93),MONTH(A93)+1,1),交易记录!$C$6:$C$605,"买入",交易记录!$P$6:$P$605,"&lt;&gt;分红再投",交易记录!$P$6:$P$605,"&lt;&gt;其他",交易记录!$B$6:$B$605,"QQQM")</f>
        <v>0</v>
      </c>
      <c r="N93" s="21">
        <f t="shared" si="22"/>
        <v>0</v>
      </c>
      <c r="O93" s="22"/>
      <c r="P93" s="21">
        <f t="shared" si="23"/>
        <v>0</v>
      </c>
      <c r="Q93" s="21">
        <f t="shared" si="24"/>
        <v>5000</v>
      </c>
      <c r="R93" s="20" t="str">
        <f t="shared" si="25"/>
        <v>待补指数收盘／历史基准；先列基础额</v>
      </c>
      <c r="S93" s="28"/>
    </row>
    <row r="94" spans="1:19" ht="28.5" customHeight="1">
      <c r="A94" s="25">
        <f>月度计划!A91</f>
        <v>48893</v>
      </c>
      <c r="B94" s="26"/>
      <c r="C94" s="22"/>
      <c r="D94" s="22"/>
      <c r="E94" s="21">
        <f t="shared" si="26"/>
        <v>7794.35</v>
      </c>
      <c r="F94" s="27" t="str">
        <f t="shared" si="18"/>
        <v/>
      </c>
      <c r="G94" s="21" t="str">
        <f t="shared" si="19"/>
        <v/>
      </c>
      <c r="H94" s="21">
        <f>MAX(0,$E$4-SUM($P$9:P93))</f>
        <v>5000</v>
      </c>
      <c r="I94" s="21">
        <f t="shared" si="20"/>
        <v>0</v>
      </c>
      <c r="J94" s="21">
        <f t="shared" si="21"/>
        <v>500</v>
      </c>
      <c r="K94" s="21">
        <f>J94*总览!$B$8</f>
        <v>450</v>
      </c>
      <c r="L94" s="21">
        <f>J94*总览!$B$9</f>
        <v>50</v>
      </c>
      <c r="M94" s="21">
        <f>SUMIFS(交易记录!$D$6:$D$605,交易记录!$A$6:$A$605,"&gt;="&amp;DATE(YEAR(A94),MONTH(A94),1),交易记录!$A$6:$A$605,"&lt;"&amp;DATE(YEAR(A94),MONTH(A94)+1,1),交易记录!$C$6:$C$605,"买入",交易记录!$P$6:$P$605,"&lt;&gt;分红再投",交易记录!$P$6:$P$605,"&lt;&gt;其他",交易记录!$B$6:$B$605,"VOO")+SUMIFS(交易记录!$D$6:$D$605,交易记录!$A$6:$A$605,"&gt;="&amp;DATE(YEAR(A94),MONTH(A94),1),交易记录!$A$6:$A$605,"&lt;"&amp;DATE(YEAR(A94),MONTH(A94)+1,1),交易记录!$C$6:$C$605,"买入",交易记录!$P$6:$P$605,"&lt;&gt;分红再投",交易记录!$P$6:$P$605,"&lt;&gt;其他",交易记录!$B$6:$B$605,"QQQM")+SUMIFS(交易记录!$E$6:$E$605,交易记录!$A$6:$A$605,"&gt;="&amp;DATE(YEAR(A94),MONTH(A94),1),交易记录!$A$6:$A$605,"&lt;"&amp;DATE(YEAR(A94),MONTH(A94)+1,1),交易记录!$C$6:$C$605,"买入",交易记录!$P$6:$P$605,"&lt;&gt;分红再投",交易记录!$P$6:$P$605,"&lt;&gt;其他",交易记录!$B$6:$B$605,"VOO")+SUMIFS(交易记录!$E$6:$E$605,交易记录!$A$6:$A$605,"&gt;="&amp;DATE(YEAR(A94),MONTH(A94),1),交易记录!$A$6:$A$605,"&lt;"&amp;DATE(YEAR(A94),MONTH(A94)+1,1),交易记录!$C$6:$C$605,"买入",交易记录!$P$6:$P$605,"&lt;&gt;分红再投",交易记录!$P$6:$P$605,"&lt;&gt;其他",交易记录!$B$6:$B$605,"QQQM")</f>
        <v>0</v>
      </c>
      <c r="N94" s="21">
        <f t="shared" si="22"/>
        <v>0</v>
      </c>
      <c r="O94" s="22"/>
      <c r="P94" s="21">
        <f t="shared" si="23"/>
        <v>0</v>
      </c>
      <c r="Q94" s="21">
        <f t="shared" si="24"/>
        <v>5000</v>
      </c>
      <c r="R94" s="20" t="str">
        <f t="shared" si="25"/>
        <v>待补指数收盘／历史基准；先列基础额</v>
      </c>
      <c r="S94" s="28"/>
    </row>
    <row r="95" spans="1:19" ht="28.5" customHeight="1">
      <c r="A95" s="25">
        <f>月度计划!A92</f>
        <v>48923</v>
      </c>
      <c r="B95" s="26"/>
      <c r="C95" s="22"/>
      <c r="D95" s="22"/>
      <c r="E95" s="21">
        <f t="shared" si="26"/>
        <v>7794.35</v>
      </c>
      <c r="F95" s="27" t="str">
        <f t="shared" si="18"/>
        <v/>
      </c>
      <c r="G95" s="21" t="str">
        <f t="shared" si="19"/>
        <v/>
      </c>
      <c r="H95" s="21">
        <f>MAX(0,$E$4-SUM($P$9:P94))</f>
        <v>5000</v>
      </c>
      <c r="I95" s="21">
        <f t="shared" si="20"/>
        <v>0</v>
      </c>
      <c r="J95" s="21">
        <f t="shared" si="21"/>
        <v>500</v>
      </c>
      <c r="K95" s="21">
        <f>J95*总览!$B$8</f>
        <v>450</v>
      </c>
      <c r="L95" s="21">
        <f>J95*总览!$B$9</f>
        <v>50</v>
      </c>
      <c r="M95" s="21">
        <f>SUMIFS(交易记录!$D$6:$D$605,交易记录!$A$6:$A$605,"&gt;="&amp;DATE(YEAR(A95),MONTH(A95),1),交易记录!$A$6:$A$605,"&lt;"&amp;DATE(YEAR(A95),MONTH(A95)+1,1),交易记录!$C$6:$C$605,"买入",交易记录!$P$6:$P$605,"&lt;&gt;分红再投",交易记录!$P$6:$P$605,"&lt;&gt;其他",交易记录!$B$6:$B$605,"VOO")+SUMIFS(交易记录!$D$6:$D$605,交易记录!$A$6:$A$605,"&gt;="&amp;DATE(YEAR(A95),MONTH(A95),1),交易记录!$A$6:$A$605,"&lt;"&amp;DATE(YEAR(A95),MONTH(A95)+1,1),交易记录!$C$6:$C$605,"买入",交易记录!$P$6:$P$605,"&lt;&gt;分红再投",交易记录!$P$6:$P$605,"&lt;&gt;其他",交易记录!$B$6:$B$605,"QQQM")+SUMIFS(交易记录!$E$6:$E$605,交易记录!$A$6:$A$605,"&gt;="&amp;DATE(YEAR(A95),MONTH(A95),1),交易记录!$A$6:$A$605,"&lt;"&amp;DATE(YEAR(A95),MONTH(A95)+1,1),交易记录!$C$6:$C$605,"买入",交易记录!$P$6:$P$605,"&lt;&gt;分红再投",交易记录!$P$6:$P$605,"&lt;&gt;其他",交易记录!$B$6:$B$605,"VOO")+SUMIFS(交易记录!$E$6:$E$605,交易记录!$A$6:$A$605,"&gt;="&amp;DATE(YEAR(A95),MONTH(A95),1),交易记录!$A$6:$A$605,"&lt;"&amp;DATE(YEAR(A95),MONTH(A95)+1,1),交易记录!$C$6:$C$605,"买入",交易记录!$P$6:$P$605,"&lt;&gt;分红再投",交易记录!$P$6:$P$605,"&lt;&gt;其他",交易记录!$B$6:$B$605,"QQQM")</f>
        <v>0</v>
      </c>
      <c r="N95" s="21">
        <f t="shared" si="22"/>
        <v>0</v>
      </c>
      <c r="O95" s="22"/>
      <c r="P95" s="21">
        <f t="shared" si="23"/>
        <v>0</v>
      </c>
      <c r="Q95" s="21">
        <f t="shared" si="24"/>
        <v>5000</v>
      </c>
      <c r="R95" s="20" t="str">
        <f t="shared" si="25"/>
        <v>待补指数收盘／历史基准；先列基础额</v>
      </c>
      <c r="S95" s="28"/>
    </row>
    <row r="96" spans="1:19" ht="28.5" customHeight="1">
      <c r="A96" s="25">
        <f>月度计划!A93</f>
        <v>48954</v>
      </c>
      <c r="B96" s="26"/>
      <c r="C96" s="22"/>
      <c r="D96" s="22"/>
      <c r="E96" s="21">
        <f t="shared" si="26"/>
        <v>7794.35</v>
      </c>
      <c r="F96" s="27" t="str">
        <f t="shared" si="18"/>
        <v/>
      </c>
      <c r="G96" s="21" t="str">
        <f t="shared" si="19"/>
        <v/>
      </c>
      <c r="H96" s="21">
        <f>MAX(0,$E$4-SUM($P$9:P95))</f>
        <v>5000</v>
      </c>
      <c r="I96" s="21">
        <f t="shared" si="20"/>
        <v>0</v>
      </c>
      <c r="J96" s="21">
        <f t="shared" si="21"/>
        <v>500</v>
      </c>
      <c r="K96" s="21">
        <f>J96*总览!$B$8</f>
        <v>450</v>
      </c>
      <c r="L96" s="21">
        <f>J96*总览!$B$9</f>
        <v>50</v>
      </c>
      <c r="M96" s="21">
        <f>SUMIFS(交易记录!$D$6:$D$605,交易记录!$A$6:$A$605,"&gt;="&amp;DATE(YEAR(A96),MONTH(A96),1),交易记录!$A$6:$A$605,"&lt;"&amp;DATE(YEAR(A96),MONTH(A96)+1,1),交易记录!$C$6:$C$605,"买入",交易记录!$P$6:$P$605,"&lt;&gt;分红再投",交易记录!$P$6:$P$605,"&lt;&gt;其他",交易记录!$B$6:$B$605,"VOO")+SUMIFS(交易记录!$D$6:$D$605,交易记录!$A$6:$A$605,"&gt;="&amp;DATE(YEAR(A96),MONTH(A96),1),交易记录!$A$6:$A$605,"&lt;"&amp;DATE(YEAR(A96),MONTH(A96)+1,1),交易记录!$C$6:$C$605,"买入",交易记录!$P$6:$P$605,"&lt;&gt;分红再投",交易记录!$P$6:$P$605,"&lt;&gt;其他",交易记录!$B$6:$B$605,"QQQM")+SUMIFS(交易记录!$E$6:$E$605,交易记录!$A$6:$A$605,"&gt;="&amp;DATE(YEAR(A96),MONTH(A96),1),交易记录!$A$6:$A$605,"&lt;"&amp;DATE(YEAR(A96),MONTH(A96)+1,1),交易记录!$C$6:$C$605,"买入",交易记录!$P$6:$P$605,"&lt;&gt;分红再投",交易记录!$P$6:$P$605,"&lt;&gt;其他",交易记录!$B$6:$B$605,"VOO")+SUMIFS(交易记录!$E$6:$E$605,交易记录!$A$6:$A$605,"&gt;="&amp;DATE(YEAR(A96),MONTH(A96),1),交易记录!$A$6:$A$605,"&lt;"&amp;DATE(YEAR(A96),MONTH(A96)+1,1),交易记录!$C$6:$C$605,"买入",交易记录!$P$6:$P$605,"&lt;&gt;分红再投",交易记录!$P$6:$P$605,"&lt;&gt;其他",交易记录!$B$6:$B$605,"QQQM")</f>
        <v>0</v>
      </c>
      <c r="N96" s="21">
        <f t="shared" si="22"/>
        <v>0</v>
      </c>
      <c r="O96" s="22"/>
      <c r="P96" s="21">
        <f t="shared" si="23"/>
        <v>0</v>
      </c>
      <c r="Q96" s="21">
        <f t="shared" si="24"/>
        <v>5000</v>
      </c>
      <c r="R96" s="20" t="str">
        <f t="shared" si="25"/>
        <v>待补指数收盘／历史基准；先列基础额</v>
      </c>
      <c r="S96" s="28"/>
    </row>
    <row r="97" spans="1:19" ht="28.5" customHeight="1">
      <c r="A97" s="25">
        <f>月度计划!A94</f>
        <v>48985</v>
      </c>
      <c r="B97" s="26"/>
      <c r="C97" s="22"/>
      <c r="D97" s="22"/>
      <c r="E97" s="21">
        <f t="shared" si="26"/>
        <v>7794.35</v>
      </c>
      <c r="F97" s="27" t="str">
        <f t="shared" si="18"/>
        <v/>
      </c>
      <c r="G97" s="21" t="str">
        <f t="shared" si="19"/>
        <v/>
      </c>
      <c r="H97" s="21">
        <f>MAX(0,$E$4-SUM($P$9:P96))</f>
        <v>5000</v>
      </c>
      <c r="I97" s="21">
        <f t="shared" si="20"/>
        <v>0</v>
      </c>
      <c r="J97" s="21">
        <f t="shared" si="21"/>
        <v>500</v>
      </c>
      <c r="K97" s="21">
        <f>J97*总览!$B$8</f>
        <v>450</v>
      </c>
      <c r="L97" s="21">
        <f>J97*总览!$B$9</f>
        <v>50</v>
      </c>
      <c r="M97" s="21">
        <f>SUMIFS(交易记录!$D$6:$D$605,交易记录!$A$6:$A$605,"&gt;="&amp;DATE(YEAR(A97),MONTH(A97),1),交易记录!$A$6:$A$605,"&lt;"&amp;DATE(YEAR(A97),MONTH(A97)+1,1),交易记录!$C$6:$C$605,"买入",交易记录!$P$6:$P$605,"&lt;&gt;分红再投",交易记录!$P$6:$P$605,"&lt;&gt;其他",交易记录!$B$6:$B$605,"VOO")+SUMIFS(交易记录!$D$6:$D$605,交易记录!$A$6:$A$605,"&gt;="&amp;DATE(YEAR(A97),MONTH(A97),1),交易记录!$A$6:$A$605,"&lt;"&amp;DATE(YEAR(A97),MONTH(A97)+1,1),交易记录!$C$6:$C$605,"买入",交易记录!$P$6:$P$605,"&lt;&gt;分红再投",交易记录!$P$6:$P$605,"&lt;&gt;其他",交易记录!$B$6:$B$605,"QQQM")+SUMIFS(交易记录!$E$6:$E$605,交易记录!$A$6:$A$605,"&gt;="&amp;DATE(YEAR(A97),MONTH(A97),1),交易记录!$A$6:$A$605,"&lt;"&amp;DATE(YEAR(A97),MONTH(A97)+1,1),交易记录!$C$6:$C$605,"买入",交易记录!$P$6:$P$605,"&lt;&gt;分红再投",交易记录!$P$6:$P$605,"&lt;&gt;其他",交易记录!$B$6:$B$605,"VOO")+SUMIFS(交易记录!$E$6:$E$605,交易记录!$A$6:$A$605,"&gt;="&amp;DATE(YEAR(A97),MONTH(A97),1),交易记录!$A$6:$A$605,"&lt;"&amp;DATE(YEAR(A97),MONTH(A97)+1,1),交易记录!$C$6:$C$605,"买入",交易记录!$P$6:$P$605,"&lt;&gt;分红再投",交易记录!$P$6:$P$605,"&lt;&gt;其他",交易记录!$B$6:$B$605,"QQQM")</f>
        <v>0</v>
      </c>
      <c r="N97" s="21">
        <f t="shared" si="22"/>
        <v>0</v>
      </c>
      <c r="O97" s="22"/>
      <c r="P97" s="21">
        <f t="shared" si="23"/>
        <v>0</v>
      </c>
      <c r="Q97" s="21">
        <f t="shared" si="24"/>
        <v>5000</v>
      </c>
      <c r="R97" s="20" t="str">
        <f t="shared" si="25"/>
        <v>待补指数收盘／历史基准；先列基础额</v>
      </c>
      <c r="S97" s="28"/>
    </row>
    <row r="98" spans="1:19" ht="28.5" customHeight="1">
      <c r="A98" s="25">
        <f>月度计划!A95</f>
        <v>49013</v>
      </c>
      <c r="B98" s="26"/>
      <c r="C98" s="22"/>
      <c r="D98" s="22"/>
      <c r="E98" s="21">
        <f t="shared" si="26"/>
        <v>7794.35</v>
      </c>
      <c r="F98" s="27" t="str">
        <f t="shared" si="18"/>
        <v/>
      </c>
      <c r="G98" s="21" t="str">
        <f t="shared" si="19"/>
        <v/>
      </c>
      <c r="H98" s="21">
        <f>MAX(0,$E$4-SUM($P$9:P97))</f>
        <v>5000</v>
      </c>
      <c r="I98" s="21">
        <f t="shared" si="20"/>
        <v>0</v>
      </c>
      <c r="J98" s="21">
        <f t="shared" si="21"/>
        <v>500</v>
      </c>
      <c r="K98" s="21">
        <f>J98*总览!$B$8</f>
        <v>450</v>
      </c>
      <c r="L98" s="21">
        <f>J98*总览!$B$9</f>
        <v>50</v>
      </c>
      <c r="M98" s="21">
        <f>SUMIFS(交易记录!$D$6:$D$605,交易记录!$A$6:$A$605,"&gt;="&amp;DATE(YEAR(A98),MONTH(A98),1),交易记录!$A$6:$A$605,"&lt;"&amp;DATE(YEAR(A98),MONTH(A98)+1,1),交易记录!$C$6:$C$605,"买入",交易记录!$P$6:$P$605,"&lt;&gt;分红再投",交易记录!$P$6:$P$605,"&lt;&gt;其他",交易记录!$B$6:$B$605,"VOO")+SUMIFS(交易记录!$D$6:$D$605,交易记录!$A$6:$A$605,"&gt;="&amp;DATE(YEAR(A98),MONTH(A98),1),交易记录!$A$6:$A$605,"&lt;"&amp;DATE(YEAR(A98),MONTH(A98)+1,1),交易记录!$C$6:$C$605,"买入",交易记录!$P$6:$P$605,"&lt;&gt;分红再投",交易记录!$P$6:$P$605,"&lt;&gt;其他",交易记录!$B$6:$B$605,"QQQM")+SUMIFS(交易记录!$E$6:$E$605,交易记录!$A$6:$A$605,"&gt;="&amp;DATE(YEAR(A98),MONTH(A98),1),交易记录!$A$6:$A$605,"&lt;"&amp;DATE(YEAR(A98),MONTH(A98)+1,1),交易记录!$C$6:$C$605,"买入",交易记录!$P$6:$P$605,"&lt;&gt;分红再投",交易记录!$P$6:$P$605,"&lt;&gt;其他",交易记录!$B$6:$B$605,"VOO")+SUMIFS(交易记录!$E$6:$E$605,交易记录!$A$6:$A$605,"&gt;="&amp;DATE(YEAR(A98),MONTH(A98),1),交易记录!$A$6:$A$605,"&lt;"&amp;DATE(YEAR(A98),MONTH(A98)+1,1),交易记录!$C$6:$C$605,"买入",交易记录!$P$6:$P$605,"&lt;&gt;分红再投",交易记录!$P$6:$P$605,"&lt;&gt;其他",交易记录!$B$6:$B$605,"QQQM")</f>
        <v>0</v>
      </c>
      <c r="N98" s="21">
        <f t="shared" si="22"/>
        <v>0</v>
      </c>
      <c r="O98" s="22"/>
      <c r="P98" s="21">
        <f t="shared" si="23"/>
        <v>0</v>
      </c>
      <c r="Q98" s="21">
        <f t="shared" si="24"/>
        <v>5000</v>
      </c>
      <c r="R98" s="20" t="str">
        <f t="shared" si="25"/>
        <v>待补指数收盘／历史基准；先列基础额</v>
      </c>
      <c r="S98" s="28"/>
    </row>
    <row r="99" spans="1:19" ht="28.5" customHeight="1">
      <c r="A99" s="25">
        <f>月度计划!A96</f>
        <v>49044</v>
      </c>
      <c r="B99" s="26"/>
      <c r="C99" s="22"/>
      <c r="D99" s="22"/>
      <c r="E99" s="21">
        <f t="shared" si="26"/>
        <v>7794.35</v>
      </c>
      <c r="F99" s="27" t="str">
        <f t="shared" si="18"/>
        <v/>
      </c>
      <c r="G99" s="21" t="str">
        <f t="shared" si="19"/>
        <v/>
      </c>
      <c r="H99" s="21">
        <f>MAX(0,$E$4-SUM($P$9:P98))</f>
        <v>5000</v>
      </c>
      <c r="I99" s="21">
        <f t="shared" si="20"/>
        <v>0</v>
      </c>
      <c r="J99" s="21">
        <f t="shared" si="21"/>
        <v>500</v>
      </c>
      <c r="K99" s="21">
        <f>J99*总览!$B$8</f>
        <v>450</v>
      </c>
      <c r="L99" s="21">
        <f>J99*总览!$B$9</f>
        <v>50</v>
      </c>
      <c r="M99" s="21">
        <f>SUMIFS(交易记录!$D$6:$D$605,交易记录!$A$6:$A$605,"&gt;="&amp;DATE(YEAR(A99),MONTH(A99),1),交易记录!$A$6:$A$605,"&lt;"&amp;DATE(YEAR(A99),MONTH(A99)+1,1),交易记录!$C$6:$C$605,"买入",交易记录!$P$6:$P$605,"&lt;&gt;分红再投",交易记录!$P$6:$P$605,"&lt;&gt;其他",交易记录!$B$6:$B$605,"VOO")+SUMIFS(交易记录!$D$6:$D$605,交易记录!$A$6:$A$605,"&gt;="&amp;DATE(YEAR(A99),MONTH(A99),1),交易记录!$A$6:$A$605,"&lt;"&amp;DATE(YEAR(A99),MONTH(A99)+1,1),交易记录!$C$6:$C$605,"买入",交易记录!$P$6:$P$605,"&lt;&gt;分红再投",交易记录!$P$6:$P$605,"&lt;&gt;其他",交易记录!$B$6:$B$605,"QQQM")+SUMIFS(交易记录!$E$6:$E$605,交易记录!$A$6:$A$605,"&gt;="&amp;DATE(YEAR(A99),MONTH(A99),1),交易记录!$A$6:$A$605,"&lt;"&amp;DATE(YEAR(A99),MONTH(A99)+1,1),交易记录!$C$6:$C$605,"买入",交易记录!$P$6:$P$605,"&lt;&gt;分红再投",交易记录!$P$6:$P$605,"&lt;&gt;其他",交易记录!$B$6:$B$605,"VOO")+SUMIFS(交易记录!$E$6:$E$605,交易记录!$A$6:$A$605,"&gt;="&amp;DATE(YEAR(A99),MONTH(A99),1),交易记录!$A$6:$A$605,"&lt;"&amp;DATE(YEAR(A99),MONTH(A99)+1,1),交易记录!$C$6:$C$605,"买入",交易记录!$P$6:$P$605,"&lt;&gt;分红再投",交易记录!$P$6:$P$605,"&lt;&gt;其他",交易记录!$B$6:$B$605,"QQQM")</f>
        <v>0</v>
      </c>
      <c r="N99" s="21">
        <f t="shared" si="22"/>
        <v>0</v>
      </c>
      <c r="O99" s="22"/>
      <c r="P99" s="21">
        <f t="shared" si="23"/>
        <v>0</v>
      </c>
      <c r="Q99" s="21">
        <f t="shared" si="24"/>
        <v>5000</v>
      </c>
      <c r="R99" s="20" t="str">
        <f t="shared" si="25"/>
        <v>待补指数收盘／历史基准；先列基础额</v>
      </c>
      <c r="S99" s="28"/>
    </row>
    <row r="100" spans="1:19" ht="28.5" customHeight="1">
      <c r="A100" s="25">
        <f>月度计划!A97</f>
        <v>49074</v>
      </c>
      <c r="B100" s="26"/>
      <c r="C100" s="22"/>
      <c r="D100" s="22"/>
      <c r="E100" s="21">
        <f t="shared" si="26"/>
        <v>7794.35</v>
      </c>
      <c r="F100" s="27" t="str">
        <f t="shared" si="18"/>
        <v/>
      </c>
      <c r="G100" s="21" t="str">
        <f t="shared" si="19"/>
        <v/>
      </c>
      <c r="H100" s="21">
        <f>MAX(0,$E$4-SUM($P$9:P99))</f>
        <v>5000</v>
      </c>
      <c r="I100" s="21">
        <f t="shared" si="20"/>
        <v>0</v>
      </c>
      <c r="J100" s="21">
        <f t="shared" si="21"/>
        <v>500</v>
      </c>
      <c r="K100" s="21">
        <f>J100*总览!$B$8</f>
        <v>450</v>
      </c>
      <c r="L100" s="21">
        <f>J100*总览!$B$9</f>
        <v>50</v>
      </c>
      <c r="M100" s="21">
        <f>SUMIFS(交易记录!$D$6:$D$605,交易记录!$A$6:$A$605,"&gt;="&amp;DATE(YEAR(A100),MONTH(A100),1),交易记录!$A$6:$A$605,"&lt;"&amp;DATE(YEAR(A100),MONTH(A100)+1,1),交易记录!$C$6:$C$605,"买入",交易记录!$P$6:$P$605,"&lt;&gt;分红再投",交易记录!$P$6:$P$605,"&lt;&gt;其他",交易记录!$B$6:$B$605,"VOO")+SUMIFS(交易记录!$D$6:$D$605,交易记录!$A$6:$A$605,"&gt;="&amp;DATE(YEAR(A100),MONTH(A100),1),交易记录!$A$6:$A$605,"&lt;"&amp;DATE(YEAR(A100),MONTH(A100)+1,1),交易记录!$C$6:$C$605,"买入",交易记录!$P$6:$P$605,"&lt;&gt;分红再投",交易记录!$P$6:$P$605,"&lt;&gt;其他",交易记录!$B$6:$B$605,"QQQM")+SUMIFS(交易记录!$E$6:$E$605,交易记录!$A$6:$A$605,"&gt;="&amp;DATE(YEAR(A100),MONTH(A100),1),交易记录!$A$6:$A$605,"&lt;"&amp;DATE(YEAR(A100),MONTH(A100)+1,1),交易记录!$C$6:$C$605,"买入",交易记录!$P$6:$P$605,"&lt;&gt;分红再投",交易记录!$P$6:$P$605,"&lt;&gt;其他",交易记录!$B$6:$B$605,"VOO")+SUMIFS(交易记录!$E$6:$E$605,交易记录!$A$6:$A$605,"&gt;="&amp;DATE(YEAR(A100),MONTH(A100),1),交易记录!$A$6:$A$605,"&lt;"&amp;DATE(YEAR(A100),MONTH(A100)+1,1),交易记录!$C$6:$C$605,"买入",交易记录!$P$6:$P$605,"&lt;&gt;分红再投",交易记录!$P$6:$P$605,"&lt;&gt;其他",交易记录!$B$6:$B$605,"QQQM")</f>
        <v>0</v>
      </c>
      <c r="N100" s="21">
        <f t="shared" si="22"/>
        <v>0</v>
      </c>
      <c r="O100" s="22"/>
      <c r="P100" s="21">
        <f t="shared" si="23"/>
        <v>0</v>
      </c>
      <c r="Q100" s="21">
        <f t="shared" si="24"/>
        <v>5000</v>
      </c>
      <c r="R100" s="20" t="str">
        <f t="shared" si="25"/>
        <v>待补指数收盘／历史基准；先列基础额</v>
      </c>
      <c r="S100" s="28"/>
    </row>
    <row r="101" spans="1:19" ht="28.5" customHeight="1">
      <c r="A101" s="25">
        <f>月度计划!A98</f>
        <v>49105</v>
      </c>
      <c r="B101" s="26"/>
      <c r="C101" s="22"/>
      <c r="D101" s="22"/>
      <c r="E101" s="21">
        <f t="shared" si="26"/>
        <v>7794.35</v>
      </c>
      <c r="F101" s="27" t="str">
        <f t="shared" si="18"/>
        <v/>
      </c>
      <c r="G101" s="21" t="str">
        <f t="shared" si="19"/>
        <v/>
      </c>
      <c r="H101" s="21">
        <f>MAX(0,$E$4-SUM($P$9:P100))</f>
        <v>5000</v>
      </c>
      <c r="I101" s="21">
        <f t="shared" si="20"/>
        <v>0</v>
      </c>
      <c r="J101" s="21">
        <f t="shared" si="21"/>
        <v>500</v>
      </c>
      <c r="K101" s="21">
        <f>J101*总览!$B$8</f>
        <v>450</v>
      </c>
      <c r="L101" s="21">
        <f>J101*总览!$B$9</f>
        <v>50</v>
      </c>
      <c r="M101" s="21">
        <f>SUMIFS(交易记录!$D$6:$D$605,交易记录!$A$6:$A$605,"&gt;="&amp;DATE(YEAR(A101),MONTH(A101),1),交易记录!$A$6:$A$605,"&lt;"&amp;DATE(YEAR(A101),MONTH(A101)+1,1),交易记录!$C$6:$C$605,"买入",交易记录!$P$6:$P$605,"&lt;&gt;分红再投",交易记录!$P$6:$P$605,"&lt;&gt;其他",交易记录!$B$6:$B$605,"VOO")+SUMIFS(交易记录!$D$6:$D$605,交易记录!$A$6:$A$605,"&gt;="&amp;DATE(YEAR(A101),MONTH(A101),1),交易记录!$A$6:$A$605,"&lt;"&amp;DATE(YEAR(A101),MONTH(A101)+1,1),交易记录!$C$6:$C$605,"买入",交易记录!$P$6:$P$605,"&lt;&gt;分红再投",交易记录!$P$6:$P$605,"&lt;&gt;其他",交易记录!$B$6:$B$605,"QQQM")+SUMIFS(交易记录!$E$6:$E$605,交易记录!$A$6:$A$605,"&gt;="&amp;DATE(YEAR(A101),MONTH(A101),1),交易记录!$A$6:$A$605,"&lt;"&amp;DATE(YEAR(A101),MONTH(A101)+1,1),交易记录!$C$6:$C$605,"买入",交易记录!$P$6:$P$605,"&lt;&gt;分红再投",交易记录!$P$6:$P$605,"&lt;&gt;其他",交易记录!$B$6:$B$605,"VOO")+SUMIFS(交易记录!$E$6:$E$605,交易记录!$A$6:$A$605,"&gt;="&amp;DATE(YEAR(A101),MONTH(A101),1),交易记录!$A$6:$A$605,"&lt;"&amp;DATE(YEAR(A101),MONTH(A101)+1,1),交易记录!$C$6:$C$605,"买入",交易记录!$P$6:$P$605,"&lt;&gt;分红再投",交易记录!$P$6:$P$605,"&lt;&gt;其他",交易记录!$B$6:$B$605,"QQQM")</f>
        <v>0</v>
      </c>
      <c r="N101" s="21">
        <f t="shared" si="22"/>
        <v>0</v>
      </c>
      <c r="O101" s="22"/>
      <c r="P101" s="21">
        <f t="shared" si="23"/>
        <v>0</v>
      </c>
      <c r="Q101" s="21">
        <f t="shared" si="24"/>
        <v>5000</v>
      </c>
      <c r="R101" s="20" t="str">
        <f t="shared" si="25"/>
        <v>待补指数收盘／历史基准；先列基础额</v>
      </c>
      <c r="S101" s="28"/>
    </row>
    <row r="102" spans="1:19" ht="28.5" customHeight="1">
      <c r="A102" s="25">
        <f>月度计划!A99</f>
        <v>49135</v>
      </c>
      <c r="B102" s="26"/>
      <c r="C102" s="22"/>
      <c r="D102" s="22"/>
      <c r="E102" s="21">
        <f t="shared" si="26"/>
        <v>7794.35</v>
      </c>
      <c r="F102" s="27" t="str">
        <f t="shared" si="18"/>
        <v/>
      </c>
      <c r="G102" s="21" t="str">
        <f t="shared" si="19"/>
        <v/>
      </c>
      <c r="H102" s="21">
        <f>MAX(0,$E$4-SUM($P$9:P101))</f>
        <v>5000</v>
      </c>
      <c r="I102" s="21">
        <f t="shared" si="20"/>
        <v>0</v>
      </c>
      <c r="J102" s="21">
        <f t="shared" si="21"/>
        <v>500</v>
      </c>
      <c r="K102" s="21">
        <f>J102*总览!$B$8</f>
        <v>450</v>
      </c>
      <c r="L102" s="21">
        <f>J102*总览!$B$9</f>
        <v>50</v>
      </c>
      <c r="M102" s="21">
        <f>SUMIFS(交易记录!$D$6:$D$605,交易记录!$A$6:$A$605,"&gt;="&amp;DATE(YEAR(A102),MONTH(A102),1),交易记录!$A$6:$A$605,"&lt;"&amp;DATE(YEAR(A102),MONTH(A102)+1,1),交易记录!$C$6:$C$605,"买入",交易记录!$P$6:$P$605,"&lt;&gt;分红再投",交易记录!$P$6:$P$605,"&lt;&gt;其他",交易记录!$B$6:$B$605,"VOO")+SUMIFS(交易记录!$D$6:$D$605,交易记录!$A$6:$A$605,"&gt;="&amp;DATE(YEAR(A102),MONTH(A102),1),交易记录!$A$6:$A$605,"&lt;"&amp;DATE(YEAR(A102),MONTH(A102)+1,1),交易记录!$C$6:$C$605,"买入",交易记录!$P$6:$P$605,"&lt;&gt;分红再投",交易记录!$P$6:$P$605,"&lt;&gt;其他",交易记录!$B$6:$B$605,"QQQM")+SUMIFS(交易记录!$E$6:$E$605,交易记录!$A$6:$A$605,"&gt;="&amp;DATE(YEAR(A102),MONTH(A102),1),交易记录!$A$6:$A$605,"&lt;"&amp;DATE(YEAR(A102),MONTH(A102)+1,1),交易记录!$C$6:$C$605,"买入",交易记录!$P$6:$P$605,"&lt;&gt;分红再投",交易记录!$P$6:$P$605,"&lt;&gt;其他",交易记录!$B$6:$B$605,"VOO")+SUMIFS(交易记录!$E$6:$E$605,交易记录!$A$6:$A$605,"&gt;="&amp;DATE(YEAR(A102),MONTH(A102),1),交易记录!$A$6:$A$605,"&lt;"&amp;DATE(YEAR(A102),MONTH(A102)+1,1),交易记录!$C$6:$C$605,"买入",交易记录!$P$6:$P$605,"&lt;&gt;分红再投",交易记录!$P$6:$P$605,"&lt;&gt;其他",交易记录!$B$6:$B$605,"QQQM")</f>
        <v>0</v>
      </c>
      <c r="N102" s="21">
        <f t="shared" si="22"/>
        <v>0</v>
      </c>
      <c r="O102" s="22"/>
      <c r="P102" s="21">
        <f t="shared" si="23"/>
        <v>0</v>
      </c>
      <c r="Q102" s="21">
        <f t="shared" si="24"/>
        <v>5000</v>
      </c>
      <c r="R102" s="20" t="str">
        <f t="shared" si="25"/>
        <v>待补指数收盘／历史基准；先列基础额</v>
      </c>
      <c r="S102" s="28"/>
    </row>
    <row r="103" spans="1:19" ht="28.5" customHeight="1">
      <c r="A103" s="25">
        <f>月度计划!A100</f>
        <v>49166</v>
      </c>
      <c r="B103" s="26"/>
      <c r="C103" s="22"/>
      <c r="D103" s="22"/>
      <c r="E103" s="21">
        <f t="shared" si="26"/>
        <v>7794.35</v>
      </c>
      <c r="F103" s="27" t="str">
        <f t="shared" si="18"/>
        <v/>
      </c>
      <c r="G103" s="21" t="str">
        <f t="shared" si="19"/>
        <v/>
      </c>
      <c r="H103" s="21">
        <f>MAX(0,$E$4-SUM($P$9:P102))</f>
        <v>5000</v>
      </c>
      <c r="I103" s="21">
        <f t="shared" si="20"/>
        <v>0</v>
      </c>
      <c r="J103" s="21">
        <f t="shared" si="21"/>
        <v>500</v>
      </c>
      <c r="K103" s="21">
        <f>J103*总览!$B$8</f>
        <v>450</v>
      </c>
      <c r="L103" s="21">
        <f>J103*总览!$B$9</f>
        <v>50</v>
      </c>
      <c r="M103" s="21">
        <f>SUMIFS(交易记录!$D$6:$D$605,交易记录!$A$6:$A$605,"&gt;="&amp;DATE(YEAR(A103),MONTH(A103),1),交易记录!$A$6:$A$605,"&lt;"&amp;DATE(YEAR(A103),MONTH(A103)+1,1),交易记录!$C$6:$C$605,"买入",交易记录!$P$6:$P$605,"&lt;&gt;分红再投",交易记录!$P$6:$P$605,"&lt;&gt;其他",交易记录!$B$6:$B$605,"VOO")+SUMIFS(交易记录!$D$6:$D$605,交易记录!$A$6:$A$605,"&gt;="&amp;DATE(YEAR(A103),MONTH(A103),1),交易记录!$A$6:$A$605,"&lt;"&amp;DATE(YEAR(A103),MONTH(A103)+1,1),交易记录!$C$6:$C$605,"买入",交易记录!$P$6:$P$605,"&lt;&gt;分红再投",交易记录!$P$6:$P$605,"&lt;&gt;其他",交易记录!$B$6:$B$605,"QQQM")+SUMIFS(交易记录!$E$6:$E$605,交易记录!$A$6:$A$605,"&gt;="&amp;DATE(YEAR(A103),MONTH(A103),1),交易记录!$A$6:$A$605,"&lt;"&amp;DATE(YEAR(A103),MONTH(A103)+1,1),交易记录!$C$6:$C$605,"买入",交易记录!$P$6:$P$605,"&lt;&gt;分红再投",交易记录!$P$6:$P$605,"&lt;&gt;其他",交易记录!$B$6:$B$605,"VOO")+SUMIFS(交易记录!$E$6:$E$605,交易记录!$A$6:$A$605,"&gt;="&amp;DATE(YEAR(A103),MONTH(A103),1),交易记录!$A$6:$A$605,"&lt;"&amp;DATE(YEAR(A103),MONTH(A103)+1,1),交易记录!$C$6:$C$605,"买入",交易记录!$P$6:$P$605,"&lt;&gt;分红再投",交易记录!$P$6:$P$605,"&lt;&gt;其他",交易记录!$B$6:$B$605,"QQQM")</f>
        <v>0</v>
      </c>
      <c r="N103" s="21">
        <f t="shared" si="22"/>
        <v>0</v>
      </c>
      <c r="O103" s="22"/>
      <c r="P103" s="21">
        <f t="shared" si="23"/>
        <v>0</v>
      </c>
      <c r="Q103" s="21">
        <f t="shared" si="24"/>
        <v>5000</v>
      </c>
      <c r="R103" s="20" t="str">
        <f t="shared" si="25"/>
        <v>待补指数收盘／历史基准；先列基础额</v>
      </c>
      <c r="S103" s="28"/>
    </row>
    <row r="104" spans="1:19" ht="28.5" customHeight="1">
      <c r="A104" s="25">
        <f>月度计划!A101</f>
        <v>49197</v>
      </c>
      <c r="B104" s="26"/>
      <c r="C104" s="22"/>
      <c r="D104" s="22"/>
      <c r="E104" s="21">
        <f t="shared" si="26"/>
        <v>7794.35</v>
      </c>
      <c r="F104" s="27" t="str">
        <f t="shared" si="18"/>
        <v/>
      </c>
      <c r="G104" s="21" t="str">
        <f t="shared" si="19"/>
        <v/>
      </c>
      <c r="H104" s="21">
        <f>MAX(0,$E$4-SUM($P$9:P103))</f>
        <v>5000</v>
      </c>
      <c r="I104" s="21">
        <f t="shared" si="20"/>
        <v>0</v>
      </c>
      <c r="J104" s="21">
        <f t="shared" si="21"/>
        <v>500</v>
      </c>
      <c r="K104" s="21">
        <f>J104*总览!$B$8</f>
        <v>450</v>
      </c>
      <c r="L104" s="21">
        <f>J104*总览!$B$9</f>
        <v>50</v>
      </c>
      <c r="M104" s="21">
        <f>SUMIFS(交易记录!$D$6:$D$605,交易记录!$A$6:$A$605,"&gt;="&amp;DATE(YEAR(A104),MONTH(A104),1),交易记录!$A$6:$A$605,"&lt;"&amp;DATE(YEAR(A104),MONTH(A104)+1,1),交易记录!$C$6:$C$605,"买入",交易记录!$P$6:$P$605,"&lt;&gt;分红再投",交易记录!$P$6:$P$605,"&lt;&gt;其他",交易记录!$B$6:$B$605,"VOO")+SUMIFS(交易记录!$D$6:$D$605,交易记录!$A$6:$A$605,"&gt;="&amp;DATE(YEAR(A104),MONTH(A104),1),交易记录!$A$6:$A$605,"&lt;"&amp;DATE(YEAR(A104),MONTH(A104)+1,1),交易记录!$C$6:$C$605,"买入",交易记录!$P$6:$P$605,"&lt;&gt;分红再投",交易记录!$P$6:$P$605,"&lt;&gt;其他",交易记录!$B$6:$B$605,"QQQM")+SUMIFS(交易记录!$E$6:$E$605,交易记录!$A$6:$A$605,"&gt;="&amp;DATE(YEAR(A104),MONTH(A104),1),交易记录!$A$6:$A$605,"&lt;"&amp;DATE(YEAR(A104),MONTH(A104)+1,1),交易记录!$C$6:$C$605,"买入",交易记录!$P$6:$P$605,"&lt;&gt;分红再投",交易记录!$P$6:$P$605,"&lt;&gt;其他",交易记录!$B$6:$B$605,"VOO")+SUMIFS(交易记录!$E$6:$E$605,交易记录!$A$6:$A$605,"&gt;="&amp;DATE(YEAR(A104),MONTH(A104),1),交易记录!$A$6:$A$605,"&lt;"&amp;DATE(YEAR(A104),MONTH(A104)+1,1),交易记录!$C$6:$C$605,"买入",交易记录!$P$6:$P$605,"&lt;&gt;分红再投",交易记录!$P$6:$P$605,"&lt;&gt;其他",交易记录!$B$6:$B$605,"QQQM")</f>
        <v>0</v>
      </c>
      <c r="N104" s="21">
        <f t="shared" si="22"/>
        <v>0</v>
      </c>
      <c r="O104" s="22"/>
      <c r="P104" s="21">
        <f t="shared" si="23"/>
        <v>0</v>
      </c>
      <c r="Q104" s="21">
        <f t="shared" si="24"/>
        <v>5000</v>
      </c>
      <c r="R104" s="20" t="str">
        <f t="shared" si="25"/>
        <v>待补指数收盘／历史基准；先列基础额</v>
      </c>
      <c r="S104" s="28"/>
    </row>
    <row r="105" spans="1:19" ht="28.5" customHeight="1">
      <c r="A105" s="25">
        <f>月度计划!A102</f>
        <v>49227</v>
      </c>
      <c r="B105" s="26"/>
      <c r="C105" s="22"/>
      <c r="D105" s="22"/>
      <c r="E105" s="21">
        <f t="shared" si="26"/>
        <v>7794.35</v>
      </c>
      <c r="F105" s="27" t="str">
        <f t="shared" ref="F105:F136" si="27">IF(AND(ISNUMBER(B105),ISNUMBER(C105),C105&gt;0,ISNUMBER(E105),E105&gt;0),MAX(0,1-C105/E105),"")</f>
        <v/>
      </c>
      <c r="G105" s="21" t="str">
        <f t="shared" ref="G105:G136" si="28">IF(F105="","",IF(ROUND(F105,10)&lt;0.1,$B$4,IF(ROUND(F105,10)&lt;0.2,$B$4+250,$B$4+500)))</f>
        <v/>
      </c>
      <c r="H105" s="21">
        <f>MAX(0,$E$4-SUM($P$9:P104))</f>
        <v>5000</v>
      </c>
      <c r="I105" s="21">
        <f t="shared" ref="I105:I136" si="29">IF(G105="",0,MIN(MAX(0,G105-$B$4),H105))</f>
        <v>0</v>
      </c>
      <c r="J105" s="21">
        <f t="shared" ref="J105:J136" si="30">$B$4+I105</f>
        <v>500</v>
      </c>
      <c r="K105" s="21">
        <f>J105*总览!$B$8</f>
        <v>450</v>
      </c>
      <c r="L105" s="21">
        <f>J105*总览!$B$9</f>
        <v>50</v>
      </c>
      <c r="M105" s="21">
        <f>SUMIFS(交易记录!$D$6:$D$605,交易记录!$A$6:$A$605,"&gt;="&amp;DATE(YEAR(A105),MONTH(A105),1),交易记录!$A$6:$A$605,"&lt;"&amp;DATE(YEAR(A105),MONTH(A105)+1,1),交易记录!$C$6:$C$605,"买入",交易记录!$P$6:$P$605,"&lt;&gt;分红再投",交易记录!$P$6:$P$605,"&lt;&gt;其他",交易记录!$B$6:$B$605,"VOO")+SUMIFS(交易记录!$D$6:$D$605,交易记录!$A$6:$A$605,"&gt;="&amp;DATE(YEAR(A105),MONTH(A105),1),交易记录!$A$6:$A$605,"&lt;"&amp;DATE(YEAR(A105),MONTH(A105)+1,1),交易记录!$C$6:$C$605,"买入",交易记录!$P$6:$P$605,"&lt;&gt;分红再投",交易记录!$P$6:$P$605,"&lt;&gt;其他",交易记录!$B$6:$B$605,"QQQM")+SUMIFS(交易记录!$E$6:$E$605,交易记录!$A$6:$A$605,"&gt;="&amp;DATE(YEAR(A105),MONTH(A105),1),交易记录!$A$6:$A$605,"&lt;"&amp;DATE(YEAR(A105),MONTH(A105)+1,1),交易记录!$C$6:$C$605,"买入",交易记录!$P$6:$P$605,"&lt;&gt;分红再投",交易记录!$P$6:$P$605,"&lt;&gt;其他",交易记录!$B$6:$B$605,"VOO")+SUMIFS(交易记录!$E$6:$E$605,交易记录!$A$6:$A$605,"&gt;="&amp;DATE(YEAR(A105),MONTH(A105),1),交易记录!$A$6:$A$605,"&lt;"&amp;DATE(YEAR(A105),MONTH(A105)+1,1),交易记录!$C$6:$C$605,"买入",交易记录!$P$6:$P$605,"&lt;&gt;分红再投",交易记录!$P$6:$P$605,"&lt;&gt;其他",交易记录!$B$6:$B$605,"QQQM")</f>
        <v>0</v>
      </c>
      <c r="N105" s="21">
        <f t="shared" ref="N105:N136" si="31">MAX(0,M105-$B$4)</f>
        <v>0</v>
      </c>
      <c r="O105" s="22"/>
      <c r="P105" s="21">
        <f t="shared" ref="P105:P136" si="32">IF(O105="",N105,O105)</f>
        <v>0</v>
      </c>
      <c r="Q105" s="21">
        <f t="shared" ref="Q105:Q136" si="33">MAX(0,H105-P105)</f>
        <v>5000</v>
      </c>
      <c r="R105" s="20" t="str">
        <f t="shared" ref="R105:R128" si="34">IF(P105&gt;H105+0.005,"实际加投超剩余预算，请核对",IF(H105=0,"预算用完：基础定投",IF(F105="","待补指数收盘／历史基准；先列基础额",IF(AND(B105&gt;A105,M105=0),"核对观察日是否在实际交易前",IF(AND(O105&lt;&gt;"",ABS(O105-N105)&gt;0.005),"已按手填额外支出扣预算",IF(M105=0,"已计算，尚未记录买入",IF(ABS(M105-J105)&lt;0.01,"已按计划记录","实际定投与计划有差额")))))))</f>
        <v>待补指数收盘／历史基准；先列基础额</v>
      </c>
      <c r="S105" s="28"/>
    </row>
    <row r="106" spans="1:19" ht="28.5" customHeight="1">
      <c r="A106" s="25">
        <f>月度计划!A103</f>
        <v>49258</v>
      </c>
      <c r="B106" s="26"/>
      <c r="C106" s="22"/>
      <c r="D106" s="22"/>
      <c r="E106" s="21">
        <f t="shared" ref="E106:E137" si="35">IF(MAX($H$4,E105,D106)&lt;=0,"",MAX($H$4,E105,D106,C106))</f>
        <v>7794.35</v>
      </c>
      <c r="F106" s="27" t="str">
        <f t="shared" si="27"/>
        <v/>
      </c>
      <c r="G106" s="21" t="str">
        <f t="shared" si="28"/>
        <v/>
      </c>
      <c r="H106" s="21">
        <f>MAX(0,$E$4-SUM($P$9:P105))</f>
        <v>5000</v>
      </c>
      <c r="I106" s="21">
        <f t="shared" si="29"/>
        <v>0</v>
      </c>
      <c r="J106" s="21">
        <f t="shared" si="30"/>
        <v>500</v>
      </c>
      <c r="K106" s="21">
        <f>J106*总览!$B$8</f>
        <v>450</v>
      </c>
      <c r="L106" s="21">
        <f>J106*总览!$B$9</f>
        <v>50</v>
      </c>
      <c r="M106" s="21">
        <f>SUMIFS(交易记录!$D$6:$D$605,交易记录!$A$6:$A$605,"&gt;="&amp;DATE(YEAR(A106),MONTH(A106),1),交易记录!$A$6:$A$605,"&lt;"&amp;DATE(YEAR(A106),MONTH(A106)+1,1),交易记录!$C$6:$C$605,"买入",交易记录!$P$6:$P$605,"&lt;&gt;分红再投",交易记录!$P$6:$P$605,"&lt;&gt;其他",交易记录!$B$6:$B$605,"VOO")+SUMIFS(交易记录!$D$6:$D$605,交易记录!$A$6:$A$605,"&gt;="&amp;DATE(YEAR(A106),MONTH(A106),1),交易记录!$A$6:$A$605,"&lt;"&amp;DATE(YEAR(A106),MONTH(A106)+1,1),交易记录!$C$6:$C$605,"买入",交易记录!$P$6:$P$605,"&lt;&gt;分红再投",交易记录!$P$6:$P$605,"&lt;&gt;其他",交易记录!$B$6:$B$605,"QQQM")+SUMIFS(交易记录!$E$6:$E$605,交易记录!$A$6:$A$605,"&gt;="&amp;DATE(YEAR(A106),MONTH(A106),1),交易记录!$A$6:$A$605,"&lt;"&amp;DATE(YEAR(A106),MONTH(A106)+1,1),交易记录!$C$6:$C$605,"买入",交易记录!$P$6:$P$605,"&lt;&gt;分红再投",交易记录!$P$6:$P$605,"&lt;&gt;其他",交易记录!$B$6:$B$605,"VOO")+SUMIFS(交易记录!$E$6:$E$605,交易记录!$A$6:$A$605,"&gt;="&amp;DATE(YEAR(A106),MONTH(A106),1),交易记录!$A$6:$A$605,"&lt;"&amp;DATE(YEAR(A106),MONTH(A106)+1,1),交易记录!$C$6:$C$605,"买入",交易记录!$P$6:$P$605,"&lt;&gt;分红再投",交易记录!$P$6:$P$605,"&lt;&gt;其他",交易记录!$B$6:$B$605,"QQQM")</f>
        <v>0</v>
      </c>
      <c r="N106" s="21">
        <f t="shared" si="31"/>
        <v>0</v>
      </c>
      <c r="O106" s="22"/>
      <c r="P106" s="21">
        <f t="shared" si="32"/>
        <v>0</v>
      </c>
      <c r="Q106" s="21">
        <f t="shared" si="33"/>
        <v>5000</v>
      </c>
      <c r="R106" s="20" t="str">
        <f t="shared" si="34"/>
        <v>待补指数收盘／历史基准；先列基础额</v>
      </c>
      <c r="S106" s="28"/>
    </row>
    <row r="107" spans="1:19" ht="28.5" customHeight="1">
      <c r="A107" s="25">
        <f>月度计划!A104</f>
        <v>49288</v>
      </c>
      <c r="B107" s="26"/>
      <c r="C107" s="22"/>
      <c r="D107" s="22"/>
      <c r="E107" s="21">
        <f t="shared" si="35"/>
        <v>7794.35</v>
      </c>
      <c r="F107" s="27" t="str">
        <f t="shared" si="27"/>
        <v/>
      </c>
      <c r="G107" s="21" t="str">
        <f t="shared" si="28"/>
        <v/>
      </c>
      <c r="H107" s="21">
        <f>MAX(0,$E$4-SUM($P$9:P106))</f>
        <v>5000</v>
      </c>
      <c r="I107" s="21">
        <f t="shared" si="29"/>
        <v>0</v>
      </c>
      <c r="J107" s="21">
        <f t="shared" si="30"/>
        <v>500</v>
      </c>
      <c r="K107" s="21">
        <f>J107*总览!$B$8</f>
        <v>450</v>
      </c>
      <c r="L107" s="21">
        <f>J107*总览!$B$9</f>
        <v>50</v>
      </c>
      <c r="M107" s="21">
        <f>SUMIFS(交易记录!$D$6:$D$605,交易记录!$A$6:$A$605,"&gt;="&amp;DATE(YEAR(A107),MONTH(A107),1),交易记录!$A$6:$A$605,"&lt;"&amp;DATE(YEAR(A107),MONTH(A107)+1,1),交易记录!$C$6:$C$605,"买入",交易记录!$P$6:$P$605,"&lt;&gt;分红再投",交易记录!$P$6:$P$605,"&lt;&gt;其他",交易记录!$B$6:$B$605,"VOO")+SUMIFS(交易记录!$D$6:$D$605,交易记录!$A$6:$A$605,"&gt;="&amp;DATE(YEAR(A107),MONTH(A107),1),交易记录!$A$6:$A$605,"&lt;"&amp;DATE(YEAR(A107),MONTH(A107)+1,1),交易记录!$C$6:$C$605,"买入",交易记录!$P$6:$P$605,"&lt;&gt;分红再投",交易记录!$P$6:$P$605,"&lt;&gt;其他",交易记录!$B$6:$B$605,"QQQM")+SUMIFS(交易记录!$E$6:$E$605,交易记录!$A$6:$A$605,"&gt;="&amp;DATE(YEAR(A107),MONTH(A107),1),交易记录!$A$6:$A$605,"&lt;"&amp;DATE(YEAR(A107),MONTH(A107)+1,1),交易记录!$C$6:$C$605,"买入",交易记录!$P$6:$P$605,"&lt;&gt;分红再投",交易记录!$P$6:$P$605,"&lt;&gt;其他",交易记录!$B$6:$B$605,"VOO")+SUMIFS(交易记录!$E$6:$E$605,交易记录!$A$6:$A$605,"&gt;="&amp;DATE(YEAR(A107),MONTH(A107),1),交易记录!$A$6:$A$605,"&lt;"&amp;DATE(YEAR(A107),MONTH(A107)+1,1),交易记录!$C$6:$C$605,"买入",交易记录!$P$6:$P$605,"&lt;&gt;分红再投",交易记录!$P$6:$P$605,"&lt;&gt;其他",交易记录!$B$6:$B$605,"QQQM")</f>
        <v>0</v>
      </c>
      <c r="N107" s="21">
        <f t="shared" si="31"/>
        <v>0</v>
      </c>
      <c r="O107" s="22"/>
      <c r="P107" s="21">
        <f t="shared" si="32"/>
        <v>0</v>
      </c>
      <c r="Q107" s="21">
        <f t="shared" si="33"/>
        <v>5000</v>
      </c>
      <c r="R107" s="20" t="str">
        <f t="shared" si="34"/>
        <v>待补指数收盘／历史基准；先列基础额</v>
      </c>
      <c r="S107" s="28"/>
    </row>
    <row r="108" spans="1:19" ht="28.5" customHeight="1">
      <c r="A108" s="25">
        <f>月度计划!A105</f>
        <v>49319</v>
      </c>
      <c r="B108" s="26"/>
      <c r="C108" s="22"/>
      <c r="D108" s="22"/>
      <c r="E108" s="21">
        <f t="shared" si="35"/>
        <v>7794.35</v>
      </c>
      <c r="F108" s="27" t="str">
        <f t="shared" si="27"/>
        <v/>
      </c>
      <c r="G108" s="21" t="str">
        <f t="shared" si="28"/>
        <v/>
      </c>
      <c r="H108" s="21">
        <f>MAX(0,$E$4-SUM($P$9:P107))</f>
        <v>5000</v>
      </c>
      <c r="I108" s="21">
        <f t="shared" si="29"/>
        <v>0</v>
      </c>
      <c r="J108" s="21">
        <f t="shared" si="30"/>
        <v>500</v>
      </c>
      <c r="K108" s="21">
        <f>J108*总览!$B$8</f>
        <v>450</v>
      </c>
      <c r="L108" s="21">
        <f>J108*总览!$B$9</f>
        <v>50</v>
      </c>
      <c r="M108" s="21">
        <f>SUMIFS(交易记录!$D$6:$D$605,交易记录!$A$6:$A$605,"&gt;="&amp;DATE(YEAR(A108),MONTH(A108),1),交易记录!$A$6:$A$605,"&lt;"&amp;DATE(YEAR(A108),MONTH(A108)+1,1),交易记录!$C$6:$C$605,"买入",交易记录!$P$6:$P$605,"&lt;&gt;分红再投",交易记录!$P$6:$P$605,"&lt;&gt;其他",交易记录!$B$6:$B$605,"VOO")+SUMIFS(交易记录!$D$6:$D$605,交易记录!$A$6:$A$605,"&gt;="&amp;DATE(YEAR(A108),MONTH(A108),1),交易记录!$A$6:$A$605,"&lt;"&amp;DATE(YEAR(A108),MONTH(A108)+1,1),交易记录!$C$6:$C$605,"买入",交易记录!$P$6:$P$605,"&lt;&gt;分红再投",交易记录!$P$6:$P$605,"&lt;&gt;其他",交易记录!$B$6:$B$605,"QQQM")+SUMIFS(交易记录!$E$6:$E$605,交易记录!$A$6:$A$605,"&gt;="&amp;DATE(YEAR(A108),MONTH(A108),1),交易记录!$A$6:$A$605,"&lt;"&amp;DATE(YEAR(A108),MONTH(A108)+1,1),交易记录!$C$6:$C$605,"买入",交易记录!$P$6:$P$605,"&lt;&gt;分红再投",交易记录!$P$6:$P$605,"&lt;&gt;其他",交易记录!$B$6:$B$605,"VOO")+SUMIFS(交易记录!$E$6:$E$605,交易记录!$A$6:$A$605,"&gt;="&amp;DATE(YEAR(A108),MONTH(A108),1),交易记录!$A$6:$A$605,"&lt;"&amp;DATE(YEAR(A108),MONTH(A108)+1,1),交易记录!$C$6:$C$605,"买入",交易记录!$P$6:$P$605,"&lt;&gt;分红再投",交易记录!$P$6:$P$605,"&lt;&gt;其他",交易记录!$B$6:$B$605,"QQQM")</f>
        <v>0</v>
      </c>
      <c r="N108" s="21">
        <f t="shared" si="31"/>
        <v>0</v>
      </c>
      <c r="O108" s="22"/>
      <c r="P108" s="21">
        <f t="shared" si="32"/>
        <v>0</v>
      </c>
      <c r="Q108" s="21">
        <f t="shared" si="33"/>
        <v>5000</v>
      </c>
      <c r="R108" s="20" t="str">
        <f t="shared" si="34"/>
        <v>待补指数收盘／历史基准；先列基础额</v>
      </c>
      <c r="S108" s="28"/>
    </row>
    <row r="109" spans="1:19" ht="28.5" customHeight="1">
      <c r="A109" s="25">
        <f>月度计划!A106</f>
        <v>49350</v>
      </c>
      <c r="B109" s="26"/>
      <c r="C109" s="22"/>
      <c r="D109" s="22"/>
      <c r="E109" s="21">
        <f t="shared" si="35"/>
        <v>7794.35</v>
      </c>
      <c r="F109" s="27" t="str">
        <f t="shared" si="27"/>
        <v/>
      </c>
      <c r="G109" s="21" t="str">
        <f t="shared" si="28"/>
        <v/>
      </c>
      <c r="H109" s="21">
        <f>MAX(0,$E$4-SUM($P$9:P108))</f>
        <v>5000</v>
      </c>
      <c r="I109" s="21">
        <f t="shared" si="29"/>
        <v>0</v>
      </c>
      <c r="J109" s="21">
        <f t="shared" si="30"/>
        <v>500</v>
      </c>
      <c r="K109" s="21">
        <f>J109*总览!$B$8</f>
        <v>450</v>
      </c>
      <c r="L109" s="21">
        <f>J109*总览!$B$9</f>
        <v>50</v>
      </c>
      <c r="M109" s="21">
        <f>SUMIFS(交易记录!$D$6:$D$605,交易记录!$A$6:$A$605,"&gt;="&amp;DATE(YEAR(A109),MONTH(A109),1),交易记录!$A$6:$A$605,"&lt;"&amp;DATE(YEAR(A109),MONTH(A109)+1,1),交易记录!$C$6:$C$605,"买入",交易记录!$P$6:$P$605,"&lt;&gt;分红再投",交易记录!$P$6:$P$605,"&lt;&gt;其他",交易记录!$B$6:$B$605,"VOO")+SUMIFS(交易记录!$D$6:$D$605,交易记录!$A$6:$A$605,"&gt;="&amp;DATE(YEAR(A109),MONTH(A109),1),交易记录!$A$6:$A$605,"&lt;"&amp;DATE(YEAR(A109),MONTH(A109)+1,1),交易记录!$C$6:$C$605,"买入",交易记录!$P$6:$P$605,"&lt;&gt;分红再投",交易记录!$P$6:$P$605,"&lt;&gt;其他",交易记录!$B$6:$B$605,"QQQM")+SUMIFS(交易记录!$E$6:$E$605,交易记录!$A$6:$A$605,"&gt;="&amp;DATE(YEAR(A109),MONTH(A109),1),交易记录!$A$6:$A$605,"&lt;"&amp;DATE(YEAR(A109),MONTH(A109)+1,1),交易记录!$C$6:$C$605,"买入",交易记录!$P$6:$P$605,"&lt;&gt;分红再投",交易记录!$P$6:$P$605,"&lt;&gt;其他",交易记录!$B$6:$B$605,"VOO")+SUMIFS(交易记录!$E$6:$E$605,交易记录!$A$6:$A$605,"&gt;="&amp;DATE(YEAR(A109),MONTH(A109),1),交易记录!$A$6:$A$605,"&lt;"&amp;DATE(YEAR(A109),MONTH(A109)+1,1),交易记录!$C$6:$C$605,"买入",交易记录!$P$6:$P$605,"&lt;&gt;分红再投",交易记录!$P$6:$P$605,"&lt;&gt;其他",交易记录!$B$6:$B$605,"QQQM")</f>
        <v>0</v>
      </c>
      <c r="N109" s="21">
        <f t="shared" si="31"/>
        <v>0</v>
      </c>
      <c r="O109" s="22"/>
      <c r="P109" s="21">
        <f t="shared" si="32"/>
        <v>0</v>
      </c>
      <c r="Q109" s="21">
        <f t="shared" si="33"/>
        <v>5000</v>
      </c>
      <c r="R109" s="20" t="str">
        <f t="shared" si="34"/>
        <v>待补指数收盘／历史基准；先列基础额</v>
      </c>
      <c r="S109" s="28"/>
    </row>
    <row r="110" spans="1:19" ht="28.5" customHeight="1">
      <c r="A110" s="25">
        <f>月度计划!A107</f>
        <v>49378</v>
      </c>
      <c r="B110" s="26"/>
      <c r="C110" s="22"/>
      <c r="D110" s="22"/>
      <c r="E110" s="21">
        <f t="shared" si="35"/>
        <v>7794.35</v>
      </c>
      <c r="F110" s="27" t="str">
        <f t="shared" si="27"/>
        <v/>
      </c>
      <c r="G110" s="21" t="str">
        <f t="shared" si="28"/>
        <v/>
      </c>
      <c r="H110" s="21">
        <f>MAX(0,$E$4-SUM($P$9:P109))</f>
        <v>5000</v>
      </c>
      <c r="I110" s="21">
        <f t="shared" si="29"/>
        <v>0</v>
      </c>
      <c r="J110" s="21">
        <f t="shared" si="30"/>
        <v>500</v>
      </c>
      <c r="K110" s="21">
        <f>J110*总览!$B$8</f>
        <v>450</v>
      </c>
      <c r="L110" s="21">
        <f>J110*总览!$B$9</f>
        <v>50</v>
      </c>
      <c r="M110" s="21">
        <f>SUMIFS(交易记录!$D$6:$D$605,交易记录!$A$6:$A$605,"&gt;="&amp;DATE(YEAR(A110),MONTH(A110),1),交易记录!$A$6:$A$605,"&lt;"&amp;DATE(YEAR(A110),MONTH(A110)+1,1),交易记录!$C$6:$C$605,"买入",交易记录!$P$6:$P$605,"&lt;&gt;分红再投",交易记录!$P$6:$P$605,"&lt;&gt;其他",交易记录!$B$6:$B$605,"VOO")+SUMIFS(交易记录!$D$6:$D$605,交易记录!$A$6:$A$605,"&gt;="&amp;DATE(YEAR(A110),MONTH(A110),1),交易记录!$A$6:$A$605,"&lt;"&amp;DATE(YEAR(A110),MONTH(A110)+1,1),交易记录!$C$6:$C$605,"买入",交易记录!$P$6:$P$605,"&lt;&gt;分红再投",交易记录!$P$6:$P$605,"&lt;&gt;其他",交易记录!$B$6:$B$605,"QQQM")+SUMIFS(交易记录!$E$6:$E$605,交易记录!$A$6:$A$605,"&gt;="&amp;DATE(YEAR(A110),MONTH(A110),1),交易记录!$A$6:$A$605,"&lt;"&amp;DATE(YEAR(A110),MONTH(A110)+1,1),交易记录!$C$6:$C$605,"买入",交易记录!$P$6:$P$605,"&lt;&gt;分红再投",交易记录!$P$6:$P$605,"&lt;&gt;其他",交易记录!$B$6:$B$605,"VOO")+SUMIFS(交易记录!$E$6:$E$605,交易记录!$A$6:$A$605,"&gt;="&amp;DATE(YEAR(A110),MONTH(A110),1),交易记录!$A$6:$A$605,"&lt;"&amp;DATE(YEAR(A110),MONTH(A110)+1,1),交易记录!$C$6:$C$605,"买入",交易记录!$P$6:$P$605,"&lt;&gt;分红再投",交易记录!$P$6:$P$605,"&lt;&gt;其他",交易记录!$B$6:$B$605,"QQQM")</f>
        <v>0</v>
      </c>
      <c r="N110" s="21">
        <f t="shared" si="31"/>
        <v>0</v>
      </c>
      <c r="O110" s="22"/>
      <c r="P110" s="21">
        <f t="shared" si="32"/>
        <v>0</v>
      </c>
      <c r="Q110" s="21">
        <f t="shared" si="33"/>
        <v>5000</v>
      </c>
      <c r="R110" s="20" t="str">
        <f t="shared" si="34"/>
        <v>待补指数收盘／历史基准；先列基础额</v>
      </c>
      <c r="S110" s="28"/>
    </row>
    <row r="111" spans="1:19" ht="28.5" customHeight="1">
      <c r="A111" s="25">
        <f>月度计划!A108</f>
        <v>49409</v>
      </c>
      <c r="B111" s="26"/>
      <c r="C111" s="22"/>
      <c r="D111" s="22"/>
      <c r="E111" s="21">
        <f t="shared" si="35"/>
        <v>7794.35</v>
      </c>
      <c r="F111" s="27" t="str">
        <f t="shared" si="27"/>
        <v/>
      </c>
      <c r="G111" s="21" t="str">
        <f t="shared" si="28"/>
        <v/>
      </c>
      <c r="H111" s="21">
        <f>MAX(0,$E$4-SUM($P$9:P110))</f>
        <v>5000</v>
      </c>
      <c r="I111" s="21">
        <f t="shared" si="29"/>
        <v>0</v>
      </c>
      <c r="J111" s="21">
        <f t="shared" si="30"/>
        <v>500</v>
      </c>
      <c r="K111" s="21">
        <f>J111*总览!$B$8</f>
        <v>450</v>
      </c>
      <c r="L111" s="21">
        <f>J111*总览!$B$9</f>
        <v>50</v>
      </c>
      <c r="M111" s="21">
        <f>SUMIFS(交易记录!$D$6:$D$605,交易记录!$A$6:$A$605,"&gt;="&amp;DATE(YEAR(A111),MONTH(A111),1),交易记录!$A$6:$A$605,"&lt;"&amp;DATE(YEAR(A111),MONTH(A111)+1,1),交易记录!$C$6:$C$605,"买入",交易记录!$P$6:$P$605,"&lt;&gt;分红再投",交易记录!$P$6:$P$605,"&lt;&gt;其他",交易记录!$B$6:$B$605,"VOO")+SUMIFS(交易记录!$D$6:$D$605,交易记录!$A$6:$A$605,"&gt;="&amp;DATE(YEAR(A111),MONTH(A111),1),交易记录!$A$6:$A$605,"&lt;"&amp;DATE(YEAR(A111),MONTH(A111)+1,1),交易记录!$C$6:$C$605,"买入",交易记录!$P$6:$P$605,"&lt;&gt;分红再投",交易记录!$P$6:$P$605,"&lt;&gt;其他",交易记录!$B$6:$B$605,"QQQM")+SUMIFS(交易记录!$E$6:$E$605,交易记录!$A$6:$A$605,"&gt;="&amp;DATE(YEAR(A111),MONTH(A111),1),交易记录!$A$6:$A$605,"&lt;"&amp;DATE(YEAR(A111),MONTH(A111)+1,1),交易记录!$C$6:$C$605,"买入",交易记录!$P$6:$P$605,"&lt;&gt;分红再投",交易记录!$P$6:$P$605,"&lt;&gt;其他",交易记录!$B$6:$B$605,"VOO")+SUMIFS(交易记录!$E$6:$E$605,交易记录!$A$6:$A$605,"&gt;="&amp;DATE(YEAR(A111),MONTH(A111),1),交易记录!$A$6:$A$605,"&lt;"&amp;DATE(YEAR(A111),MONTH(A111)+1,1),交易记录!$C$6:$C$605,"买入",交易记录!$P$6:$P$605,"&lt;&gt;分红再投",交易记录!$P$6:$P$605,"&lt;&gt;其他",交易记录!$B$6:$B$605,"QQQM")</f>
        <v>0</v>
      </c>
      <c r="N111" s="21">
        <f t="shared" si="31"/>
        <v>0</v>
      </c>
      <c r="O111" s="22"/>
      <c r="P111" s="21">
        <f t="shared" si="32"/>
        <v>0</v>
      </c>
      <c r="Q111" s="21">
        <f t="shared" si="33"/>
        <v>5000</v>
      </c>
      <c r="R111" s="20" t="str">
        <f t="shared" si="34"/>
        <v>待补指数收盘／历史基准；先列基础额</v>
      </c>
      <c r="S111" s="28"/>
    </row>
    <row r="112" spans="1:19" ht="28.5" customHeight="1">
      <c r="A112" s="25">
        <f>月度计划!A109</f>
        <v>49439</v>
      </c>
      <c r="B112" s="26"/>
      <c r="C112" s="22"/>
      <c r="D112" s="22"/>
      <c r="E112" s="21">
        <f t="shared" si="35"/>
        <v>7794.35</v>
      </c>
      <c r="F112" s="27" t="str">
        <f t="shared" si="27"/>
        <v/>
      </c>
      <c r="G112" s="21" t="str">
        <f t="shared" si="28"/>
        <v/>
      </c>
      <c r="H112" s="21">
        <f>MAX(0,$E$4-SUM($P$9:P111))</f>
        <v>5000</v>
      </c>
      <c r="I112" s="21">
        <f t="shared" si="29"/>
        <v>0</v>
      </c>
      <c r="J112" s="21">
        <f t="shared" si="30"/>
        <v>500</v>
      </c>
      <c r="K112" s="21">
        <f>J112*总览!$B$8</f>
        <v>450</v>
      </c>
      <c r="L112" s="21">
        <f>J112*总览!$B$9</f>
        <v>50</v>
      </c>
      <c r="M112" s="21">
        <f>SUMIFS(交易记录!$D$6:$D$605,交易记录!$A$6:$A$605,"&gt;="&amp;DATE(YEAR(A112),MONTH(A112),1),交易记录!$A$6:$A$605,"&lt;"&amp;DATE(YEAR(A112),MONTH(A112)+1,1),交易记录!$C$6:$C$605,"买入",交易记录!$P$6:$P$605,"&lt;&gt;分红再投",交易记录!$P$6:$P$605,"&lt;&gt;其他",交易记录!$B$6:$B$605,"VOO")+SUMIFS(交易记录!$D$6:$D$605,交易记录!$A$6:$A$605,"&gt;="&amp;DATE(YEAR(A112),MONTH(A112),1),交易记录!$A$6:$A$605,"&lt;"&amp;DATE(YEAR(A112),MONTH(A112)+1,1),交易记录!$C$6:$C$605,"买入",交易记录!$P$6:$P$605,"&lt;&gt;分红再投",交易记录!$P$6:$P$605,"&lt;&gt;其他",交易记录!$B$6:$B$605,"QQQM")+SUMIFS(交易记录!$E$6:$E$605,交易记录!$A$6:$A$605,"&gt;="&amp;DATE(YEAR(A112),MONTH(A112),1),交易记录!$A$6:$A$605,"&lt;"&amp;DATE(YEAR(A112),MONTH(A112)+1,1),交易记录!$C$6:$C$605,"买入",交易记录!$P$6:$P$605,"&lt;&gt;分红再投",交易记录!$P$6:$P$605,"&lt;&gt;其他",交易记录!$B$6:$B$605,"VOO")+SUMIFS(交易记录!$E$6:$E$605,交易记录!$A$6:$A$605,"&gt;="&amp;DATE(YEAR(A112),MONTH(A112),1),交易记录!$A$6:$A$605,"&lt;"&amp;DATE(YEAR(A112),MONTH(A112)+1,1),交易记录!$C$6:$C$605,"买入",交易记录!$P$6:$P$605,"&lt;&gt;分红再投",交易记录!$P$6:$P$605,"&lt;&gt;其他",交易记录!$B$6:$B$605,"QQQM")</f>
        <v>0</v>
      </c>
      <c r="N112" s="21">
        <f t="shared" si="31"/>
        <v>0</v>
      </c>
      <c r="O112" s="22"/>
      <c r="P112" s="21">
        <f t="shared" si="32"/>
        <v>0</v>
      </c>
      <c r="Q112" s="21">
        <f t="shared" si="33"/>
        <v>5000</v>
      </c>
      <c r="R112" s="20" t="str">
        <f t="shared" si="34"/>
        <v>待补指数收盘／历史基准；先列基础额</v>
      </c>
      <c r="S112" s="28"/>
    </row>
    <row r="113" spans="1:19" ht="28.5" customHeight="1">
      <c r="A113" s="25">
        <f>月度计划!A110</f>
        <v>49470</v>
      </c>
      <c r="B113" s="26"/>
      <c r="C113" s="22"/>
      <c r="D113" s="22"/>
      <c r="E113" s="21">
        <f t="shared" si="35"/>
        <v>7794.35</v>
      </c>
      <c r="F113" s="27" t="str">
        <f t="shared" si="27"/>
        <v/>
      </c>
      <c r="G113" s="21" t="str">
        <f t="shared" si="28"/>
        <v/>
      </c>
      <c r="H113" s="21">
        <f>MAX(0,$E$4-SUM($P$9:P112))</f>
        <v>5000</v>
      </c>
      <c r="I113" s="21">
        <f t="shared" si="29"/>
        <v>0</v>
      </c>
      <c r="J113" s="21">
        <f t="shared" si="30"/>
        <v>500</v>
      </c>
      <c r="K113" s="21">
        <f>J113*总览!$B$8</f>
        <v>450</v>
      </c>
      <c r="L113" s="21">
        <f>J113*总览!$B$9</f>
        <v>50</v>
      </c>
      <c r="M113" s="21">
        <f>SUMIFS(交易记录!$D$6:$D$605,交易记录!$A$6:$A$605,"&gt;="&amp;DATE(YEAR(A113),MONTH(A113),1),交易记录!$A$6:$A$605,"&lt;"&amp;DATE(YEAR(A113),MONTH(A113)+1,1),交易记录!$C$6:$C$605,"买入",交易记录!$P$6:$P$605,"&lt;&gt;分红再投",交易记录!$P$6:$P$605,"&lt;&gt;其他",交易记录!$B$6:$B$605,"VOO")+SUMIFS(交易记录!$D$6:$D$605,交易记录!$A$6:$A$605,"&gt;="&amp;DATE(YEAR(A113),MONTH(A113),1),交易记录!$A$6:$A$605,"&lt;"&amp;DATE(YEAR(A113),MONTH(A113)+1,1),交易记录!$C$6:$C$605,"买入",交易记录!$P$6:$P$605,"&lt;&gt;分红再投",交易记录!$P$6:$P$605,"&lt;&gt;其他",交易记录!$B$6:$B$605,"QQQM")+SUMIFS(交易记录!$E$6:$E$605,交易记录!$A$6:$A$605,"&gt;="&amp;DATE(YEAR(A113),MONTH(A113),1),交易记录!$A$6:$A$605,"&lt;"&amp;DATE(YEAR(A113),MONTH(A113)+1,1),交易记录!$C$6:$C$605,"买入",交易记录!$P$6:$P$605,"&lt;&gt;分红再投",交易记录!$P$6:$P$605,"&lt;&gt;其他",交易记录!$B$6:$B$605,"VOO")+SUMIFS(交易记录!$E$6:$E$605,交易记录!$A$6:$A$605,"&gt;="&amp;DATE(YEAR(A113),MONTH(A113),1),交易记录!$A$6:$A$605,"&lt;"&amp;DATE(YEAR(A113),MONTH(A113)+1,1),交易记录!$C$6:$C$605,"买入",交易记录!$P$6:$P$605,"&lt;&gt;分红再投",交易记录!$P$6:$P$605,"&lt;&gt;其他",交易记录!$B$6:$B$605,"QQQM")</f>
        <v>0</v>
      </c>
      <c r="N113" s="21">
        <f t="shared" si="31"/>
        <v>0</v>
      </c>
      <c r="O113" s="22"/>
      <c r="P113" s="21">
        <f t="shared" si="32"/>
        <v>0</v>
      </c>
      <c r="Q113" s="21">
        <f t="shared" si="33"/>
        <v>5000</v>
      </c>
      <c r="R113" s="20" t="str">
        <f t="shared" si="34"/>
        <v>待补指数收盘／历史基准；先列基础额</v>
      </c>
      <c r="S113" s="28"/>
    </row>
    <row r="114" spans="1:19" ht="28.5" customHeight="1">
      <c r="A114" s="25">
        <f>月度计划!A111</f>
        <v>49500</v>
      </c>
      <c r="B114" s="26"/>
      <c r="C114" s="22"/>
      <c r="D114" s="22"/>
      <c r="E114" s="21">
        <f t="shared" si="35"/>
        <v>7794.35</v>
      </c>
      <c r="F114" s="27" t="str">
        <f t="shared" si="27"/>
        <v/>
      </c>
      <c r="G114" s="21" t="str">
        <f t="shared" si="28"/>
        <v/>
      </c>
      <c r="H114" s="21">
        <f>MAX(0,$E$4-SUM($P$9:P113))</f>
        <v>5000</v>
      </c>
      <c r="I114" s="21">
        <f t="shared" si="29"/>
        <v>0</v>
      </c>
      <c r="J114" s="21">
        <f t="shared" si="30"/>
        <v>500</v>
      </c>
      <c r="K114" s="21">
        <f>J114*总览!$B$8</f>
        <v>450</v>
      </c>
      <c r="L114" s="21">
        <f>J114*总览!$B$9</f>
        <v>50</v>
      </c>
      <c r="M114" s="21">
        <f>SUMIFS(交易记录!$D$6:$D$605,交易记录!$A$6:$A$605,"&gt;="&amp;DATE(YEAR(A114),MONTH(A114),1),交易记录!$A$6:$A$605,"&lt;"&amp;DATE(YEAR(A114),MONTH(A114)+1,1),交易记录!$C$6:$C$605,"买入",交易记录!$P$6:$P$605,"&lt;&gt;分红再投",交易记录!$P$6:$P$605,"&lt;&gt;其他",交易记录!$B$6:$B$605,"VOO")+SUMIFS(交易记录!$D$6:$D$605,交易记录!$A$6:$A$605,"&gt;="&amp;DATE(YEAR(A114),MONTH(A114),1),交易记录!$A$6:$A$605,"&lt;"&amp;DATE(YEAR(A114),MONTH(A114)+1,1),交易记录!$C$6:$C$605,"买入",交易记录!$P$6:$P$605,"&lt;&gt;分红再投",交易记录!$P$6:$P$605,"&lt;&gt;其他",交易记录!$B$6:$B$605,"QQQM")+SUMIFS(交易记录!$E$6:$E$605,交易记录!$A$6:$A$605,"&gt;="&amp;DATE(YEAR(A114),MONTH(A114),1),交易记录!$A$6:$A$605,"&lt;"&amp;DATE(YEAR(A114),MONTH(A114)+1,1),交易记录!$C$6:$C$605,"买入",交易记录!$P$6:$P$605,"&lt;&gt;分红再投",交易记录!$P$6:$P$605,"&lt;&gt;其他",交易记录!$B$6:$B$605,"VOO")+SUMIFS(交易记录!$E$6:$E$605,交易记录!$A$6:$A$605,"&gt;="&amp;DATE(YEAR(A114),MONTH(A114),1),交易记录!$A$6:$A$605,"&lt;"&amp;DATE(YEAR(A114),MONTH(A114)+1,1),交易记录!$C$6:$C$605,"买入",交易记录!$P$6:$P$605,"&lt;&gt;分红再投",交易记录!$P$6:$P$605,"&lt;&gt;其他",交易记录!$B$6:$B$605,"QQQM")</f>
        <v>0</v>
      </c>
      <c r="N114" s="21">
        <f t="shared" si="31"/>
        <v>0</v>
      </c>
      <c r="O114" s="22"/>
      <c r="P114" s="21">
        <f t="shared" si="32"/>
        <v>0</v>
      </c>
      <c r="Q114" s="21">
        <f t="shared" si="33"/>
        <v>5000</v>
      </c>
      <c r="R114" s="20" t="str">
        <f t="shared" si="34"/>
        <v>待补指数收盘／历史基准；先列基础额</v>
      </c>
      <c r="S114" s="28"/>
    </row>
    <row r="115" spans="1:19" ht="28.5" customHeight="1">
      <c r="A115" s="25">
        <f>月度计划!A112</f>
        <v>49531</v>
      </c>
      <c r="B115" s="26"/>
      <c r="C115" s="22"/>
      <c r="D115" s="22"/>
      <c r="E115" s="21">
        <f t="shared" si="35"/>
        <v>7794.35</v>
      </c>
      <c r="F115" s="27" t="str">
        <f t="shared" si="27"/>
        <v/>
      </c>
      <c r="G115" s="21" t="str">
        <f t="shared" si="28"/>
        <v/>
      </c>
      <c r="H115" s="21">
        <f>MAX(0,$E$4-SUM($P$9:P114))</f>
        <v>5000</v>
      </c>
      <c r="I115" s="21">
        <f t="shared" si="29"/>
        <v>0</v>
      </c>
      <c r="J115" s="21">
        <f t="shared" si="30"/>
        <v>500</v>
      </c>
      <c r="K115" s="21">
        <f>J115*总览!$B$8</f>
        <v>450</v>
      </c>
      <c r="L115" s="21">
        <f>J115*总览!$B$9</f>
        <v>50</v>
      </c>
      <c r="M115" s="21">
        <f>SUMIFS(交易记录!$D$6:$D$605,交易记录!$A$6:$A$605,"&gt;="&amp;DATE(YEAR(A115),MONTH(A115),1),交易记录!$A$6:$A$605,"&lt;"&amp;DATE(YEAR(A115),MONTH(A115)+1,1),交易记录!$C$6:$C$605,"买入",交易记录!$P$6:$P$605,"&lt;&gt;分红再投",交易记录!$P$6:$P$605,"&lt;&gt;其他",交易记录!$B$6:$B$605,"VOO")+SUMIFS(交易记录!$D$6:$D$605,交易记录!$A$6:$A$605,"&gt;="&amp;DATE(YEAR(A115),MONTH(A115),1),交易记录!$A$6:$A$605,"&lt;"&amp;DATE(YEAR(A115),MONTH(A115)+1,1),交易记录!$C$6:$C$605,"买入",交易记录!$P$6:$P$605,"&lt;&gt;分红再投",交易记录!$P$6:$P$605,"&lt;&gt;其他",交易记录!$B$6:$B$605,"QQQM")+SUMIFS(交易记录!$E$6:$E$605,交易记录!$A$6:$A$605,"&gt;="&amp;DATE(YEAR(A115),MONTH(A115),1),交易记录!$A$6:$A$605,"&lt;"&amp;DATE(YEAR(A115),MONTH(A115)+1,1),交易记录!$C$6:$C$605,"买入",交易记录!$P$6:$P$605,"&lt;&gt;分红再投",交易记录!$P$6:$P$605,"&lt;&gt;其他",交易记录!$B$6:$B$605,"VOO")+SUMIFS(交易记录!$E$6:$E$605,交易记录!$A$6:$A$605,"&gt;="&amp;DATE(YEAR(A115),MONTH(A115),1),交易记录!$A$6:$A$605,"&lt;"&amp;DATE(YEAR(A115),MONTH(A115)+1,1),交易记录!$C$6:$C$605,"买入",交易记录!$P$6:$P$605,"&lt;&gt;分红再投",交易记录!$P$6:$P$605,"&lt;&gt;其他",交易记录!$B$6:$B$605,"QQQM")</f>
        <v>0</v>
      </c>
      <c r="N115" s="21">
        <f t="shared" si="31"/>
        <v>0</v>
      </c>
      <c r="O115" s="22"/>
      <c r="P115" s="21">
        <f t="shared" si="32"/>
        <v>0</v>
      </c>
      <c r="Q115" s="21">
        <f t="shared" si="33"/>
        <v>5000</v>
      </c>
      <c r="R115" s="20" t="str">
        <f t="shared" si="34"/>
        <v>待补指数收盘／历史基准；先列基础额</v>
      </c>
      <c r="S115" s="28"/>
    </row>
    <row r="116" spans="1:19" ht="28.5" customHeight="1">
      <c r="A116" s="25">
        <f>月度计划!A113</f>
        <v>49562</v>
      </c>
      <c r="B116" s="26"/>
      <c r="C116" s="22"/>
      <c r="D116" s="22"/>
      <c r="E116" s="21">
        <f t="shared" si="35"/>
        <v>7794.35</v>
      </c>
      <c r="F116" s="27" t="str">
        <f t="shared" si="27"/>
        <v/>
      </c>
      <c r="G116" s="21" t="str">
        <f t="shared" si="28"/>
        <v/>
      </c>
      <c r="H116" s="21">
        <f>MAX(0,$E$4-SUM($P$9:P115))</f>
        <v>5000</v>
      </c>
      <c r="I116" s="21">
        <f t="shared" si="29"/>
        <v>0</v>
      </c>
      <c r="J116" s="21">
        <f t="shared" si="30"/>
        <v>500</v>
      </c>
      <c r="K116" s="21">
        <f>J116*总览!$B$8</f>
        <v>450</v>
      </c>
      <c r="L116" s="21">
        <f>J116*总览!$B$9</f>
        <v>50</v>
      </c>
      <c r="M116" s="21">
        <f>SUMIFS(交易记录!$D$6:$D$605,交易记录!$A$6:$A$605,"&gt;="&amp;DATE(YEAR(A116),MONTH(A116),1),交易记录!$A$6:$A$605,"&lt;"&amp;DATE(YEAR(A116),MONTH(A116)+1,1),交易记录!$C$6:$C$605,"买入",交易记录!$P$6:$P$605,"&lt;&gt;分红再投",交易记录!$P$6:$P$605,"&lt;&gt;其他",交易记录!$B$6:$B$605,"VOO")+SUMIFS(交易记录!$D$6:$D$605,交易记录!$A$6:$A$605,"&gt;="&amp;DATE(YEAR(A116),MONTH(A116),1),交易记录!$A$6:$A$605,"&lt;"&amp;DATE(YEAR(A116),MONTH(A116)+1,1),交易记录!$C$6:$C$605,"买入",交易记录!$P$6:$P$605,"&lt;&gt;分红再投",交易记录!$P$6:$P$605,"&lt;&gt;其他",交易记录!$B$6:$B$605,"QQQM")+SUMIFS(交易记录!$E$6:$E$605,交易记录!$A$6:$A$605,"&gt;="&amp;DATE(YEAR(A116),MONTH(A116),1),交易记录!$A$6:$A$605,"&lt;"&amp;DATE(YEAR(A116),MONTH(A116)+1,1),交易记录!$C$6:$C$605,"买入",交易记录!$P$6:$P$605,"&lt;&gt;分红再投",交易记录!$P$6:$P$605,"&lt;&gt;其他",交易记录!$B$6:$B$605,"VOO")+SUMIFS(交易记录!$E$6:$E$605,交易记录!$A$6:$A$605,"&gt;="&amp;DATE(YEAR(A116),MONTH(A116),1),交易记录!$A$6:$A$605,"&lt;"&amp;DATE(YEAR(A116),MONTH(A116)+1,1),交易记录!$C$6:$C$605,"买入",交易记录!$P$6:$P$605,"&lt;&gt;分红再投",交易记录!$P$6:$P$605,"&lt;&gt;其他",交易记录!$B$6:$B$605,"QQQM")</f>
        <v>0</v>
      </c>
      <c r="N116" s="21">
        <f t="shared" si="31"/>
        <v>0</v>
      </c>
      <c r="O116" s="22"/>
      <c r="P116" s="21">
        <f t="shared" si="32"/>
        <v>0</v>
      </c>
      <c r="Q116" s="21">
        <f t="shared" si="33"/>
        <v>5000</v>
      </c>
      <c r="R116" s="20" t="str">
        <f t="shared" si="34"/>
        <v>待补指数收盘／历史基准；先列基础额</v>
      </c>
      <c r="S116" s="28"/>
    </row>
    <row r="117" spans="1:19" ht="28.5" customHeight="1">
      <c r="A117" s="25">
        <f>月度计划!A114</f>
        <v>49592</v>
      </c>
      <c r="B117" s="26"/>
      <c r="C117" s="22"/>
      <c r="D117" s="22"/>
      <c r="E117" s="21">
        <f t="shared" si="35"/>
        <v>7794.35</v>
      </c>
      <c r="F117" s="27" t="str">
        <f t="shared" si="27"/>
        <v/>
      </c>
      <c r="G117" s="21" t="str">
        <f t="shared" si="28"/>
        <v/>
      </c>
      <c r="H117" s="21">
        <f>MAX(0,$E$4-SUM($P$9:P116))</f>
        <v>5000</v>
      </c>
      <c r="I117" s="21">
        <f t="shared" si="29"/>
        <v>0</v>
      </c>
      <c r="J117" s="21">
        <f t="shared" si="30"/>
        <v>500</v>
      </c>
      <c r="K117" s="21">
        <f>J117*总览!$B$8</f>
        <v>450</v>
      </c>
      <c r="L117" s="21">
        <f>J117*总览!$B$9</f>
        <v>50</v>
      </c>
      <c r="M117" s="21">
        <f>SUMIFS(交易记录!$D$6:$D$605,交易记录!$A$6:$A$605,"&gt;="&amp;DATE(YEAR(A117),MONTH(A117),1),交易记录!$A$6:$A$605,"&lt;"&amp;DATE(YEAR(A117),MONTH(A117)+1,1),交易记录!$C$6:$C$605,"买入",交易记录!$P$6:$P$605,"&lt;&gt;分红再投",交易记录!$P$6:$P$605,"&lt;&gt;其他",交易记录!$B$6:$B$605,"VOO")+SUMIFS(交易记录!$D$6:$D$605,交易记录!$A$6:$A$605,"&gt;="&amp;DATE(YEAR(A117),MONTH(A117),1),交易记录!$A$6:$A$605,"&lt;"&amp;DATE(YEAR(A117),MONTH(A117)+1,1),交易记录!$C$6:$C$605,"买入",交易记录!$P$6:$P$605,"&lt;&gt;分红再投",交易记录!$P$6:$P$605,"&lt;&gt;其他",交易记录!$B$6:$B$605,"QQQM")+SUMIFS(交易记录!$E$6:$E$605,交易记录!$A$6:$A$605,"&gt;="&amp;DATE(YEAR(A117),MONTH(A117),1),交易记录!$A$6:$A$605,"&lt;"&amp;DATE(YEAR(A117),MONTH(A117)+1,1),交易记录!$C$6:$C$605,"买入",交易记录!$P$6:$P$605,"&lt;&gt;分红再投",交易记录!$P$6:$P$605,"&lt;&gt;其他",交易记录!$B$6:$B$605,"VOO")+SUMIFS(交易记录!$E$6:$E$605,交易记录!$A$6:$A$605,"&gt;="&amp;DATE(YEAR(A117),MONTH(A117),1),交易记录!$A$6:$A$605,"&lt;"&amp;DATE(YEAR(A117),MONTH(A117)+1,1),交易记录!$C$6:$C$605,"买入",交易记录!$P$6:$P$605,"&lt;&gt;分红再投",交易记录!$P$6:$P$605,"&lt;&gt;其他",交易记录!$B$6:$B$605,"QQQM")</f>
        <v>0</v>
      </c>
      <c r="N117" s="21">
        <f t="shared" si="31"/>
        <v>0</v>
      </c>
      <c r="O117" s="22"/>
      <c r="P117" s="21">
        <f t="shared" si="32"/>
        <v>0</v>
      </c>
      <c r="Q117" s="21">
        <f t="shared" si="33"/>
        <v>5000</v>
      </c>
      <c r="R117" s="20" t="str">
        <f t="shared" si="34"/>
        <v>待补指数收盘／历史基准；先列基础额</v>
      </c>
      <c r="S117" s="28"/>
    </row>
    <row r="118" spans="1:19" ht="28.5" customHeight="1">
      <c r="A118" s="25">
        <f>月度计划!A115</f>
        <v>49623</v>
      </c>
      <c r="B118" s="26"/>
      <c r="C118" s="22"/>
      <c r="D118" s="22"/>
      <c r="E118" s="21">
        <f t="shared" si="35"/>
        <v>7794.35</v>
      </c>
      <c r="F118" s="27" t="str">
        <f t="shared" si="27"/>
        <v/>
      </c>
      <c r="G118" s="21" t="str">
        <f t="shared" si="28"/>
        <v/>
      </c>
      <c r="H118" s="21">
        <f>MAX(0,$E$4-SUM($P$9:P117))</f>
        <v>5000</v>
      </c>
      <c r="I118" s="21">
        <f t="shared" si="29"/>
        <v>0</v>
      </c>
      <c r="J118" s="21">
        <f t="shared" si="30"/>
        <v>500</v>
      </c>
      <c r="K118" s="21">
        <f>J118*总览!$B$8</f>
        <v>450</v>
      </c>
      <c r="L118" s="21">
        <f>J118*总览!$B$9</f>
        <v>50</v>
      </c>
      <c r="M118" s="21">
        <f>SUMIFS(交易记录!$D$6:$D$605,交易记录!$A$6:$A$605,"&gt;="&amp;DATE(YEAR(A118),MONTH(A118),1),交易记录!$A$6:$A$605,"&lt;"&amp;DATE(YEAR(A118),MONTH(A118)+1,1),交易记录!$C$6:$C$605,"买入",交易记录!$P$6:$P$605,"&lt;&gt;分红再投",交易记录!$P$6:$P$605,"&lt;&gt;其他",交易记录!$B$6:$B$605,"VOO")+SUMIFS(交易记录!$D$6:$D$605,交易记录!$A$6:$A$605,"&gt;="&amp;DATE(YEAR(A118),MONTH(A118),1),交易记录!$A$6:$A$605,"&lt;"&amp;DATE(YEAR(A118),MONTH(A118)+1,1),交易记录!$C$6:$C$605,"买入",交易记录!$P$6:$P$605,"&lt;&gt;分红再投",交易记录!$P$6:$P$605,"&lt;&gt;其他",交易记录!$B$6:$B$605,"QQQM")+SUMIFS(交易记录!$E$6:$E$605,交易记录!$A$6:$A$605,"&gt;="&amp;DATE(YEAR(A118),MONTH(A118),1),交易记录!$A$6:$A$605,"&lt;"&amp;DATE(YEAR(A118),MONTH(A118)+1,1),交易记录!$C$6:$C$605,"买入",交易记录!$P$6:$P$605,"&lt;&gt;分红再投",交易记录!$P$6:$P$605,"&lt;&gt;其他",交易记录!$B$6:$B$605,"VOO")+SUMIFS(交易记录!$E$6:$E$605,交易记录!$A$6:$A$605,"&gt;="&amp;DATE(YEAR(A118),MONTH(A118),1),交易记录!$A$6:$A$605,"&lt;"&amp;DATE(YEAR(A118),MONTH(A118)+1,1),交易记录!$C$6:$C$605,"买入",交易记录!$P$6:$P$605,"&lt;&gt;分红再投",交易记录!$P$6:$P$605,"&lt;&gt;其他",交易记录!$B$6:$B$605,"QQQM")</f>
        <v>0</v>
      </c>
      <c r="N118" s="21">
        <f t="shared" si="31"/>
        <v>0</v>
      </c>
      <c r="O118" s="22"/>
      <c r="P118" s="21">
        <f t="shared" si="32"/>
        <v>0</v>
      </c>
      <c r="Q118" s="21">
        <f t="shared" si="33"/>
        <v>5000</v>
      </c>
      <c r="R118" s="20" t="str">
        <f t="shared" si="34"/>
        <v>待补指数收盘／历史基准；先列基础额</v>
      </c>
      <c r="S118" s="28"/>
    </row>
    <row r="119" spans="1:19" ht="28.5" customHeight="1">
      <c r="A119" s="25">
        <f>月度计划!A116</f>
        <v>49653</v>
      </c>
      <c r="B119" s="26"/>
      <c r="C119" s="22"/>
      <c r="D119" s="22"/>
      <c r="E119" s="21">
        <f t="shared" si="35"/>
        <v>7794.35</v>
      </c>
      <c r="F119" s="27" t="str">
        <f t="shared" si="27"/>
        <v/>
      </c>
      <c r="G119" s="21" t="str">
        <f t="shared" si="28"/>
        <v/>
      </c>
      <c r="H119" s="21">
        <f>MAX(0,$E$4-SUM($P$9:P118))</f>
        <v>5000</v>
      </c>
      <c r="I119" s="21">
        <f t="shared" si="29"/>
        <v>0</v>
      </c>
      <c r="J119" s="21">
        <f t="shared" si="30"/>
        <v>500</v>
      </c>
      <c r="K119" s="21">
        <f>J119*总览!$B$8</f>
        <v>450</v>
      </c>
      <c r="L119" s="21">
        <f>J119*总览!$B$9</f>
        <v>50</v>
      </c>
      <c r="M119" s="21">
        <f>SUMIFS(交易记录!$D$6:$D$605,交易记录!$A$6:$A$605,"&gt;="&amp;DATE(YEAR(A119),MONTH(A119),1),交易记录!$A$6:$A$605,"&lt;"&amp;DATE(YEAR(A119),MONTH(A119)+1,1),交易记录!$C$6:$C$605,"买入",交易记录!$P$6:$P$605,"&lt;&gt;分红再投",交易记录!$P$6:$P$605,"&lt;&gt;其他",交易记录!$B$6:$B$605,"VOO")+SUMIFS(交易记录!$D$6:$D$605,交易记录!$A$6:$A$605,"&gt;="&amp;DATE(YEAR(A119),MONTH(A119),1),交易记录!$A$6:$A$605,"&lt;"&amp;DATE(YEAR(A119),MONTH(A119)+1,1),交易记录!$C$6:$C$605,"买入",交易记录!$P$6:$P$605,"&lt;&gt;分红再投",交易记录!$P$6:$P$605,"&lt;&gt;其他",交易记录!$B$6:$B$605,"QQQM")+SUMIFS(交易记录!$E$6:$E$605,交易记录!$A$6:$A$605,"&gt;="&amp;DATE(YEAR(A119),MONTH(A119),1),交易记录!$A$6:$A$605,"&lt;"&amp;DATE(YEAR(A119),MONTH(A119)+1,1),交易记录!$C$6:$C$605,"买入",交易记录!$P$6:$P$605,"&lt;&gt;分红再投",交易记录!$P$6:$P$605,"&lt;&gt;其他",交易记录!$B$6:$B$605,"VOO")+SUMIFS(交易记录!$E$6:$E$605,交易记录!$A$6:$A$605,"&gt;="&amp;DATE(YEAR(A119),MONTH(A119),1),交易记录!$A$6:$A$605,"&lt;"&amp;DATE(YEAR(A119),MONTH(A119)+1,1),交易记录!$C$6:$C$605,"买入",交易记录!$P$6:$P$605,"&lt;&gt;分红再投",交易记录!$P$6:$P$605,"&lt;&gt;其他",交易记录!$B$6:$B$605,"QQQM")</f>
        <v>0</v>
      </c>
      <c r="N119" s="21">
        <f t="shared" si="31"/>
        <v>0</v>
      </c>
      <c r="O119" s="22"/>
      <c r="P119" s="21">
        <f t="shared" si="32"/>
        <v>0</v>
      </c>
      <c r="Q119" s="21">
        <f t="shared" si="33"/>
        <v>5000</v>
      </c>
      <c r="R119" s="20" t="str">
        <f t="shared" si="34"/>
        <v>待补指数收盘／历史基准；先列基础额</v>
      </c>
      <c r="S119" s="28"/>
    </row>
    <row r="120" spans="1:19" ht="28.5" customHeight="1">
      <c r="A120" s="25">
        <f>月度计划!A117</f>
        <v>49684</v>
      </c>
      <c r="B120" s="26"/>
      <c r="C120" s="22"/>
      <c r="D120" s="22"/>
      <c r="E120" s="21">
        <f t="shared" si="35"/>
        <v>7794.35</v>
      </c>
      <c r="F120" s="27" t="str">
        <f t="shared" si="27"/>
        <v/>
      </c>
      <c r="G120" s="21" t="str">
        <f t="shared" si="28"/>
        <v/>
      </c>
      <c r="H120" s="21">
        <f>MAX(0,$E$4-SUM($P$9:P119))</f>
        <v>5000</v>
      </c>
      <c r="I120" s="21">
        <f t="shared" si="29"/>
        <v>0</v>
      </c>
      <c r="J120" s="21">
        <f t="shared" si="30"/>
        <v>500</v>
      </c>
      <c r="K120" s="21">
        <f>J120*总览!$B$8</f>
        <v>450</v>
      </c>
      <c r="L120" s="21">
        <f>J120*总览!$B$9</f>
        <v>50</v>
      </c>
      <c r="M120" s="21">
        <f>SUMIFS(交易记录!$D$6:$D$605,交易记录!$A$6:$A$605,"&gt;="&amp;DATE(YEAR(A120),MONTH(A120),1),交易记录!$A$6:$A$605,"&lt;"&amp;DATE(YEAR(A120),MONTH(A120)+1,1),交易记录!$C$6:$C$605,"买入",交易记录!$P$6:$P$605,"&lt;&gt;分红再投",交易记录!$P$6:$P$605,"&lt;&gt;其他",交易记录!$B$6:$B$605,"VOO")+SUMIFS(交易记录!$D$6:$D$605,交易记录!$A$6:$A$605,"&gt;="&amp;DATE(YEAR(A120),MONTH(A120),1),交易记录!$A$6:$A$605,"&lt;"&amp;DATE(YEAR(A120),MONTH(A120)+1,1),交易记录!$C$6:$C$605,"买入",交易记录!$P$6:$P$605,"&lt;&gt;分红再投",交易记录!$P$6:$P$605,"&lt;&gt;其他",交易记录!$B$6:$B$605,"QQQM")+SUMIFS(交易记录!$E$6:$E$605,交易记录!$A$6:$A$605,"&gt;="&amp;DATE(YEAR(A120),MONTH(A120),1),交易记录!$A$6:$A$605,"&lt;"&amp;DATE(YEAR(A120),MONTH(A120)+1,1),交易记录!$C$6:$C$605,"买入",交易记录!$P$6:$P$605,"&lt;&gt;分红再投",交易记录!$P$6:$P$605,"&lt;&gt;其他",交易记录!$B$6:$B$605,"VOO")+SUMIFS(交易记录!$E$6:$E$605,交易记录!$A$6:$A$605,"&gt;="&amp;DATE(YEAR(A120),MONTH(A120),1),交易记录!$A$6:$A$605,"&lt;"&amp;DATE(YEAR(A120),MONTH(A120)+1,1),交易记录!$C$6:$C$605,"买入",交易记录!$P$6:$P$605,"&lt;&gt;分红再投",交易记录!$P$6:$P$605,"&lt;&gt;其他",交易记录!$B$6:$B$605,"QQQM")</f>
        <v>0</v>
      </c>
      <c r="N120" s="21">
        <f t="shared" si="31"/>
        <v>0</v>
      </c>
      <c r="O120" s="22"/>
      <c r="P120" s="21">
        <f t="shared" si="32"/>
        <v>0</v>
      </c>
      <c r="Q120" s="21">
        <f t="shared" si="33"/>
        <v>5000</v>
      </c>
      <c r="R120" s="20" t="str">
        <f t="shared" si="34"/>
        <v>待补指数收盘／历史基准；先列基础额</v>
      </c>
      <c r="S120" s="28"/>
    </row>
    <row r="121" spans="1:19" ht="28.5" customHeight="1">
      <c r="A121" s="25">
        <f>月度计划!A118</f>
        <v>49715</v>
      </c>
      <c r="B121" s="26"/>
      <c r="C121" s="22"/>
      <c r="D121" s="22"/>
      <c r="E121" s="21">
        <f t="shared" si="35"/>
        <v>7794.35</v>
      </c>
      <c r="F121" s="27" t="str">
        <f t="shared" si="27"/>
        <v/>
      </c>
      <c r="G121" s="21" t="str">
        <f t="shared" si="28"/>
        <v/>
      </c>
      <c r="H121" s="21">
        <f>MAX(0,$E$4-SUM($P$9:P120))</f>
        <v>5000</v>
      </c>
      <c r="I121" s="21">
        <f t="shared" si="29"/>
        <v>0</v>
      </c>
      <c r="J121" s="21">
        <f t="shared" si="30"/>
        <v>500</v>
      </c>
      <c r="K121" s="21">
        <f>J121*总览!$B$8</f>
        <v>450</v>
      </c>
      <c r="L121" s="21">
        <f>J121*总览!$B$9</f>
        <v>50</v>
      </c>
      <c r="M121" s="21">
        <f>SUMIFS(交易记录!$D$6:$D$605,交易记录!$A$6:$A$605,"&gt;="&amp;DATE(YEAR(A121),MONTH(A121),1),交易记录!$A$6:$A$605,"&lt;"&amp;DATE(YEAR(A121),MONTH(A121)+1,1),交易记录!$C$6:$C$605,"买入",交易记录!$P$6:$P$605,"&lt;&gt;分红再投",交易记录!$P$6:$P$605,"&lt;&gt;其他",交易记录!$B$6:$B$605,"VOO")+SUMIFS(交易记录!$D$6:$D$605,交易记录!$A$6:$A$605,"&gt;="&amp;DATE(YEAR(A121),MONTH(A121),1),交易记录!$A$6:$A$605,"&lt;"&amp;DATE(YEAR(A121),MONTH(A121)+1,1),交易记录!$C$6:$C$605,"买入",交易记录!$P$6:$P$605,"&lt;&gt;分红再投",交易记录!$P$6:$P$605,"&lt;&gt;其他",交易记录!$B$6:$B$605,"QQQM")+SUMIFS(交易记录!$E$6:$E$605,交易记录!$A$6:$A$605,"&gt;="&amp;DATE(YEAR(A121),MONTH(A121),1),交易记录!$A$6:$A$605,"&lt;"&amp;DATE(YEAR(A121),MONTH(A121)+1,1),交易记录!$C$6:$C$605,"买入",交易记录!$P$6:$P$605,"&lt;&gt;分红再投",交易记录!$P$6:$P$605,"&lt;&gt;其他",交易记录!$B$6:$B$605,"VOO")+SUMIFS(交易记录!$E$6:$E$605,交易记录!$A$6:$A$605,"&gt;="&amp;DATE(YEAR(A121),MONTH(A121),1),交易记录!$A$6:$A$605,"&lt;"&amp;DATE(YEAR(A121),MONTH(A121)+1,1),交易记录!$C$6:$C$605,"买入",交易记录!$P$6:$P$605,"&lt;&gt;分红再投",交易记录!$P$6:$P$605,"&lt;&gt;其他",交易记录!$B$6:$B$605,"QQQM")</f>
        <v>0</v>
      </c>
      <c r="N121" s="21">
        <f t="shared" si="31"/>
        <v>0</v>
      </c>
      <c r="O121" s="22"/>
      <c r="P121" s="21">
        <f t="shared" si="32"/>
        <v>0</v>
      </c>
      <c r="Q121" s="21">
        <f t="shared" si="33"/>
        <v>5000</v>
      </c>
      <c r="R121" s="20" t="str">
        <f t="shared" si="34"/>
        <v>待补指数收盘／历史基准；先列基础额</v>
      </c>
      <c r="S121" s="28"/>
    </row>
    <row r="122" spans="1:19" ht="28.5" customHeight="1">
      <c r="A122" s="25">
        <f>月度计划!A119</f>
        <v>49744</v>
      </c>
      <c r="B122" s="26"/>
      <c r="C122" s="22"/>
      <c r="D122" s="22"/>
      <c r="E122" s="21">
        <f t="shared" si="35"/>
        <v>7794.35</v>
      </c>
      <c r="F122" s="27" t="str">
        <f t="shared" si="27"/>
        <v/>
      </c>
      <c r="G122" s="21" t="str">
        <f t="shared" si="28"/>
        <v/>
      </c>
      <c r="H122" s="21">
        <f>MAX(0,$E$4-SUM($P$9:P121))</f>
        <v>5000</v>
      </c>
      <c r="I122" s="21">
        <f t="shared" si="29"/>
        <v>0</v>
      </c>
      <c r="J122" s="21">
        <f t="shared" si="30"/>
        <v>500</v>
      </c>
      <c r="K122" s="21">
        <f>J122*总览!$B$8</f>
        <v>450</v>
      </c>
      <c r="L122" s="21">
        <f>J122*总览!$B$9</f>
        <v>50</v>
      </c>
      <c r="M122" s="21">
        <f>SUMIFS(交易记录!$D$6:$D$605,交易记录!$A$6:$A$605,"&gt;="&amp;DATE(YEAR(A122),MONTH(A122),1),交易记录!$A$6:$A$605,"&lt;"&amp;DATE(YEAR(A122),MONTH(A122)+1,1),交易记录!$C$6:$C$605,"买入",交易记录!$P$6:$P$605,"&lt;&gt;分红再投",交易记录!$P$6:$P$605,"&lt;&gt;其他",交易记录!$B$6:$B$605,"VOO")+SUMIFS(交易记录!$D$6:$D$605,交易记录!$A$6:$A$605,"&gt;="&amp;DATE(YEAR(A122),MONTH(A122),1),交易记录!$A$6:$A$605,"&lt;"&amp;DATE(YEAR(A122),MONTH(A122)+1,1),交易记录!$C$6:$C$605,"买入",交易记录!$P$6:$P$605,"&lt;&gt;分红再投",交易记录!$P$6:$P$605,"&lt;&gt;其他",交易记录!$B$6:$B$605,"QQQM")+SUMIFS(交易记录!$E$6:$E$605,交易记录!$A$6:$A$605,"&gt;="&amp;DATE(YEAR(A122),MONTH(A122),1),交易记录!$A$6:$A$605,"&lt;"&amp;DATE(YEAR(A122),MONTH(A122)+1,1),交易记录!$C$6:$C$605,"买入",交易记录!$P$6:$P$605,"&lt;&gt;分红再投",交易记录!$P$6:$P$605,"&lt;&gt;其他",交易记录!$B$6:$B$605,"VOO")+SUMIFS(交易记录!$E$6:$E$605,交易记录!$A$6:$A$605,"&gt;="&amp;DATE(YEAR(A122),MONTH(A122),1),交易记录!$A$6:$A$605,"&lt;"&amp;DATE(YEAR(A122),MONTH(A122)+1,1),交易记录!$C$6:$C$605,"买入",交易记录!$P$6:$P$605,"&lt;&gt;分红再投",交易记录!$P$6:$P$605,"&lt;&gt;其他",交易记录!$B$6:$B$605,"QQQM")</f>
        <v>0</v>
      </c>
      <c r="N122" s="21">
        <f t="shared" si="31"/>
        <v>0</v>
      </c>
      <c r="O122" s="22"/>
      <c r="P122" s="21">
        <f t="shared" si="32"/>
        <v>0</v>
      </c>
      <c r="Q122" s="21">
        <f t="shared" si="33"/>
        <v>5000</v>
      </c>
      <c r="R122" s="20" t="str">
        <f t="shared" si="34"/>
        <v>待补指数收盘／历史基准；先列基础额</v>
      </c>
      <c r="S122" s="28"/>
    </row>
    <row r="123" spans="1:19" ht="28.5" customHeight="1">
      <c r="A123" s="25">
        <f>月度计划!A120</f>
        <v>49775</v>
      </c>
      <c r="B123" s="26"/>
      <c r="C123" s="22"/>
      <c r="D123" s="22"/>
      <c r="E123" s="21">
        <f t="shared" si="35"/>
        <v>7794.35</v>
      </c>
      <c r="F123" s="27" t="str">
        <f t="shared" si="27"/>
        <v/>
      </c>
      <c r="G123" s="21" t="str">
        <f t="shared" si="28"/>
        <v/>
      </c>
      <c r="H123" s="21">
        <f>MAX(0,$E$4-SUM($P$9:P122))</f>
        <v>5000</v>
      </c>
      <c r="I123" s="21">
        <f t="shared" si="29"/>
        <v>0</v>
      </c>
      <c r="J123" s="21">
        <f t="shared" si="30"/>
        <v>500</v>
      </c>
      <c r="K123" s="21">
        <f>J123*总览!$B$8</f>
        <v>450</v>
      </c>
      <c r="L123" s="21">
        <f>J123*总览!$B$9</f>
        <v>50</v>
      </c>
      <c r="M123" s="21">
        <f>SUMIFS(交易记录!$D$6:$D$605,交易记录!$A$6:$A$605,"&gt;="&amp;DATE(YEAR(A123),MONTH(A123),1),交易记录!$A$6:$A$605,"&lt;"&amp;DATE(YEAR(A123),MONTH(A123)+1,1),交易记录!$C$6:$C$605,"买入",交易记录!$P$6:$P$605,"&lt;&gt;分红再投",交易记录!$P$6:$P$605,"&lt;&gt;其他",交易记录!$B$6:$B$605,"VOO")+SUMIFS(交易记录!$D$6:$D$605,交易记录!$A$6:$A$605,"&gt;="&amp;DATE(YEAR(A123),MONTH(A123),1),交易记录!$A$6:$A$605,"&lt;"&amp;DATE(YEAR(A123),MONTH(A123)+1,1),交易记录!$C$6:$C$605,"买入",交易记录!$P$6:$P$605,"&lt;&gt;分红再投",交易记录!$P$6:$P$605,"&lt;&gt;其他",交易记录!$B$6:$B$605,"QQQM")+SUMIFS(交易记录!$E$6:$E$605,交易记录!$A$6:$A$605,"&gt;="&amp;DATE(YEAR(A123),MONTH(A123),1),交易记录!$A$6:$A$605,"&lt;"&amp;DATE(YEAR(A123),MONTH(A123)+1,1),交易记录!$C$6:$C$605,"买入",交易记录!$P$6:$P$605,"&lt;&gt;分红再投",交易记录!$P$6:$P$605,"&lt;&gt;其他",交易记录!$B$6:$B$605,"VOO")+SUMIFS(交易记录!$E$6:$E$605,交易记录!$A$6:$A$605,"&gt;="&amp;DATE(YEAR(A123),MONTH(A123),1),交易记录!$A$6:$A$605,"&lt;"&amp;DATE(YEAR(A123),MONTH(A123)+1,1),交易记录!$C$6:$C$605,"买入",交易记录!$P$6:$P$605,"&lt;&gt;分红再投",交易记录!$P$6:$P$605,"&lt;&gt;其他",交易记录!$B$6:$B$605,"QQQM")</f>
        <v>0</v>
      </c>
      <c r="N123" s="21">
        <f t="shared" si="31"/>
        <v>0</v>
      </c>
      <c r="O123" s="22"/>
      <c r="P123" s="21">
        <f t="shared" si="32"/>
        <v>0</v>
      </c>
      <c r="Q123" s="21">
        <f t="shared" si="33"/>
        <v>5000</v>
      </c>
      <c r="R123" s="20" t="str">
        <f t="shared" si="34"/>
        <v>待补指数收盘／历史基准；先列基础额</v>
      </c>
      <c r="S123" s="28"/>
    </row>
    <row r="124" spans="1:19" ht="28.5" customHeight="1">
      <c r="A124" s="25">
        <f>月度计划!A121</f>
        <v>49805</v>
      </c>
      <c r="B124" s="26"/>
      <c r="C124" s="22"/>
      <c r="D124" s="22"/>
      <c r="E124" s="21">
        <f t="shared" si="35"/>
        <v>7794.35</v>
      </c>
      <c r="F124" s="27" t="str">
        <f t="shared" si="27"/>
        <v/>
      </c>
      <c r="G124" s="21" t="str">
        <f t="shared" si="28"/>
        <v/>
      </c>
      <c r="H124" s="21">
        <f>MAX(0,$E$4-SUM($P$9:P123))</f>
        <v>5000</v>
      </c>
      <c r="I124" s="21">
        <f t="shared" si="29"/>
        <v>0</v>
      </c>
      <c r="J124" s="21">
        <f t="shared" si="30"/>
        <v>500</v>
      </c>
      <c r="K124" s="21">
        <f>J124*总览!$B$8</f>
        <v>450</v>
      </c>
      <c r="L124" s="21">
        <f>J124*总览!$B$9</f>
        <v>50</v>
      </c>
      <c r="M124" s="21">
        <f>SUMIFS(交易记录!$D$6:$D$605,交易记录!$A$6:$A$605,"&gt;="&amp;DATE(YEAR(A124),MONTH(A124),1),交易记录!$A$6:$A$605,"&lt;"&amp;DATE(YEAR(A124),MONTH(A124)+1,1),交易记录!$C$6:$C$605,"买入",交易记录!$P$6:$P$605,"&lt;&gt;分红再投",交易记录!$P$6:$P$605,"&lt;&gt;其他",交易记录!$B$6:$B$605,"VOO")+SUMIFS(交易记录!$D$6:$D$605,交易记录!$A$6:$A$605,"&gt;="&amp;DATE(YEAR(A124),MONTH(A124),1),交易记录!$A$6:$A$605,"&lt;"&amp;DATE(YEAR(A124),MONTH(A124)+1,1),交易记录!$C$6:$C$605,"买入",交易记录!$P$6:$P$605,"&lt;&gt;分红再投",交易记录!$P$6:$P$605,"&lt;&gt;其他",交易记录!$B$6:$B$605,"QQQM")+SUMIFS(交易记录!$E$6:$E$605,交易记录!$A$6:$A$605,"&gt;="&amp;DATE(YEAR(A124),MONTH(A124),1),交易记录!$A$6:$A$605,"&lt;"&amp;DATE(YEAR(A124),MONTH(A124)+1,1),交易记录!$C$6:$C$605,"买入",交易记录!$P$6:$P$605,"&lt;&gt;分红再投",交易记录!$P$6:$P$605,"&lt;&gt;其他",交易记录!$B$6:$B$605,"VOO")+SUMIFS(交易记录!$E$6:$E$605,交易记录!$A$6:$A$605,"&gt;="&amp;DATE(YEAR(A124),MONTH(A124),1),交易记录!$A$6:$A$605,"&lt;"&amp;DATE(YEAR(A124),MONTH(A124)+1,1),交易记录!$C$6:$C$605,"买入",交易记录!$P$6:$P$605,"&lt;&gt;分红再投",交易记录!$P$6:$P$605,"&lt;&gt;其他",交易记录!$B$6:$B$605,"QQQM")</f>
        <v>0</v>
      </c>
      <c r="N124" s="21">
        <f t="shared" si="31"/>
        <v>0</v>
      </c>
      <c r="O124" s="22"/>
      <c r="P124" s="21">
        <f t="shared" si="32"/>
        <v>0</v>
      </c>
      <c r="Q124" s="21">
        <f t="shared" si="33"/>
        <v>5000</v>
      </c>
      <c r="R124" s="20" t="str">
        <f t="shared" si="34"/>
        <v>待补指数收盘／历史基准；先列基础额</v>
      </c>
      <c r="S124" s="28"/>
    </row>
    <row r="125" spans="1:19" ht="28.5" customHeight="1">
      <c r="A125" s="25">
        <f>月度计划!A122</f>
        <v>49836</v>
      </c>
      <c r="B125" s="26"/>
      <c r="C125" s="22"/>
      <c r="D125" s="22"/>
      <c r="E125" s="21">
        <f t="shared" si="35"/>
        <v>7794.35</v>
      </c>
      <c r="F125" s="27" t="str">
        <f t="shared" si="27"/>
        <v/>
      </c>
      <c r="G125" s="21" t="str">
        <f t="shared" si="28"/>
        <v/>
      </c>
      <c r="H125" s="21">
        <f>MAX(0,$E$4-SUM($P$9:P124))</f>
        <v>5000</v>
      </c>
      <c r="I125" s="21">
        <f t="shared" si="29"/>
        <v>0</v>
      </c>
      <c r="J125" s="21">
        <f t="shared" si="30"/>
        <v>500</v>
      </c>
      <c r="K125" s="21">
        <f>J125*总览!$B$8</f>
        <v>450</v>
      </c>
      <c r="L125" s="21">
        <f>J125*总览!$B$9</f>
        <v>50</v>
      </c>
      <c r="M125" s="21">
        <f>SUMIFS(交易记录!$D$6:$D$605,交易记录!$A$6:$A$605,"&gt;="&amp;DATE(YEAR(A125),MONTH(A125),1),交易记录!$A$6:$A$605,"&lt;"&amp;DATE(YEAR(A125),MONTH(A125)+1,1),交易记录!$C$6:$C$605,"买入",交易记录!$P$6:$P$605,"&lt;&gt;分红再投",交易记录!$P$6:$P$605,"&lt;&gt;其他",交易记录!$B$6:$B$605,"VOO")+SUMIFS(交易记录!$D$6:$D$605,交易记录!$A$6:$A$605,"&gt;="&amp;DATE(YEAR(A125),MONTH(A125),1),交易记录!$A$6:$A$605,"&lt;"&amp;DATE(YEAR(A125),MONTH(A125)+1,1),交易记录!$C$6:$C$605,"买入",交易记录!$P$6:$P$605,"&lt;&gt;分红再投",交易记录!$P$6:$P$605,"&lt;&gt;其他",交易记录!$B$6:$B$605,"QQQM")+SUMIFS(交易记录!$E$6:$E$605,交易记录!$A$6:$A$605,"&gt;="&amp;DATE(YEAR(A125),MONTH(A125),1),交易记录!$A$6:$A$605,"&lt;"&amp;DATE(YEAR(A125),MONTH(A125)+1,1),交易记录!$C$6:$C$605,"买入",交易记录!$P$6:$P$605,"&lt;&gt;分红再投",交易记录!$P$6:$P$605,"&lt;&gt;其他",交易记录!$B$6:$B$605,"VOO")+SUMIFS(交易记录!$E$6:$E$605,交易记录!$A$6:$A$605,"&gt;="&amp;DATE(YEAR(A125),MONTH(A125),1),交易记录!$A$6:$A$605,"&lt;"&amp;DATE(YEAR(A125),MONTH(A125)+1,1),交易记录!$C$6:$C$605,"买入",交易记录!$P$6:$P$605,"&lt;&gt;分红再投",交易记录!$P$6:$P$605,"&lt;&gt;其他",交易记录!$B$6:$B$605,"QQQM")</f>
        <v>0</v>
      </c>
      <c r="N125" s="21">
        <f t="shared" si="31"/>
        <v>0</v>
      </c>
      <c r="O125" s="22"/>
      <c r="P125" s="21">
        <f t="shared" si="32"/>
        <v>0</v>
      </c>
      <c r="Q125" s="21">
        <f t="shared" si="33"/>
        <v>5000</v>
      </c>
      <c r="R125" s="20" t="str">
        <f t="shared" si="34"/>
        <v>待补指数收盘／历史基准；先列基础额</v>
      </c>
      <c r="S125" s="28"/>
    </row>
    <row r="126" spans="1:19" ht="28.5" customHeight="1">
      <c r="A126" s="25">
        <f>月度计划!A123</f>
        <v>49866</v>
      </c>
      <c r="B126" s="26"/>
      <c r="C126" s="22"/>
      <c r="D126" s="22"/>
      <c r="E126" s="21">
        <f t="shared" si="35"/>
        <v>7794.35</v>
      </c>
      <c r="F126" s="27" t="str">
        <f t="shared" si="27"/>
        <v/>
      </c>
      <c r="G126" s="21" t="str">
        <f t="shared" si="28"/>
        <v/>
      </c>
      <c r="H126" s="21">
        <f>MAX(0,$E$4-SUM($P$9:P125))</f>
        <v>5000</v>
      </c>
      <c r="I126" s="21">
        <f t="shared" si="29"/>
        <v>0</v>
      </c>
      <c r="J126" s="21">
        <f t="shared" si="30"/>
        <v>500</v>
      </c>
      <c r="K126" s="21">
        <f>J126*总览!$B$8</f>
        <v>450</v>
      </c>
      <c r="L126" s="21">
        <f>J126*总览!$B$9</f>
        <v>50</v>
      </c>
      <c r="M126" s="21">
        <f>SUMIFS(交易记录!$D$6:$D$605,交易记录!$A$6:$A$605,"&gt;="&amp;DATE(YEAR(A126),MONTH(A126),1),交易记录!$A$6:$A$605,"&lt;"&amp;DATE(YEAR(A126),MONTH(A126)+1,1),交易记录!$C$6:$C$605,"买入",交易记录!$P$6:$P$605,"&lt;&gt;分红再投",交易记录!$P$6:$P$605,"&lt;&gt;其他",交易记录!$B$6:$B$605,"VOO")+SUMIFS(交易记录!$D$6:$D$605,交易记录!$A$6:$A$605,"&gt;="&amp;DATE(YEAR(A126),MONTH(A126),1),交易记录!$A$6:$A$605,"&lt;"&amp;DATE(YEAR(A126),MONTH(A126)+1,1),交易记录!$C$6:$C$605,"买入",交易记录!$P$6:$P$605,"&lt;&gt;分红再投",交易记录!$P$6:$P$605,"&lt;&gt;其他",交易记录!$B$6:$B$605,"QQQM")+SUMIFS(交易记录!$E$6:$E$605,交易记录!$A$6:$A$605,"&gt;="&amp;DATE(YEAR(A126),MONTH(A126),1),交易记录!$A$6:$A$605,"&lt;"&amp;DATE(YEAR(A126),MONTH(A126)+1,1),交易记录!$C$6:$C$605,"买入",交易记录!$P$6:$P$605,"&lt;&gt;分红再投",交易记录!$P$6:$P$605,"&lt;&gt;其他",交易记录!$B$6:$B$605,"VOO")+SUMIFS(交易记录!$E$6:$E$605,交易记录!$A$6:$A$605,"&gt;="&amp;DATE(YEAR(A126),MONTH(A126),1),交易记录!$A$6:$A$605,"&lt;"&amp;DATE(YEAR(A126),MONTH(A126)+1,1),交易记录!$C$6:$C$605,"买入",交易记录!$P$6:$P$605,"&lt;&gt;分红再投",交易记录!$P$6:$P$605,"&lt;&gt;其他",交易记录!$B$6:$B$605,"QQQM")</f>
        <v>0</v>
      </c>
      <c r="N126" s="21">
        <f t="shared" si="31"/>
        <v>0</v>
      </c>
      <c r="O126" s="22"/>
      <c r="P126" s="21">
        <f t="shared" si="32"/>
        <v>0</v>
      </c>
      <c r="Q126" s="21">
        <f t="shared" si="33"/>
        <v>5000</v>
      </c>
      <c r="R126" s="20" t="str">
        <f t="shared" si="34"/>
        <v>待补指数收盘／历史基准；先列基础额</v>
      </c>
      <c r="S126" s="28"/>
    </row>
    <row r="127" spans="1:19" ht="28.5" customHeight="1">
      <c r="A127" s="25">
        <f>月度计划!A124</f>
        <v>49897</v>
      </c>
      <c r="B127" s="26"/>
      <c r="C127" s="22"/>
      <c r="D127" s="22"/>
      <c r="E127" s="21">
        <f t="shared" si="35"/>
        <v>7794.35</v>
      </c>
      <c r="F127" s="27" t="str">
        <f t="shared" si="27"/>
        <v/>
      </c>
      <c r="G127" s="21" t="str">
        <f t="shared" si="28"/>
        <v/>
      </c>
      <c r="H127" s="21">
        <f>MAX(0,$E$4-SUM($P$9:P126))</f>
        <v>5000</v>
      </c>
      <c r="I127" s="21">
        <f t="shared" si="29"/>
        <v>0</v>
      </c>
      <c r="J127" s="21">
        <f t="shared" si="30"/>
        <v>500</v>
      </c>
      <c r="K127" s="21">
        <f>J127*总览!$B$8</f>
        <v>450</v>
      </c>
      <c r="L127" s="21">
        <f>J127*总览!$B$9</f>
        <v>50</v>
      </c>
      <c r="M127" s="21">
        <f>SUMIFS(交易记录!$D$6:$D$605,交易记录!$A$6:$A$605,"&gt;="&amp;DATE(YEAR(A127),MONTH(A127),1),交易记录!$A$6:$A$605,"&lt;"&amp;DATE(YEAR(A127),MONTH(A127)+1,1),交易记录!$C$6:$C$605,"买入",交易记录!$P$6:$P$605,"&lt;&gt;分红再投",交易记录!$P$6:$P$605,"&lt;&gt;其他",交易记录!$B$6:$B$605,"VOO")+SUMIFS(交易记录!$D$6:$D$605,交易记录!$A$6:$A$605,"&gt;="&amp;DATE(YEAR(A127),MONTH(A127),1),交易记录!$A$6:$A$605,"&lt;"&amp;DATE(YEAR(A127),MONTH(A127)+1,1),交易记录!$C$6:$C$605,"买入",交易记录!$P$6:$P$605,"&lt;&gt;分红再投",交易记录!$P$6:$P$605,"&lt;&gt;其他",交易记录!$B$6:$B$605,"QQQM")+SUMIFS(交易记录!$E$6:$E$605,交易记录!$A$6:$A$605,"&gt;="&amp;DATE(YEAR(A127),MONTH(A127),1),交易记录!$A$6:$A$605,"&lt;"&amp;DATE(YEAR(A127),MONTH(A127)+1,1),交易记录!$C$6:$C$605,"买入",交易记录!$P$6:$P$605,"&lt;&gt;分红再投",交易记录!$P$6:$P$605,"&lt;&gt;其他",交易记录!$B$6:$B$605,"VOO")+SUMIFS(交易记录!$E$6:$E$605,交易记录!$A$6:$A$605,"&gt;="&amp;DATE(YEAR(A127),MONTH(A127),1),交易记录!$A$6:$A$605,"&lt;"&amp;DATE(YEAR(A127),MONTH(A127)+1,1),交易记录!$C$6:$C$605,"买入",交易记录!$P$6:$P$605,"&lt;&gt;分红再投",交易记录!$P$6:$P$605,"&lt;&gt;其他",交易记录!$B$6:$B$605,"QQQM")</f>
        <v>0</v>
      </c>
      <c r="N127" s="21">
        <f t="shared" si="31"/>
        <v>0</v>
      </c>
      <c r="O127" s="22"/>
      <c r="P127" s="21">
        <f t="shared" si="32"/>
        <v>0</v>
      </c>
      <c r="Q127" s="21">
        <f t="shared" si="33"/>
        <v>5000</v>
      </c>
      <c r="R127" s="20" t="str">
        <f t="shared" si="34"/>
        <v>待补指数收盘／历史基准；先列基础额</v>
      </c>
      <c r="S127" s="28"/>
    </row>
    <row r="128" spans="1:19" ht="28.5" customHeight="1">
      <c r="A128" s="25">
        <f>月度计划!A125</f>
        <v>49928</v>
      </c>
      <c r="B128" s="26"/>
      <c r="C128" s="22"/>
      <c r="D128" s="22"/>
      <c r="E128" s="21">
        <f t="shared" si="35"/>
        <v>7794.35</v>
      </c>
      <c r="F128" s="27" t="str">
        <f t="shared" si="27"/>
        <v/>
      </c>
      <c r="G128" s="21" t="str">
        <f t="shared" si="28"/>
        <v/>
      </c>
      <c r="H128" s="21">
        <f>MAX(0,$E$4-SUM($P$9:P127))</f>
        <v>5000</v>
      </c>
      <c r="I128" s="21">
        <f t="shared" si="29"/>
        <v>0</v>
      </c>
      <c r="J128" s="21">
        <f t="shared" si="30"/>
        <v>500</v>
      </c>
      <c r="K128" s="21">
        <f>J128*总览!$B$8</f>
        <v>450</v>
      </c>
      <c r="L128" s="21">
        <f>J128*总览!$B$9</f>
        <v>50</v>
      </c>
      <c r="M128" s="21">
        <f>SUMIFS(交易记录!$D$6:$D$605,交易记录!$A$6:$A$605,"&gt;="&amp;DATE(YEAR(A128),MONTH(A128),1),交易记录!$A$6:$A$605,"&lt;"&amp;DATE(YEAR(A128),MONTH(A128)+1,1),交易记录!$C$6:$C$605,"买入",交易记录!$P$6:$P$605,"&lt;&gt;分红再投",交易记录!$P$6:$P$605,"&lt;&gt;其他",交易记录!$B$6:$B$605,"VOO")+SUMIFS(交易记录!$D$6:$D$605,交易记录!$A$6:$A$605,"&gt;="&amp;DATE(YEAR(A128),MONTH(A128),1),交易记录!$A$6:$A$605,"&lt;"&amp;DATE(YEAR(A128),MONTH(A128)+1,1),交易记录!$C$6:$C$605,"买入",交易记录!$P$6:$P$605,"&lt;&gt;分红再投",交易记录!$P$6:$P$605,"&lt;&gt;其他",交易记录!$B$6:$B$605,"QQQM")+SUMIFS(交易记录!$E$6:$E$605,交易记录!$A$6:$A$605,"&gt;="&amp;DATE(YEAR(A128),MONTH(A128),1),交易记录!$A$6:$A$605,"&lt;"&amp;DATE(YEAR(A128),MONTH(A128)+1,1),交易记录!$C$6:$C$605,"买入",交易记录!$P$6:$P$605,"&lt;&gt;分红再投",交易记录!$P$6:$P$605,"&lt;&gt;其他",交易记录!$B$6:$B$605,"VOO")+SUMIFS(交易记录!$E$6:$E$605,交易记录!$A$6:$A$605,"&gt;="&amp;DATE(YEAR(A128),MONTH(A128),1),交易记录!$A$6:$A$605,"&lt;"&amp;DATE(YEAR(A128),MONTH(A128)+1,1),交易记录!$C$6:$C$605,"买入",交易记录!$P$6:$P$605,"&lt;&gt;分红再投",交易记录!$P$6:$P$605,"&lt;&gt;其他",交易记录!$B$6:$B$605,"QQQM")</f>
        <v>0</v>
      </c>
      <c r="N128" s="21">
        <f t="shared" si="31"/>
        <v>0</v>
      </c>
      <c r="O128" s="22"/>
      <c r="P128" s="21">
        <f t="shared" si="32"/>
        <v>0</v>
      </c>
      <c r="Q128" s="21">
        <f t="shared" si="33"/>
        <v>5000</v>
      </c>
      <c r="R128" s="20" t="str">
        <f t="shared" si="34"/>
        <v>待补指数收盘／历史基准；先列基础额</v>
      </c>
      <c r="S128" s="28"/>
    </row>
  </sheetData>
  <autoFilter ref="A8:S128" xr:uid="{00000000-0009-0000-0000-000001000000}"/>
  <mergeCells count="4">
    <mergeCell ref="A1:S2"/>
    <mergeCell ref="A3:S3"/>
    <mergeCell ref="A5:S5"/>
    <mergeCell ref="A6:S6"/>
  </mergeCells>
  <phoneticPr fontId="29" type="noConversion"/>
  <conditionalFormatting sqref="K4">
    <cfRule type="expression" dxfId="10" priority="3">
      <formula>K4&gt;E4</formula>
    </cfRule>
  </conditionalFormatting>
  <conditionalFormatting sqref="R9:R128">
    <cfRule type="expression" dxfId="9" priority="2">
      <formula>OR(ISNUMBER(SEARCH("核对",R9)),ISNUMBER(SEARCH("待补",R9)),ISNUMBER(SEARCH("超",R9)))</formula>
    </cfRule>
  </conditionalFormatting>
  <dataValidations count="1">
    <dataValidation type="decimal" operator="greaterThanOrEqual" allowBlank="1" showErrorMessage="1" error="请填非负数。" sqref="E4 H4 C9:D128 O9:O128" xr:uid="{00000000-0002-0000-0100-000000000000}">
      <formula1>0</formula1>
      <formula2>0</formula2>
    </dataValidation>
  </dataValidations>
  <printOptions horizontalCentered="1"/>
  <pageMargins left="0.75" right="0.75" top="1" bottom="1" header="0.511811023622047" footer="0.511811023622047"/>
  <pageSetup paperSize="8" fitToHeight="0" orientation="landscape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7E8B"/>
    <pageSetUpPr fitToPage="1"/>
  </sheetPr>
  <dimension ref="A1:K12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59765625" defaultRowHeight="21.75" customHeight="1"/>
  <cols>
    <col min="1" max="1" width="15.73046875" customWidth="1"/>
    <col min="2" max="10" width="18.73046875" customWidth="1"/>
    <col min="11" max="11" width="28.73046875" customWidth="1"/>
  </cols>
  <sheetData>
    <row r="1" spans="1:11" ht="21.75" customHeight="1">
      <c r="A1" s="8" t="s">
        <v>61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33.75" customHeight="1">
      <c r="A3" s="7" t="s">
        <v>62</v>
      </c>
      <c r="B3" s="7"/>
      <c r="C3" s="7"/>
      <c r="D3" s="7"/>
      <c r="E3" s="7"/>
      <c r="F3" s="7"/>
      <c r="G3" s="7"/>
      <c r="H3" s="7"/>
      <c r="I3" s="7"/>
      <c r="J3" s="7"/>
      <c r="K3" s="7"/>
    </row>
    <row r="5" spans="1:11" ht="42" customHeight="1">
      <c r="A5" s="12" t="s">
        <v>43</v>
      </c>
      <c r="B5" s="12" t="s">
        <v>63</v>
      </c>
      <c r="C5" s="11" t="s">
        <v>64</v>
      </c>
      <c r="D5" s="11" t="s">
        <v>65</v>
      </c>
      <c r="E5" s="11" t="s">
        <v>66</v>
      </c>
      <c r="F5" s="11" t="s">
        <v>67</v>
      </c>
      <c r="G5" s="11" t="s">
        <v>68</v>
      </c>
      <c r="H5" s="11" t="s">
        <v>69</v>
      </c>
      <c r="I5" s="12" t="s">
        <v>70</v>
      </c>
      <c r="J5" s="12" t="s">
        <v>71</v>
      </c>
      <c r="K5" s="12" t="s">
        <v>72</v>
      </c>
    </row>
    <row r="6" spans="1:11" ht="21.75" customHeight="1">
      <c r="A6" s="29">
        <f>DATE(2026,10,总览!$E$4)</f>
        <v>46305</v>
      </c>
      <c r="B6" s="15">
        <f>回撤计划!J9</f>
        <v>500</v>
      </c>
      <c r="C6" s="15">
        <f>B6*总览!$B$8</f>
        <v>450</v>
      </c>
      <c r="D6" s="15">
        <f>B6*总览!$B$9</f>
        <v>50</v>
      </c>
      <c r="E6" s="15">
        <f>B6*总览!$B$10</f>
        <v>0</v>
      </c>
      <c r="F6" s="15">
        <f>SUMIFS(交易记录!$D$6:$D$605,交易记录!$A$6:$A$605,"&gt;="&amp;DATE(YEAR(A6),MONTH(A6),1),交易记录!$A$6:$A$605,"&lt;"&amp;DATE(YEAR(A6),MONTH(A6)+1,1),交易记录!$B$6:$B$605,"VOO",交易记录!$C$6:$C$605,"买入")+SUMIFS(交易记录!$E$6:$E$605,交易记录!$A$6:$A$605,"&gt;="&amp;DATE(YEAR(A6),MONTH(A6),1),交易记录!$A$6:$A$605,"&lt;"&amp;DATE(YEAR(A6),MONTH(A6)+1,1),交易记录!$B$6:$B$605,"VOO",交易记录!$C$6:$C$605,"买入")</f>
        <v>0</v>
      </c>
      <c r="G6" s="15">
        <f>SUMIFS(交易记录!$D$6:$D$605,交易记录!$A$6:$A$605,"&gt;="&amp;DATE(YEAR(A6),MONTH(A6),1),交易记录!$A$6:$A$605,"&lt;"&amp;DATE(YEAR(A6),MONTH(A6)+1,1),交易记录!$B$6:$B$605,"QQQM",交易记录!$C$6:$C$605,"买入")+SUMIFS(交易记录!$E$6:$E$605,交易记录!$A$6:$A$605,"&gt;="&amp;DATE(YEAR(A6),MONTH(A6),1),交易记录!$A$6:$A$605,"&lt;"&amp;DATE(YEAR(A6),MONTH(A6)+1,1),交易记录!$B$6:$B$605,"QQQM",交易记录!$C$6:$C$605,"买入")</f>
        <v>0</v>
      </c>
      <c r="H6" s="15">
        <f>SUMIFS(交易记录!$D$6:$D$605,交易记录!$A$6:$A$605,"&gt;="&amp;DATE(YEAR(A6),MONTH(A6),1),交易记录!$A$6:$A$605,"&lt;"&amp;DATE(YEAR(A6),MONTH(A6)+1,1),交易记录!$B$6:$B$605,"SMH",交易记录!$C$6:$C$605,"买入")+SUMIFS(交易记录!$E$6:$E$605,交易记录!$A$6:$A$605,"&gt;="&amp;DATE(YEAR(A6),MONTH(A6),1),交易记录!$A$6:$A$605,"&lt;"&amp;DATE(YEAR(A6),MONTH(A6)+1,1),交易记录!$B$6:$B$605,"SMH",交易记录!$C$6:$C$605,"买入")</f>
        <v>0</v>
      </c>
      <c r="I6" s="15">
        <f t="shared" ref="I6:I37" si="0">SUM(F6:H6)</f>
        <v>0</v>
      </c>
      <c r="J6" s="15" t="str">
        <f t="shared" ref="J6:J37" si="1">IF(I6=0,"",I6-B6)</f>
        <v/>
      </c>
      <c r="K6" s="19" t="str">
        <f t="shared" ref="K6:K37" si="2">IF(I6=0,"尚未记录买入",IF(ABS(J6)&lt;0.01,"已记录预算金额","已记录，金额有差额"))</f>
        <v>尚未记录买入</v>
      </c>
    </row>
    <row r="7" spans="1:11" ht="21.75" customHeight="1">
      <c r="A7" s="29">
        <f>DATE(2026,11,总览!$E$4)</f>
        <v>46336</v>
      </c>
      <c r="B7" s="15">
        <f>回撤计划!J10</f>
        <v>500</v>
      </c>
      <c r="C7" s="15">
        <f>B7*总览!$B$8</f>
        <v>450</v>
      </c>
      <c r="D7" s="15">
        <f>B7*总览!$B$9</f>
        <v>50</v>
      </c>
      <c r="E7" s="15">
        <f>B7*总览!$B$10</f>
        <v>0</v>
      </c>
      <c r="F7" s="15">
        <f>SUMIFS(交易记录!$D$6:$D$605,交易记录!$A$6:$A$605,"&gt;="&amp;DATE(YEAR(A7),MONTH(A7),1),交易记录!$A$6:$A$605,"&lt;"&amp;DATE(YEAR(A7),MONTH(A7)+1,1),交易记录!$B$6:$B$605,"VOO",交易记录!$C$6:$C$605,"买入")+SUMIFS(交易记录!$E$6:$E$605,交易记录!$A$6:$A$605,"&gt;="&amp;DATE(YEAR(A7),MONTH(A7),1),交易记录!$A$6:$A$605,"&lt;"&amp;DATE(YEAR(A7),MONTH(A7)+1,1),交易记录!$B$6:$B$605,"VOO",交易记录!$C$6:$C$605,"买入")</f>
        <v>0</v>
      </c>
      <c r="G7" s="15">
        <f>SUMIFS(交易记录!$D$6:$D$605,交易记录!$A$6:$A$605,"&gt;="&amp;DATE(YEAR(A7),MONTH(A7),1),交易记录!$A$6:$A$605,"&lt;"&amp;DATE(YEAR(A7),MONTH(A7)+1,1),交易记录!$B$6:$B$605,"QQQM",交易记录!$C$6:$C$605,"买入")+SUMIFS(交易记录!$E$6:$E$605,交易记录!$A$6:$A$605,"&gt;="&amp;DATE(YEAR(A7),MONTH(A7),1),交易记录!$A$6:$A$605,"&lt;"&amp;DATE(YEAR(A7),MONTH(A7)+1,1),交易记录!$B$6:$B$605,"QQQM",交易记录!$C$6:$C$605,"买入")</f>
        <v>0</v>
      </c>
      <c r="H7" s="15">
        <f>SUMIFS(交易记录!$D$6:$D$605,交易记录!$A$6:$A$605,"&gt;="&amp;DATE(YEAR(A7),MONTH(A7),1),交易记录!$A$6:$A$605,"&lt;"&amp;DATE(YEAR(A7),MONTH(A7)+1,1),交易记录!$B$6:$B$605,"SMH",交易记录!$C$6:$C$605,"买入")+SUMIFS(交易记录!$E$6:$E$605,交易记录!$A$6:$A$605,"&gt;="&amp;DATE(YEAR(A7),MONTH(A7),1),交易记录!$A$6:$A$605,"&lt;"&amp;DATE(YEAR(A7),MONTH(A7)+1,1),交易记录!$B$6:$B$605,"SMH",交易记录!$C$6:$C$605,"买入")</f>
        <v>0</v>
      </c>
      <c r="I7" s="15">
        <f t="shared" si="0"/>
        <v>0</v>
      </c>
      <c r="J7" s="15" t="str">
        <f t="shared" si="1"/>
        <v/>
      </c>
      <c r="K7" s="19" t="str">
        <f t="shared" si="2"/>
        <v>尚未记录买入</v>
      </c>
    </row>
    <row r="8" spans="1:11" ht="21.75" customHeight="1">
      <c r="A8" s="29">
        <f>DATE(2026,12,总览!$E$4)</f>
        <v>46366</v>
      </c>
      <c r="B8" s="15">
        <f>回撤计划!J11</f>
        <v>500</v>
      </c>
      <c r="C8" s="15">
        <f>B8*总览!$B$8</f>
        <v>450</v>
      </c>
      <c r="D8" s="15">
        <f>B8*总览!$B$9</f>
        <v>50</v>
      </c>
      <c r="E8" s="15">
        <f>B8*总览!$B$10</f>
        <v>0</v>
      </c>
      <c r="F8" s="15">
        <f>SUMIFS(交易记录!$D$6:$D$605,交易记录!$A$6:$A$605,"&gt;="&amp;DATE(YEAR(A8),MONTH(A8),1),交易记录!$A$6:$A$605,"&lt;"&amp;DATE(YEAR(A8),MONTH(A8)+1,1),交易记录!$B$6:$B$605,"VOO",交易记录!$C$6:$C$605,"买入")+SUMIFS(交易记录!$E$6:$E$605,交易记录!$A$6:$A$605,"&gt;="&amp;DATE(YEAR(A8),MONTH(A8),1),交易记录!$A$6:$A$605,"&lt;"&amp;DATE(YEAR(A8),MONTH(A8)+1,1),交易记录!$B$6:$B$605,"VOO",交易记录!$C$6:$C$605,"买入")</f>
        <v>0</v>
      </c>
      <c r="G8" s="15">
        <f>SUMIFS(交易记录!$D$6:$D$605,交易记录!$A$6:$A$605,"&gt;="&amp;DATE(YEAR(A8),MONTH(A8),1),交易记录!$A$6:$A$605,"&lt;"&amp;DATE(YEAR(A8),MONTH(A8)+1,1),交易记录!$B$6:$B$605,"QQQM",交易记录!$C$6:$C$605,"买入")+SUMIFS(交易记录!$E$6:$E$605,交易记录!$A$6:$A$605,"&gt;="&amp;DATE(YEAR(A8),MONTH(A8),1),交易记录!$A$6:$A$605,"&lt;"&amp;DATE(YEAR(A8),MONTH(A8)+1,1),交易记录!$B$6:$B$605,"QQQM",交易记录!$C$6:$C$605,"买入")</f>
        <v>0</v>
      </c>
      <c r="H8" s="15">
        <f>SUMIFS(交易记录!$D$6:$D$605,交易记录!$A$6:$A$605,"&gt;="&amp;DATE(YEAR(A8),MONTH(A8),1),交易记录!$A$6:$A$605,"&lt;"&amp;DATE(YEAR(A8),MONTH(A8)+1,1),交易记录!$B$6:$B$605,"SMH",交易记录!$C$6:$C$605,"买入")+SUMIFS(交易记录!$E$6:$E$605,交易记录!$A$6:$A$605,"&gt;="&amp;DATE(YEAR(A8),MONTH(A8),1),交易记录!$A$6:$A$605,"&lt;"&amp;DATE(YEAR(A8),MONTH(A8)+1,1),交易记录!$B$6:$B$605,"SMH",交易记录!$C$6:$C$605,"买入")</f>
        <v>0</v>
      </c>
      <c r="I8" s="15">
        <f t="shared" si="0"/>
        <v>0</v>
      </c>
      <c r="J8" s="15" t="str">
        <f t="shared" si="1"/>
        <v/>
      </c>
      <c r="K8" s="19" t="str">
        <f t="shared" si="2"/>
        <v>尚未记录买入</v>
      </c>
    </row>
    <row r="9" spans="1:11" ht="21.75" customHeight="1">
      <c r="A9" s="29">
        <f>DATE(2027,1,总览!$E$4)</f>
        <v>46397</v>
      </c>
      <c r="B9" s="15">
        <f>回撤计划!J12</f>
        <v>500</v>
      </c>
      <c r="C9" s="15">
        <f>B9*总览!$B$8</f>
        <v>450</v>
      </c>
      <c r="D9" s="15">
        <f>B9*总览!$B$9</f>
        <v>50</v>
      </c>
      <c r="E9" s="15">
        <f>B9*总览!$B$10</f>
        <v>0</v>
      </c>
      <c r="F9" s="15">
        <f>SUMIFS(交易记录!$D$6:$D$605,交易记录!$A$6:$A$605,"&gt;="&amp;DATE(YEAR(A9),MONTH(A9),1),交易记录!$A$6:$A$605,"&lt;"&amp;DATE(YEAR(A9),MONTH(A9)+1,1),交易记录!$B$6:$B$605,"VOO",交易记录!$C$6:$C$605,"买入")+SUMIFS(交易记录!$E$6:$E$605,交易记录!$A$6:$A$605,"&gt;="&amp;DATE(YEAR(A9),MONTH(A9),1),交易记录!$A$6:$A$605,"&lt;"&amp;DATE(YEAR(A9),MONTH(A9)+1,1),交易记录!$B$6:$B$605,"VOO",交易记录!$C$6:$C$605,"买入")</f>
        <v>0</v>
      </c>
      <c r="G9" s="15">
        <f>SUMIFS(交易记录!$D$6:$D$605,交易记录!$A$6:$A$605,"&gt;="&amp;DATE(YEAR(A9),MONTH(A9),1),交易记录!$A$6:$A$605,"&lt;"&amp;DATE(YEAR(A9),MONTH(A9)+1,1),交易记录!$B$6:$B$605,"QQQM",交易记录!$C$6:$C$605,"买入")+SUMIFS(交易记录!$E$6:$E$605,交易记录!$A$6:$A$605,"&gt;="&amp;DATE(YEAR(A9),MONTH(A9),1),交易记录!$A$6:$A$605,"&lt;"&amp;DATE(YEAR(A9),MONTH(A9)+1,1),交易记录!$B$6:$B$605,"QQQM",交易记录!$C$6:$C$605,"买入")</f>
        <v>0</v>
      </c>
      <c r="H9" s="15">
        <f>SUMIFS(交易记录!$D$6:$D$605,交易记录!$A$6:$A$605,"&gt;="&amp;DATE(YEAR(A9),MONTH(A9),1),交易记录!$A$6:$A$605,"&lt;"&amp;DATE(YEAR(A9),MONTH(A9)+1,1),交易记录!$B$6:$B$605,"SMH",交易记录!$C$6:$C$605,"买入")+SUMIFS(交易记录!$E$6:$E$605,交易记录!$A$6:$A$605,"&gt;="&amp;DATE(YEAR(A9),MONTH(A9),1),交易记录!$A$6:$A$605,"&lt;"&amp;DATE(YEAR(A9),MONTH(A9)+1,1),交易记录!$B$6:$B$605,"SMH",交易记录!$C$6:$C$605,"买入")</f>
        <v>0</v>
      </c>
      <c r="I9" s="15">
        <f t="shared" si="0"/>
        <v>0</v>
      </c>
      <c r="J9" s="15" t="str">
        <f t="shared" si="1"/>
        <v/>
      </c>
      <c r="K9" s="19" t="str">
        <f t="shared" si="2"/>
        <v>尚未记录买入</v>
      </c>
    </row>
    <row r="10" spans="1:11" ht="21.75" customHeight="1">
      <c r="A10" s="29">
        <f>DATE(2027,2,总览!$E$4)</f>
        <v>46428</v>
      </c>
      <c r="B10" s="15">
        <f>回撤计划!J13</f>
        <v>500</v>
      </c>
      <c r="C10" s="15">
        <f>B10*总览!$B$8</f>
        <v>450</v>
      </c>
      <c r="D10" s="15">
        <f>B10*总览!$B$9</f>
        <v>50</v>
      </c>
      <c r="E10" s="15">
        <f>B10*总览!$B$10</f>
        <v>0</v>
      </c>
      <c r="F10" s="15">
        <f>SUMIFS(交易记录!$D$6:$D$605,交易记录!$A$6:$A$605,"&gt;="&amp;DATE(YEAR(A10),MONTH(A10),1),交易记录!$A$6:$A$605,"&lt;"&amp;DATE(YEAR(A10),MONTH(A10)+1,1),交易记录!$B$6:$B$605,"VOO",交易记录!$C$6:$C$605,"买入")+SUMIFS(交易记录!$E$6:$E$605,交易记录!$A$6:$A$605,"&gt;="&amp;DATE(YEAR(A10),MONTH(A10),1),交易记录!$A$6:$A$605,"&lt;"&amp;DATE(YEAR(A10),MONTH(A10)+1,1),交易记录!$B$6:$B$605,"VOO",交易记录!$C$6:$C$605,"买入")</f>
        <v>0</v>
      </c>
      <c r="G10" s="15">
        <f>SUMIFS(交易记录!$D$6:$D$605,交易记录!$A$6:$A$605,"&gt;="&amp;DATE(YEAR(A10),MONTH(A10),1),交易记录!$A$6:$A$605,"&lt;"&amp;DATE(YEAR(A10),MONTH(A10)+1,1),交易记录!$B$6:$B$605,"QQQM",交易记录!$C$6:$C$605,"买入")+SUMIFS(交易记录!$E$6:$E$605,交易记录!$A$6:$A$605,"&gt;="&amp;DATE(YEAR(A10),MONTH(A10),1),交易记录!$A$6:$A$605,"&lt;"&amp;DATE(YEAR(A10),MONTH(A10)+1,1),交易记录!$B$6:$B$605,"QQQM",交易记录!$C$6:$C$605,"买入")</f>
        <v>0</v>
      </c>
      <c r="H10" s="15">
        <f>SUMIFS(交易记录!$D$6:$D$605,交易记录!$A$6:$A$605,"&gt;="&amp;DATE(YEAR(A10),MONTH(A10),1),交易记录!$A$6:$A$605,"&lt;"&amp;DATE(YEAR(A10),MONTH(A10)+1,1),交易记录!$B$6:$B$605,"SMH",交易记录!$C$6:$C$605,"买入")+SUMIFS(交易记录!$E$6:$E$605,交易记录!$A$6:$A$605,"&gt;="&amp;DATE(YEAR(A10),MONTH(A10),1),交易记录!$A$6:$A$605,"&lt;"&amp;DATE(YEAR(A10),MONTH(A10)+1,1),交易记录!$B$6:$B$605,"SMH",交易记录!$C$6:$C$605,"买入")</f>
        <v>0</v>
      </c>
      <c r="I10" s="15">
        <f t="shared" si="0"/>
        <v>0</v>
      </c>
      <c r="J10" s="15" t="str">
        <f t="shared" si="1"/>
        <v/>
      </c>
      <c r="K10" s="19" t="str">
        <f t="shared" si="2"/>
        <v>尚未记录买入</v>
      </c>
    </row>
    <row r="11" spans="1:11" ht="21.75" customHeight="1">
      <c r="A11" s="29">
        <f>DATE(2027,3,总览!$E$4)</f>
        <v>46456</v>
      </c>
      <c r="B11" s="15">
        <f>回撤计划!J14</f>
        <v>500</v>
      </c>
      <c r="C11" s="15">
        <f>B11*总览!$B$8</f>
        <v>450</v>
      </c>
      <c r="D11" s="15">
        <f>B11*总览!$B$9</f>
        <v>50</v>
      </c>
      <c r="E11" s="15">
        <f>B11*总览!$B$10</f>
        <v>0</v>
      </c>
      <c r="F11" s="15">
        <f>SUMIFS(交易记录!$D$6:$D$605,交易记录!$A$6:$A$605,"&gt;="&amp;DATE(YEAR(A11),MONTH(A11),1),交易记录!$A$6:$A$605,"&lt;"&amp;DATE(YEAR(A11),MONTH(A11)+1,1),交易记录!$B$6:$B$605,"VOO",交易记录!$C$6:$C$605,"买入")+SUMIFS(交易记录!$E$6:$E$605,交易记录!$A$6:$A$605,"&gt;="&amp;DATE(YEAR(A11),MONTH(A11),1),交易记录!$A$6:$A$605,"&lt;"&amp;DATE(YEAR(A11),MONTH(A11)+1,1),交易记录!$B$6:$B$605,"VOO",交易记录!$C$6:$C$605,"买入")</f>
        <v>0</v>
      </c>
      <c r="G11" s="15">
        <f>SUMIFS(交易记录!$D$6:$D$605,交易记录!$A$6:$A$605,"&gt;="&amp;DATE(YEAR(A11),MONTH(A11),1),交易记录!$A$6:$A$605,"&lt;"&amp;DATE(YEAR(A11),MONTH(A11)+1,1),交易记录!$B$6:$B$605,"QQQM",交易记录!$C$6:$C$605,"买入")+SUMIFS(交易记录!$E$6:$E$605,交易记录!$A$6:$A$605,"&gt;="&amp;DATE(YEAR(A11),MONTH(A11),1),交易记录!$A$6:$A$605,"&lt;"&amp;DATE(YEAR(A11),MONTH(A11)+1,1),交易记录!$B$6:$B$605,"QQQM",交易记录!$C$6:$C$605,"买入")</f>
        <v>0</v>
      </c>
      <c r="H11" s="15">
        <f>SUMIFS(交易记录!$D$6:$D$605,交易记录!$A$6:$A$605,"&gt;="&amp;DATE(YEAR(A11),MONTH(A11),1),交易记录!$A$6:$A$605,"&lt;"&amp;DATE(YEAR(A11),MONTH(A11)+1,1),交易记录!$B$6:$B$605,"SMH",交易记录!$C$6:$C$605,"买入")+SUMIFS(交易记录!$E$6:$E$605,交易记录!$A$6:$A$605,"&gt;="&amp;DATE(YEAR(A11),MONTH(A11),1),交易记录!$A$6:$A$605,"&lt;"&amp;DATE(YEAR(A11),MONTH(A11)+1,1),交易记录!$B$6:$B$605,"SMH",交易记录!$C$6:$C$605,"买入")</f>
        <v>0</v>
      </c>
      <c r="I11" s="15">
        <f t="shared" si="0"/>
        <v>0</v>
      </c>
      <c r="J11" s="15" t="str">
        <f t="shared" si="1"/>
        <v/>
      </c>
      <c r="K11" s="19" t="str">
        <f t="shared" si="2"/>
        <v>尚未记录买入</v>
      </c>
    </row>
    <row r="12" spans="1:11" ht="21.75" customHeight="1">
      <c r="A12" s="29">
        <f>DATE(2027,4,总览!$E$4)</f>
        <v>46487</v>
      </c>
      <c r="B12" s="15">
        <f>回撤计划!J15</f>
        <v>500</v>
      </c>
      <c r="C12" s="15">
        <f>B12*总览!$B$8</f>
        <v>450</v>
      </c>
      <c r="D12" s="15">
        <f>B12*总览!$B$9</f>
        <v>50</v>
      </c>
      <c r="E12" s="15">
        <f>B12*总览!$B$10</f>
        <v>0</v>
      </c>
      <c r="F12" s="15">
        <f>SUMIFS(交易记录!$D$6:$D$605,交易记录!$A$6:$A$605,"&gt;="&amp;DATE(YEAR(A12),MONTH(A12),1),交易记录!$A$6:$A$605,"&lt;"&amp;DATE(YEAR(A12),MONTH(A12)+1,1),交易记录!$B$6:$B$605,"VOO",交易记录!$C$6:$C$605,"买入")+SUMIFS(交易记录!$E$6:$E$605,交易记录!$A$6:$A$605,"&gt;="&amp;DATE(YEAR(A12),MONTH(A12),1),交易记录!$A$6:$A$605,"&lt;"&amp;DATE(YEAR(A12),MONTH(A12)+1,1),交易记录!$B$6:$B$605,"VOO",交易记录!$C$6:$C$605,"买入")</f>
        <v>0</v>
      </c>
      <c r="G12" s="15">
        <f>SUMIFS(交易记录!$D$6:$D$605,交易记录!$A$6:$A$605,"&gt;="&amp;DATE(YEAR(A12),MONTH(A12),1),交易记录!$A$6:$A$605,"&lt;"&amp;DATE(YEAR(A12),MONTH(A12)+1,1),交易记录!$B$6:$B$605,"QQQM",交易记录!$C$6:$C$605,"买入")+SUMIFS(交易记录!$E$6:$E$605,交易记录!$A$6:$A$605,"&gt;="&amp;DATE(YEAR(A12),MONTH(A12),1),交易记录!$A$6:$A$605,"&lt;"&amp;DATE(YEAR(A12),MONTH(A12)+1,1),交易记录!$B$6:$B$605,"QQQM",交易记录!$C$6:$C$605,"买入")</f>
        <v>0</v>
      </c>
      <c r="H12" s="15">
        <f>SUMIFS(交易记录!$D$6:$D$605,交易记录!$A$6:$A$605,"&gt;="&amp;DATE(YEAR(A12),MONTH(A12),1),交易记录!$A$6:$A$605,"&lt;"&amp;DATE(YEAR(A12),MONTH(A12)+1,1),交易记录!$B$6:$B$605,"SMH",交易记录!$C$6:$C$605,"买入")+SUMIFS(交易记录!$E$6:$E$605,交易记录!$A$6:$A$605,"&gt;="&amp;DATE(YEAR(A12),MONTH(A12),1),交易记录!$A$6:$A$605,"&lt;"&amp;DATE(YEAR(A12),MONTH(A12)+1,1),交易记录!$B$6:$B$605,"SMH",交易记录!$C$6:$C$605,"买入")</f>
        <v>0</v>
      </c>
      <c r="I12" s="15">
        <f t="shared" si="0"/>
        <v>0</v>
      </c>
      <c r="J12" s="15" t="str">
        <f t="shared" si="1"/>
        <v/>
      </c>
      <c r="K12" s="19" t="str">
        <f t="shared" si="2"/>
        <v>尚未记录买入</v>
      </c>
    </row>
    <row r="13" spans="1:11" ht="21.75" customHeight="1">
      <c r="A13" s="29">
        <f>DATE(2027,5,总览!$E$4)</f>
        <v>46517</v>
      </c>
      <c r="B13" s="15">
        <f>回撤计划!J16</f>
        <v>500</v>
      </c>
      <c r="C13" s="15">
        <f>B13*总览!$B$8</f>
        <v>450</v>
      </c>
      <c r="D13" s="15">
        <f>B13*总览!$B$9</f>
        <v>50</v>
      </c>
      <c r="E13" s="15">
        <f>B13*总览!$B$10</f>
        <v>0</v>
      </c>
      <c r="F13" s="15">
        <f>SUMIFS(交易记录!$D$6:$D$605,交易记录!$A$6:$A$605,"&gt;="&amp;DATE(YEAR(A13),MONTH(A13),1),交易记录!$A$6:$A$605,"&lt;"&amp;DATE(YEAR(A13),MONTH(A13)+1,1),交易记录!$B$6:$B$605,"VOO",交易记录!$C$6:$C$605,"买入")+SUMIFS(交易记录!$E$6:$E$605,交易记录!$A$6:$A$605,"&gt;="&amp;DATE(YEAR(A13),MONTH(A13),1),交易记录!$A$6:$A$605,"&lt;"&amp;DATE(YEAR(A13),MONTH(A13)+1,1),交易记录!$B$6:$B$605,"VOO",交易记录!$C$6:$C$605,"买入")</f>
        <v>0</v>
      </c>
      <c r="G13" s="15">
        <f>SUMIFS(交易记录!$D$6:$D$605,交易记录!$A$6:$A$605,"&gt;="&amp;DATE(YEAR(A13),MONTH(A13),1),交易记录!$A$6:$A$605,"&lt;"&amp;DATE(YEAR(A13),MONTH(A13)+1,1),交易记录!$B$6:$B$605,"QQQM",交易记录!$C$6:$C$605,"买入")+SUMIFS(交易记录!$E$6:$E$605,交易记录!$A$6:$A$605,"&gt;="&amp;DATE(YEAR(A13),MONTH(A13),1),交易记录!$A$6:$A$605,"&lt;"&amp;DATE(YEAR(A13),MONTH(A13)+1,1),交易记录!$B$6:$B$605,"QQQM",交易记录!$C$6:$C$605,"买入")</f>
        <v>0</v>
      </c>
      <c r="H13" s="15">
        <f>SUMIFS(交易记录!$D$6:$D$605,交易记录!$A$6:$A$605,"&gt;="&amp;DATE(YEAR(A13),MONTH(A13),1),交易记录!$A$6:$A$605,"&lt;"&amp;DATE(YEAR(A13),MONTH(A13)+1,1),交易记录!$B$6:$B$605,"SMH",交易记录!$C$6:$C$605,"买入")+SUMIFS(交易记录!$E$6:$E$605,交易记录!$A$6:$A$605,"&gt;="&amp;DATE(YEAR(A13),MONTH(A13),1),交易记录!$A$6:$A$605,"&lt;"&amp;DATE(YEAR(A13),MONTH(A13)+1,1),交易记录!$B$6:$B$605,"SMH",交易记录!$C$6:$C$605,"买入")</f>
        <v>0</v>
      </c>
      <c r="I13" s="15">
        <f t="shared" si="0"/>
        <v>0</v>
      </c>
      <c r="J13" s="15" t="str">
        <f t="shared" si="1"/>
        <v/>
      </c>
      <c r="K13" s="19" t="str">
        <f t="shared" si="2"/>
        <v>尚未记录买入</v>
      </c>
    </row>
    <row r="14" spans="1:11" ht="21.75" customHeight="1">
      <c r="A14" s="29">
        <f>DATE(2027,6,总览!$E$4)</f>
        <v>46548</v>
      </c>
      <c r="B14" s="15">
        <f>回撤计划!J17</f>
        <v>500</v>
      </c>
      <c r="C14" s="15">
        <f>B14*总览!$B$8</f>
        <v>450</v>
      </c>
      <c r="D14" s="15">
        <f>B14*总览!$B$9</f>
        <v>50</v>
      </c>
      <c r="E14" s="15">
        <f>B14*总览!$B$10</f>
        <v>0</v>
      </c>
      <c r="F14" s="15">
        <f>SUMIFS(交易记录!$D$6:$D$605,交易记录!$A$6:$A$605,"&gt;="&amp;DATE(YEAR(A14),MONTH(A14),1),交易记录!$A$6:$A$605,"&lt;"&amp;DATE(YEAR(A14),MONTH(A14)+1,1),交易记录!$B$6:$B$605,"VOO",交易记录!$C$6:$C$605,"买入")+SUMIFS(交易记录!$E$6:$E$605,交易记录!$A$6:$A$605,"&gt;="&amp;DATE(YEAR(A14),MONTH(A14),1),交易记录!$A$6:$A$605,"&lt;"&amp;DATE(YEAR(A14),MONTH(A14)+1,1),交易记录!$B$6:$B$605,"VOO",交易记录!$C$6:$C$605,"买入")</f>
        <v>0</v>
      </c>
      <c r="G14" s="15">
        <f>SUMIFS(交易记录!$D$6:$D$605,交易记录!$A$6:$A$605,"&gt;="&amp;DATE(YEAR(A14),MONTH(A14),1),交易记录!$A$6:$A$605,"&lt;"&amp;DATE(YEAR(A14),MONTH(A14)+1,1),交易记录!$B$6:$B$605,"QQQM",交易记录!$C$6:$C$605,"买入")+SUMIFS(交易记录!$E$6:$E$605,交易记录!$A$6:$A$605,"&gt;="&amp;DATE(YEAR(A14),MONTH(A14),1),交易记录!$A$6:$A$605,"&lt;"&amp;DATE(YEAR(A14),MONTH(A14)+1,1),交易记录!$B$6:$B$605,"QQQM",交易记录!$C$6:$C$605,"买入")</f>
        <v>0</v>
      </c>
      <c r="H14" s="15">
        <f>SUMIFS(交易记录!$D$6:$D$605,交易记录!$A$6:$A$605,"&gt;="&amp;DATE(YEAR(A14),MONTH(A14),1),交易记录!$A$6:$A$605,"&lt;"&amp;DATE(YEAR(A14),MONTH(A14)+1,1),交易记录!$B$6:$B$605,"SMH",交易记录!$C$6:$C$605,"买入")+SUMIFS(交易记录!$E$6:$E$605,交易记录!$A$6:$A$605,"&gt;="&amp;DATE(YEAR(A14),MONTH(A14),1),交易记录!$A$6:$A$605,"&lt;"&amp;DATE(YEAR(A14),MONTH(A14)+1,1),交易记录!$B$6:$B$605,"SMH",交易记录!$C$6:$C$605,"买入")</f>
        <v>0</v>
      </c>
      <c r="I14" s="15">
        <f t="shared" si="0"/>
        <v>0</v>
      </c>
      <c r="J14" s="15" t="str">
        <f t="shared" si="1"/>
        <v/>
      </c>
      <c r="K14" s="19" t="str">
        <f t="shared" si="2"/>
        <v>尚未记录买入</v>
      </c>
    </row>
    <row r="15" spans="1:11" ht="21.75" customHeight="1">
      <c r="A15" s="29">
        <f>DATE(2027,7,总览!$E$4)</f>
        <v>46578</v>
      </c>
      <c r="B15" s="15">
        <f>回撤计划!J18</f>
        <v>500</v>
      </c>
      <c r="C15" s="15">
        <f>B15*总览!$B$8</f>
        <v>450</v>
      </c>
      <c r="D15" s="15">
        <f>B15*总览!$B$9</f>
        <v>50</v>
      </c>
      <c r="E15" s="15">
        <f>B15*总览!$B$10</f>
        <v>0</v>
      </c>
      <c r="F15" s="15">
        <f>SUMIFS(交易记录!$D$6:$D$605,交易记录!$A$6:$A$605,"&gt;="&amp;DATE(YEAR(A15),MONTH(A15),1),交易记录!$A$6:$A$605,"&lt;"&amp;DATE(YEAR(A15),MONTH(A15)+1,1),交易记录!$B$6:$B$605,"VOO",交易记录!$C$6:$C$605,"买入")+SUMIFS(交易记录!$E$6:$E$605,交易记录!$A$6:$A$605,"&gt;="&amp;DATE(YEAR(A15),MONTH(A15),1),交易记录!$A$6:$A$605,"&lt;"&amp;DATE(YEAR(A15),MONTH(A15)+1,1),交易记录!$B$6:$B$605,"VOO",交易记录!$C$6:$C$605,"买入")</f>
        <v>0</v>
      </c>
      <c r="G15" s="15">
        <f>SUMIFS(交易记录!$D$6:$D$605,交易记录!$A$6:$A$605,"&gt;="&amp;DATE(YEAR(A15),MONTH(A15),1),交易记录!$A$6:$A$605,"&lt;"&amp;DATE(YEAR(A15),MONTH(A15)+1,1),交易记录!$B$6:$B$605,"QQQM",交易记录!$C$6:$C$605,"买入")+SUMIFS(交易记录!$E$6:$E$605,交易记录!$A$6:$A$605,"&gt;="&amp;DATE(YEAR(A15),MONTH(A15),1),交易记录!$A$6:$A$605,"&lt;"&amp;DATE(YEAR(A15),MONTH(A15)+1,1),交易记录!$B$6:$B$605,"QQQM",交易记录!$C$6:$C$605,"买入")</f>
        <v>0</v>
      </c>
      <c r="H15" s="15">
        <f>SUMIFS(交易记录!$D$6:$D$605,交易记录!$A$6:$A$605,"&gt;="&amp;DATE(YEAR(A15),MONTH(A15),1),交易记录!$A$6:$A$605,"&lt;"&amp;DATE(YEAR(A15),MONTH(A15)+1,1),交易记录!$B$6:$B$605,"SMH",交易记录!$C$6:$C$605,"买入")+SUMIFS(交易记录!$E$6:$E$605,交易记录!$A$6:$A$605,"&gt;="&amp;DATE(YEAR(A15),MONTH(A15),1),交易记录!$A$6:$A$605,"&lt;"&amp;DATE(YEAR(A15),MONTH(A15)+1,1),交易记录!$B$6:$B$605,"SMH",交易记录!$C$6:$C$605,"买入")</f>
        <v>0</v>
      </c>
      <c r="I15" s="15">
        <f t="shared" si="0"/>
        <v>0</v>
      </c>
      <c r="J15" s="15" t="str">
        <f t="shared" si="1"/>
        <v/>
      </c>
      <c r="K15" s="19" t="str">
        <f t="shared" si="2"/>
        <v>尚未记录买入</v>
      </c>
    </row>
    <row r="16" spans="1:11" ht="21.75" customHeight="1">
      <c r="A16" s="29">
        <f>DATE(2027,8,总览!$E$4)</f>
        <v>46609</v>
      </c>
      <c r="B16" s="15">
        <f>回撤计划!J19</f>
        <v>500</v>
      </c>
      <c r="C16" s="15">
        <f>B16*总览!$B$8</f>
        <v>450</v>
      </c>
      <c r="D16" s="15">
        <f>B16*总览!$B$9</f>
        <v>50</v>
      </c>
      <c r="E16" s="15">
        <f>B16*总览!$B$10</f>
        <v>0</v>
      </c>
      <c r="F16" s="15">
        <f>SUMIFS(交易记录!$D$6:$D$605,交易记录!$A$6:$A$605,"&gt;="&amp;DATE(YEAR(A16),MONTH(A16),1),交易记录!$A$6:$A$605,"&lt;"&amp;DATE(YEAR(A16),MONTH(A16)+1,1),交易记录!$B$6:$B$605,"VOO",交易记录!$C$6:$C$605,"买入")+SUMIFS(交易记录!$E$6:$E$605,交易记录!$A$6:$A$605,"&gt;="&amp;DATE(YEAR(A16),MONTH(A16),1),交易记录!$A$6:$A$605,"&lt;"&amp;DATE(YEAR(A16),MONTH(A16)+1,1),交易记录!$B$6:$B$605,"VOO",交易记录!$C$6:$C$605,"买入")</f>
        <v>0</v>
      </c>
      <c r="G16" s="15">
        <f>SUMIFS(交易记录!$D$6:$D$605,交易记录!$A$6:$A$605,"&gt;="&amp;DATE(YEAR(A16),MONTH(A16),1),交易记录!$A$6:$A$605,"&lt;"&amp;DATE(YEAR(A16),MONTH(A16)+1,1),交易记录!$B$6:$B$605,"QQQM",交易记录!$C$6:$C$605,"买入")+SUMIFS(交易记录!$E$6:$E$605,交易记录!$A$6:$A$605,"&gt;="&amp;DATE(YEAR(A16),MONTH(A16),1),交易记录!$A$6:$A$605,"&lt;"&amp;DATE(YEAR(A16),MONTH(A16)+1,1),交易记录!$B$6:$B$605,"QQQM",交易记录!$C$6:$C$605,"买入")</f>
        <v>0</v>
      </c>
      <c r="H16" s="15">
        <f>SUMIFS(交易记录!$D$6:$D$605,交易记录!$A$6:$A$605,"&gt;="&amp;DATE(YEAR(A16),MONTH(A16),1),交易记录!$A$6:$A$605,"&lt;"&amp;DATE(YEAR(A16),MONTH(A16)+1,1),交易记录!$B$6:$B$605,"SMH",交易记录!$C$6:$C$605,"买入")+SUMIFS(交易记录!$E$6:$E$605,交易记录!$A$6:$A$605,"&gt;="&amp;DATE(YEAR(A16),MONTH(A16),1),交易记录!$A$6:$A$605,"&lt;"&amp;DATE(YEAR(A16),MONTH(A16)+1,1),交易记录!$B$6:$B$605,"SMH",交易记录!$C$6:$C$605,"买入")</f>
        <v>0</v>
      </c>
      <c r="I16" s="15">
        <f t="shared" si="0"/>
        <v>0</v>
      </c>
      <c r="J16" s="15" t="str">
        <f t="shared" si="1"/>
        <v/>
      </c>
      <c r="K16" s="19" t="str">
        <f t="shared" si="2"/>
        <v>尚未记录买入</v>
      </c>
    </row>
    <row r="17" spans="1:11" ht="21.75" customHeight="1">
      <c r="A17" s="29">
        <f>DATE(2027,9,总览!$E$4)</f>
        <v>46640</v>
      </c>
      <c r="B17" s="15">
        <f>回撤计划!J20</f>
        <v>500</v>
      </c>
      <c r="C17" s="15">
        <f>B17*总览!$B$8</f>
        <v>450</v>
      </c>
      <c r="D17" s="15">
        <f>B17*总览!$B$9</f>
        <v>50</v>
      </c>
      <c r="E17" s="15">
        <f>B17*总览!$B$10</f>
        <v>0</v>
      </c>
      <c r="F17" s="15">
        <f>SUMIFS(交易记录!$D$6:$D$605,交易记录!$A$6:$A$605,"&gt;="&amp;DATE(YEAR(A17),MONTH(A17),1),交易记录!$A$6:$A$605,"&lt;"&amp;DATE(YEAR(A17),MONTH(A17)+1,1),交易记录!$B$6:$B$605,"VOO",交易记录!$C$6:$C$605,"买入")+SUMIFS(交易记录!$E$6:$E$605,交易记录!$A$6:$A$605,"&gt;="&amp;DATE(YEAR(A17),MONTH(A17),1),交易记录!$A$6:$A$605,"&lt;"&amp;DATE(YEAR(A17),MONTH(A17)+1,1),交易记录!$B$6:$B$605,"VOO",交易记录!$C$6:$C$605,"买入")</f>
        <v>0</v>
      </c>
      <c r="G17" s="15">
        <f>SUMIFS(交易记录!$D$6:$D$605,交易记录!$A$6:$A$605,"&gt;="&amp;DATE(YEAR(A17),MONTH(A17),1),交易记录!$A$6:$A$605,"&lt;"&amp;DATE(YEAR(A17),MONTH(A17)+1,1),交易记录!$B$6:$B$605,"QQQM",交易记录!$C$6:$C$605,"买入")+SUMIFS(交易记录!$E$6:$E$605,交易记录!$A$6:$A$605,"&gt;="&amp;DATE(YEAR(A17),MONTH(A17),1),交易记录!$A$6:$A$605,"&lt;"&amp;DATE(YEAR(A17),MONTH(A17)+1,1),交易记录!$B$6:$B$605,"QQQM",交易记录!$C$6:$C$605,"买入")</f>
        <v>0</v>
      </c>
      <c r="H17" s="15">
        <f>SUMIFS(交易记录!$D$6:$D$605,交易记录!$A$6:$A$605,"&gt;="&amp;DATE(YEAR(A17),MONTH(A17),1),交易记录!$A$6:$A$605,"&lt;"&amp;DATE(YEAR(A17),MONTH(A17)+1,1),交易记录!$B$6:$B$605,"SMH",交易记录!$C$6:$C$605,"买入")+SUMIFS(交易记录!$E$6:$E$605,交易记录!$A$6:$A$605,"&gt;="&amp;DATE(YEAR(A17),MONTH(A17),1),交易记录!$A$6:$A$605,"&lt;"&amp;DATE(YEAR(A17),MONTH(A17)+1,1),交易记录!$B$6:$B$605,"SMH",交易记录!$C$6:$C$605,"买入")</f>
        <v>0</v>
      </c>
      <c r="I17" s="15">
        <f t="shared" si="0"/>
        <v>0</v>
      </c>
      <c r="J17" s="15" t="str">
        <f t="shared" si="1"/>
        <v/>
      </c>
      <c r="K17" s="19" t="str">
        <f t="shared" si="2"/>
        <v>尚未记录买入</v>
      </c>
    </row>
    <row r="18" spans="1:11" ht="21.75" customHeight="1">
      <c r="A18" s="29">
        <f>DATE(2027,10,总览!$E$4)</f>
        <v>46670</v>
      </c>
      <c r="B18" s="15">
        <f>回撤计划!J21</f>
        <v>500</v>
      </c>
      <c r="C18" s="15">
        <f>B18*总览!$B$8</f>
        <v>450</v>
      </c>
      <c r="D18" s="15">
        <f>B18*总览!$B$9</f>
        <v>50</v>
      </c>
      <c r="E18" s="15">
        <f>B18*总览!$B$10</f>
        <v>0</v>
      </c>
      <c r="F18" s="15">
        <f>SUMIFS(交易记录!$D$6:$D$605,交易记录!$A$6:$A$605,"&gt;="&amp;DATE(YEAR(A18),MONTH(A18),1),交易记录!$A$6:$A$605,"&lt;"&amp;DATE(YEAR(A18),MONTH(A18)+1,1),交易记录!$B$6:$B$605,"VOO",交易记录!$C$6:$C$605,"买入")+SUMIFS(交易记录!$E$6:$E$605,交易记录!$A$6:$A$605,"&gt;="&amp;DATE(YEAR(A18),MONTH(A18),1),交易记录!$A$6:$A$605,"&lt;"&amp;DATE(YEAR(A18),MONTH(A18)+1,1),交易记录!$B$6:$B$605,"VOO",交易记录!$C$6:$C$605,"买入")</f>
        <v>0</v>
      </c>
      <c r="G18" s="15">
        <f>SUMIFS(交易记录!$D$6:$D$605,交易记录!$A$6:$A$605,"&gt;="&amp;DATE(YEAR(A18),MONTH(A18),1),交易记录!$A$6:$A$605,"&lt;"&amp;DATE(YEAR(A18),MONTH(A18)+1,1),交易记录!$B$6:$B$605,"QQQM",交易记录!$C$6:$C$605,"买入")+SUMIFS(交易记录!$E$6:$E$605,交易记录!$A$6:$A$605,"&gt;="&amp;DATE(YEAR(A18),MONTH(A18),1),交易记录!$A$6:$A$605,"&lt;"&amp;DATE(YEAR(A18),MONTH(A18)+1,1),交易记录!$B$6:$B$605,"QQQM",交易记录!$C$6:$C$605,"买入")</f>
        <v>0</v>
      </c>
      <c r="H18" s="15">
        <f>SUMIFS(交易记录!$D$6:$D$605,交易记录!$A$6:$A$605,"&gt;="&amp;DATE(YEAR(A18),MONTH(A18),1),交易记录!$A$6:$A$605,"&lt;"&amp;DATE(YEAR(A18),MONTH(A18)+1,1),交易记录!$B$6:$B$605,"SMH",交易记录!$C$6:$C$605,"买入")+SUMIFS(交易记录!$E$6:$E$605,交易记录!$A$6:$A$605,"&gt;="&amp;DATE(YEAR(A18),MONTH(A18),1),交易记录!$A$6:$A$605,"&lt;"&amp;DATE(YEAR(A18),MONTH(A18)+1,1),交易记录!$B$6:$B$605,"SMH",交易记录!$C$6:$C$605,"买入")</f>
        <v>0</v>
      </c>
      <c r="I18" s="15">
        <f t="shared" si="0"/>
        <v>0</v>
      </c>
      <c r="J18" s="15" t="str">
        <f t="shared" si="1"/>
        <v/>
      </c>
      <c r="K18" s="19" t="str">
        <f t="shared" si="2"/>
        <v>尚未记录买入</v>
      </c>
    </row>
    <row r="19" spans="1:11" ht="21.75" customHeight="1">
      <c r="A19" s="29">
        <f>DATE(2027,11,总览!$E$4)</f>
        <v>46701</v>
      </c>
      <c r="B19" s="15">
        <f>回撤计划!J22</f>
        <v>500</v>
      </c>
      <c r="C19" s="15">
        <f>B19*总览!$B$8</f>
        <v>450</v>
      </c>
      <c r="D19" s="15">
        <f>B19*总览!$B$9</f>
        <v>50</v>
      </c>
      <c r="E19" s="15">
        <f>B19*总览!$B$10</f>
        <v>0</v>
      </c>
      <c r="F19" s="15">
        <f>SUMIFS(交易记录!$D$6:$D$605,交易记录!$A$6:$A$605,"&gt;="&amp;DATE(YEAR(A19),MONTH(A19),1),交易记录!$A$6:$A$605,"&lt;"&amp;DATE(YEAR(A19),MONTH(A19)+1,1),交易记录!$B$6:$B$605,"VOO",交易记录!$C$6:$C$605,"买入")+SUMIFS(交易记录!$E$6:$E$605,交易记录!$A$6:$A$605,"&gt;="&amp;DATE(YEAR(A19),MONTH(A19),1),交易记录!$A$6:$A$605,"&lt;"&amp;DATE(YEAR(A19),MONTH(A19)+1,1),交易记录!$B$6:$B$605,"VOO",交易记录!$C$6:$C$605,"买入")</f>
        <v>0</v>
      </c>
      <c r="G19" s="15">
        <f>SUMIFS(交易记录!$D$6:$D$605,交易记录!$A$6:$A$605,"&gt;="&amp;DATE(YEAR(A19),MONTH(A19),1),交易记录!$A$6:$A$605,"&lt;"&amp;DATE(YEAR(A19),MONTH(A19)+1,1),交易记录!$B$6:$B$605,"QQQM",交易记录!$C$6:$C$605,"买入")+SUMIFS(交易记录!$E$6:$E$605,交易记录!$A$6:$A$605,"&gt;="&amp;DATE(YEAR(A19),MONTH(A19),1),交易记录!$A$6:$A$605,"&lt;"&amp;DATE(YEAR(A19),MONTH(A19)+1,1),交易记录!$B$6:$B$605,"QQQM",交易记录!$C$6:$C$605,"买入")</f>
        <v>0</v>
      </c>
      <c r="H19" s="15">
        <f>SUMIFS(交易记录!$D$6:$D$605,交易记录!$A$6:$A$605,"&gt;="&amp;DATE(YEAR(A19),MONTH(A19),1),交易记录!$A$6:$A$605,"&lt;"&amp;DATE(YEAR(A19),MONTH(A19)+1,1),交易记录!$B$6:$B$605,"SMH",交易记录!$C$6:$C$605,"买入")+SUMIFS(交易记录!$E$6:$E$605,交易记录!$A$6:$A$605,"&gt;="&amp;DATE(YEAR(A19),MONTH(A19),1),交易记录!$A$6:$A$605,"&lt;"&amp;DATE(YEAR(A19),MONTH(A19)+1,1),交易记录!$B$6:$B$605,"SMH",交易记录!$C$6:$C$605,"买入")</f>
        <v>0</v>
      </c>
      <c r="I19" s="15">
        <f t="shared" si="0"/>
        <v>0</v>
      </c>
      <c r="J19" s="15" t="str">
        <f t="shared" si="1"/>
        <v/>
      </c>
      <c r="K19" s="19" t="str">
        <f t="shared" si="2"/>
        <v>尚未记录买入</v>
      </c>
    </row>
    <row r="20" spans="1:11" ht="21.75" customHeight="1">
      <c r="A20" s="29">
        <f>DATE(2027,12,总览!$E$4)</f>
        <v>46731</v>
      </c>
      <c r="B20" s="15">
        <f>回撤计划!J23</f>
        <v>500</v>
      </c>
      <c r="C20" s="15">
        <f>B20*总览!$B$8</f>
        <v>450</v>
      </c>
      <c r="D20" s="15">
        <f>B20*总览!$B$9</f>
        <v>50</v>
      </c>
      <c r="E20" s="15">
        <f>B20*总览!$B$10</f>
        <v>0</v>
      </c>
      <c r="F20" s="15">
        <f>SUMIFS(交易记录!$D$6:$D$605,交易记录!$A$6:$A$605,"&gt;="&amp;DATE(YEAR(A20),MONTH(A20),1),交易记录!$A$6:$A$605,"&lt;"&amp;DATE(YEAR(A20),MONTH(A20)+1,1),交易记录!$B$6:$B$605,"VOO",交易记录!$C$6:$C$605,"买入")+SUMIFS(交易记录!$E$6:$E$605,交易记录!$A$6:$A$605,"&gt;="&amp;DATE(YEAR(A20),MONTH(A20),1),交易记录!$A$6:$A$605,"&lt;"&amp;DATE(YEAR(A20),MONTH(A20)+1,1),交易记录!$B$6:$B$605,"VOO",交易记录!$C$6:$C$605,"买入")</f>
        <v>0</v>
      </c>
      <c r="G20" s="15">
        <f>SUMIFS(交易记录!$D$6:$D$605,交易记录!$A$6:$A$605,"&gt;="&amp;DATE(YEAR(A20),MONTH(A20),1),交易记录!$A$6:$A$605,"&lt;"&amp;DATE(YEAR(A20),MONTH(A20)+1,1),交易记录!$B$6:$B$605,"QQQM",交易记录!$C$6:$C$605,"买入")+SUMIFS(交易记录!$E$6:$E$605,交易记录!$A$6:$A$605,"&gt;="&amp;DATE(YEAR(A20),MONTH(A20),1),交易记录!$A$6:$A$605,"&lt;"&amp;DATE(YEAR(A20),MONTH(A20)+1,1),交易记录!$B$6:$B$605,"QQQM",交易记录!$C$6:$C$605,"买入")</f>
        <v>0</v>
      </c>
      <c r="H20" s="15">
        <f>SUMIFS(交易记录!$D$6:$D$605,交易记录!$A$6:$A$605,"&gt;="&amp;DATE(YEAR(A20),MONTH(A20),1),交易记录!$A$6:$A$605,"&lt;"&amp;DATE(YEAR(A20),MONTH(A20)+1,1),交易记录!$B$6:$B$605,"SMH",交易记录!$C$6:$C$605,"买入")+SUMIFS(交易记录!$E$6:$E$605,交易记录!$A$6:$A$605,"&gt;="&amp;DATE(YEAR(A20),MONTH(A20),1),交易记录!$A$6:$A$605,"&lt;"&amp;DATE(YEAR(A20),MONTH(A20)+1,1),交易记录!$B$6:$B$605,"SMH",交易记录!$C$6:$C$605,"买入")</f>
        <v>0</v>
      </c>
      <c r="I20" s="15">
        <f t="shared" si="0"/>
        <v>0</v>
      </c>
      <c r="J20" s="15" t="str">
        <f t="shared" si="1"/>
        <v/>
      </c>
      <c r="K20" s="19" t="str">
        <f t="shared" si="2"/>
        <v>尚未记录买入</v>
      </c>
    </row>
    <row r="21" spans="1:11" ht="21.75" customHeight="1">
      <c r="A21" s="29">
        <f>DATE(2028,1,总览!$E$4)</f>
        <v>46762</v>
      </c>
      <c r="B21" s="15">
        <f>回撤计划!J24</f>
        <v>500</v>
      </c>
      <c r="C21" s="15">
        <f>B21*总览!$B$8</f>
        <v>450</v>
      </c>
      <c r="D21" s="15">
        <f>B21*总览!$B$9</f>
        <v>50</v>
      </c>
      <c r="E21" s="15">
        <f>B21*总览!$B$10</f>
        <v>0</v>
      </c>
      <c r="F21" s="15">
        <f>SUMIFS(交易记录!$D$6:$D$605,交易记录!$A$6:$A$605,"&gt;="&amp;DATE(YEAR(A21),MONTH(A21),1),交易记录!$A$6:$A$605,"&lt;"&amp;DATE(YEAR(A21),MONTH(A21)+1,1),交易记录!$B$6:$B$605,"VOO",交易记录!$C$6:$C$605,"买入")+SUMIFS(交易记录!$E$6:$E$605,交易记录!$A$6:$A$605,"&gt;="&amp;DATE(YEAR(A21),MONTH(A21),1),交易记录!$A$6:$A$605,"&lt;"&amp;DATE(YEAR(A21),MONTH(A21)+1,1),交易记录!$B$6:$B$605,"VOO",交易记录!$C$6:$C$605,"买入")</f>
        <v>0</v>
      </c>
      <c r="G21" s="15">
        <f>SUMIFS(交易记录!$D$6:$D$605,交易记录!$A$6:$A$605,"&gt;="&amp;DATE(YEAR(A21),MONTH(A21),1),交易记录!$A$6:$A$605,"&lt;"&amp;DATE(YEAR(A21),MONTH(A21)+1,1),交易记录!$B$6:$B$605,"QQQM",交易记录!$C$6:$C$605,"买入")+SUMIFS(交易记录!$E$6:$E$605,交易记录!$A$6:$A$605,"&gt;="&amp;DATE(YEAR(A21),MONTH(A21),1),交易记录!$A$6:$A$605,"&lt;"&amp;DATE(YEAR(A21),MONTH(A21)+1,1),交易记录!$B$6:$B$605,"QQQM",交易记录!$C$6:$C$605,"买入")</f>
        <v>0</v>
      </c>
      <c r="H21" s="15">
        <f>SUMIFS(交易记录!$D$6:$D$605,交易记录!$A$6:$A$605,"&gt;="&amp;DATE(YEAR(A21),MONTH(A21),1),交易记录!$A$6:$A$605,"&lt;"&amp;DATE(YEAR(A21),MONTH(A21)+1,1),交易记录!$B$6:$B$605,"SMH",交易记录!$C$6:$C$605,"买入")+SUMIFS(交易记录!$E$6:$E$605,交易记录!$A$6:$A$605,"&gt;="&amp;DATE(YEAR(A21),MONTH(A21),1),交易记录!$A$6:$A$605,"&lt;"&amp;DATE(YEAR(A21),MONTH(A21)+1,1),交易记录!$B$6:$B$605,"SMH",交易记录!$C$6:$C$605,"买入")</f>
        <v>0</v>
      </c>
      <c r="I21" s="15">
        <f t="shared" si="0"/>
        <v>0</v>
      </c>
      <c r="J21" s="15" t="str">
        <f t="shared" si="1"/>
        <v/>
      </c>
      <c r="K21" s="19" t="str">
        <f t="shared" si="2"/>
        <v>尚未记录买入</v>
      </c>
    </row>
    <row r="22" spans="1:11" ht="21.75" customHeight="1">
      <c r="A22" s="29">
        <f>DATE(2028,2,总览!$E$4)</f>
        <v>46793</v>
      </c>
      <c r="B22" s="15">
        <f>回撤计划!J25</f>
        <v>500</v>
      </c>
      <c r="C22" s="15">
        <f>B22*总览!$B$8</f>
        <v>450</v>
      </c>
      <c r="D22" s="15">
        <f>B22*总览!$B$9</f>
        <v>50</v>
      </c>
      <c r="E22" s="15">
        <f>B22*总览!$B$10</f>
        <v>0</v>
      </c>
      <c r="F22" s="15">
        <f>SUMIFS(交易记录!$D$6:$D$605,交易记录!$A$6:$A$605,"&gt;="&amp;DATE(YEAR(A22),MONTH(A22),1),交易记录!$A$6:$A$605,"&lt;"&amp;DATE(YEAR(A22),MONTH(A22)+1,1),交易记录!$B$6:$B$605,"VOO",交易记录!$C$6:$C$605,"买入")+SUMIFS(交易记录!$E$6:$E$605,交易记录!$A$6:$A$605,"&gt;="&amp;DATE(YEAR(A22),MONTH(A22),1),交易记录!$A$6:$A$605,"&lt;"&amp;DATE(YEAR(A22),MONTH(A22)+1,1),交易记录!$B$6:$B$605,"VOO",交易记录!$C$6:$C$605,"买入")</f>
        <v>0</v>
      </c>
      <c r="G22" s="15">
        <f>SUMIFS(交易记录!$D$6:$D$605,交易记录!$A$6:$A$605,"&gt;="&amp;DATE(YEAR(A22),MONTH(A22),1),交易记录!$A$6:$A$605,"&lt;"&amp;DATE(YEAR(A22),MONTH(A22)+1,1),交易记录!$B$6:$B$605,"QQQM",交易记录!$C$6:$C$605,"买入")+SUMIFS(交易记录!$E$6:$E$605,交易记录!$A$6:$A$605,"&gt;="&amp;DATE(YEAR(A22),MONTH(A22),1),交易记录!$A$6:$A$605,"&lt;"&amp;DATE(YEAR(A22),MONTH(A22)+1,1),交易记录!$B$6:$B$605,"QQQM",交易记录!$C$6:$C$605,"买入")</f>
        <v>0</v>
      </c>
      <c r="H22" s="15">
        <f>SUMIFS(交易记录!$D$6:$D$605,交易记录!$A$6:$A$605,"&gt;="&amp;DATE(YEAR(A22),MONTH(A22),1),交易记录!$A$6:$A$605,"&lt;"&amp;DATE(YEAR(A22),MONTH(A22)+1,1),交易记录!$B$6:$B$605,"SMH",交易记录!$C$6:$C$605,"买入")+SUMIFS(交易记录!$E$6:$E$605,交易记录!$A$6:$A$605,"&gt;="&amp;DATE(YEAR(A22),MONTH(A22),1),交易记录!$A$6:$A$605,"&lt;"&amp;DATE(YEAR(A22),MONTH(A22)+1,1),交易记录!$B$6:$B$605,"SMH",交易记录!$C$6:$C$605,"买入")</f>
        <v>0</v>
      </c>
      <c r="I22" s="15">
        <f t="shared" si="0"/>
        <v>0</v>
      </c>
      <c r="J22" s="15" t="str">
        <f t="shared" si="1"/>
        <v/>
      </c>
      <c r="K22" s="19" t="str">
        <f t="shared" si="2"/>
        <v>尚未记录买入</v>
      </c>
    </row>
    <row r="23" spans="1:11" ht="21.75" customHeight="1">
      <c r="A23" s="29">
        <f>DATE(2028,3,总览!$E$4)</f>
        <v>46822</v>
      </c>
      <c r="B23" s="15">
        <f>回撤计划!J26</f>
        <v>500</v>
      </c>
      <c r="C23" s="15">
        <f>B23*总览!$B$8</f>
        <v>450</v>
      </c>
      <c r="D23" s="15">
        <f>B23*总览!$B$9</f>
        <v>50</v>
      </c>
      <c r="E23" s="15">
        <f>B23*总览!$B$10</f>
        <v>0</v>
      </c>
      <c r="F23" s="15">
        <f>SUMIFS(交易记录!$D$6:$D$605,交易记录!$A$6:$A$605,"&gt;="&amp;DATE(YEAR(A23),MONTH(A23),1),交易记录!$A$6:$A$605,"&lt;"&amp;DATE(YEAR(A23),MONTH(A23)+1,1),交易记录!$B$6:$B$605,"VOO",交易记录!$C$6:$C$605,"买入")+SUMIFS(交易记录!$E$6:$E$605,交易记录!$A$6:$A$605,"&gt;="&amp;DATE(YEAR(A23),MONTH(A23),1),交易记录!$A$6:$A$605,"&lt;"&amp;DATE(YEAR(A23),MONTH(A23)+1,1),交易记录!$B$6:$B$605,"VOO",交易记录!$C$6:$C$605,"买入")</f>
        <v>0</v>
      </c>
      <c r="G23" s="15">
        <f>SUMIFS(交易记录!$D$6:$D$605,交易记录!$A$6:$A$605,"&gt;="&amp;DATE(YEAR(A23),MONTH(A23),1),交易记录!$A$6:$A$605,"&lt;"&amp;DATE(YEAR(A23),MONTH(A23)+1,1),交易记录!$B$6:$B$605,"QQQM",交易记录!$C$6:$C$605,"买入")+SUMIFS(交易记录!$E$6:$E$605,交易记录!$A$6:$A$605,"&gt;="&amp;DATE(YEAR(A23),MONTH(A23),1),交易记录!$A$6:$A$605,"&lt;"&amp;DATE(YEAR(A23),MONTH(A23)+1,1),交易记录!$B$6:$B$605,"QQQM",交易记录!$C$6:$C$605,"买入")</f>
        <v>0</v>
      </c>
      <c r="H23" s="15">
        <f>SUMIFS(交易记录!$D$6:$D$605,交易记录!$A$6:$A$605,"&gt;="&amp;DATE(YEAR(A23),MONTH(A23),1),交易记录!$A$6:$A$605,"&lt;"&amp;DATE(YEAR(A23),MONTH(A23)+1,1),交易记录!$B$6:$B$605,"SMH",交易记录!$C$6:$C$605,"买入")+SUMIFS(交易记录!$E$6:$E$605,交易记录!$A$6:$A$605,"&gt;="&amp;DATE(YEAR(A23),MONTH(A23),1),交易记录!$A$6:$A$605,"&lt;"&amp;DATE(YEAR(A23),MONTH(A23)+1,1),交易记录!$B$6:$B$605,"SMH",交易记录!$C$6:$C$605,"买入")</f>
        <v>0</v>
      </c>
      <c r="I23" s="15">
        <f t="shared" si="0"/>
        <v>0</v>
      </c>
      <c r="J23" s="15" t="str">
        <f t="shared" si="1"/>
        <v/>
      </c>
      <c r="K23" s="19" t="str">
        <f t="shared" si="2"/>
        <v>尚未记录买入</v>
      </c>
    </row>
    <row r="24" spans="1:11" ht="21.75" customHeight="1">
      <c r="A24" s="29">
        <f>DATE(2028,4,总览!$E$4)</f>
        <v>46853</v>
      </c>
      <c r="B24" s="15">
        <f>回撤计划!J27</f>
        <v>500</v>
      </c>
      <c r="C24" s="15">
        <f>B24*总览!$B$8</f>
        <v>450</v>
      </c>
      <c r="D24" s="15">
        <f>B24*总览!$B$9</f>
        <v>50</v>
      </c>
      <c r="E24" s="15">
        <f>B24*总览!$B$10</f>
        <v>0</v>
      </c>
      <c r="F24" s="15">
        <f>SUMIFS(交易记录!$D$6:$D$605,交易记录!$A$6:$A$605,"&gt;="&amp;DATE(YEAR(A24),MONTH(A24),1),交易记录!$A$6:$A$605,"&lt;"&amp;DATE(YEAR(A24),MONTH(A24)+1,1),交易记录!$B$6:$B$605,"VOO",交易记录!$C$6:$C$605,"买入")+SUMIFS(交易记录!$E$6:$E$605,交易记录!$A$6:$A$605,"&gt;="&amp;DATE(YEAR(A24),MONTH(A24),1),交易记录!$A$6:$A$605,"&lt;"&amp;DATE(YEAR(A24),MONTH(A24)+1,1),交易记录!$B$6:$B$605,"VOO",交易记录!$C$6:$C$605,"买入")</f>
        <v>0</v>
      </c>
      <c r="G24" s="15">
        <f>SUMIFS(交易记录!$D$6:$D$605,交易记录!$A$6:$A$605,"&gt;="&amp;DATE(YEAR(A24),MONTH(A24),1),交易记录!$A$6:$A$605,"&lt;"&amp;DATE(YEAR(A24),MONTH(A24)+1,1),交易记录!$B$6:$B$605,"QQQM",交易记录!$C$6:$C$605,"买入")+SUMIFS(交易记录!$E$6:$E$605,交易记录!$A$6:$A$605,"&gt;="&amp;DATE(YEAR(A24),MONTH(A24),1),交易记录!$A$6:$A$605,"&lt;"&amp;DATE(YEAR(A24),MONTH(A24)+1,1),交易记录!$B$6:$B$605,"QQQM",交易记录!$C$6:$C$605,"买入")</f>
        <v>0</v>
      </c>
      <c r="H24" s="15">
        <f>SUMIFS(交易记录!$D$6:$D$605,交易记录!$A$6:$A$605,"&gt;="&amp;DATE(YEAR(A24),MONTH(A24),1),交易记录!$A$6:$A$605,"&lt;"&amp;DATE(YEAR(A24),MONTH(A24)+1,1),交易记录!$B$6:$B$605,"SMH",交易记录!$C$6:$C$605,"买入")+SUMIFS(交易记录!$E$6:$E$605,交易记录!$A$6:$A$605,"&gt;="&amp;DATE(YEAR(A24),MONTH(A24),1),交易记录!$A$6:$A$605,"&lt;"&amp;DATE(YEAR(A24),MONTH(A24)+1,1),交易记录!$B$6:$B$605,"SMH",交易记录!$C$6:$C$605,"买入")</f>
        <v>0</v>
      </c>
      <c r="I24" s="15">
        <f t="shared" si="0"/>
        <v>0</v>
      </c>
      <c r="J24" s="15" t="str">
        <f t="shared" si="1"/>
        <v/>
      </c>
      <c r="K24" s="19" t="str">
        <f t="shared" si="2"/>
        <v>尚未记录买入</v>
      </c>
    </row>
    <row r="25" spans="1:11" ht="21.75" customHeight="1">
      <c r="A25" s="29">
        <f>DATE(2028,5,总览!$E$4)</f>
        <v>46883</v>
      </c>
      <c r="B25" s="15">
        <f>回撤计划!J28</f>
        <v>500</v>
      </c>
      <c r="C25" s="15">
        <f>B25*总览!$B$8</f>
        <v>450</v>
      </c>
      <c r="D25" s="15">
        <f>B25*总览!$B$9</f>
        <v>50</v>
      </c>
      <c r="E25" s="15">
        <f>B25*总览!$B$10</f>
        <v>0</v>
      </c>
      <c r="F25" s="15">
        <f>SUMIFS(交易记录!$D$6:$D$605,交易记录!$A$6:$A$605,"&gt;="&amp;DATE(YEAR(A25),MONTH(A25),1),交易记录!$A$6:$A$605,"&lt;"&amp;DATE(YEAR(A25),MONTH(A25)+1,1),交易记录!$B$6:$B$605,"VOO",交易记录!$C$6:$C$605,"买入")+SUMIFS(交易记录!$E$6:$E$605,交易记录!$A$6:$A$605,"&gt;="&amp;DATE(YEAR(A25),MONTH(A25),1),交易记录!$A$6:$A$605,"&lt;"&amp;DATE(YEAR(A25),MONTH(A25)+1,1),交易记录!$B$6:$B$605,"VOO",交易记录!$C$6:$C$605,"买入")</f>
        <v>0</v>
      </c>
      <c r="G25" s="15">
        <f>SUMIFS(交易记录!$D$6:$D$605,交易记录!$A$6:$A$605,"&gt;="&amp;DATE(YEAR(A25),MONTH(A25),1),交易记录!$A$6:$A$605,"&lt;"&amp;DATE(YEAR(A25),MONTH(A25)+1,1),交易记录!$B$6:$B$605,"QQQM",交易记录!$C$6:$C$605,"买入")+SUMIFS(交易记录!$E$6:$E$605,交易记录!$A$6:$A$605,"&gt;="&amp;DATE(YEAR(A25),MONTH(A25),1),交易记录!$A$6:$A$605,"&lt;"&amp;DATE(YEAR(A25),MONTH(A25)+1,1),交易记录!$B$6:$B$605,"QQQM",交易记录!$C$6:$C$605,"买入")</f>
        <v>0</v>
      </c>
      <c r="H25" s="15">
        <f>SUMIFS(交易记录!$D$6:$D$605,交易记录!$A$6:$A$605,"&gt;="&amp;DATE(YEAR(A25),MONTH(A25),1),交易记录!$A$6:$A$605,"&lt;"&amp;DATE(YEAR(A25),MONTH(A25)+1,1),交易记录!$B$6:$B$605,"SMH",交易记录!$C$6:$C$605,"买入")+SUMIFS(交易记录!$E$6:$E$605,交易记录!$A$6:$A$605,"&gt;="&amp;DATE(YEAR(A25),MONTH(A25),1),交易记录!$A$6:$A$605,"&lt;"&amp;DATE(YEAR(A25),MONTH(A25)+1,1),交易记录!$B$6:$B$605,"SMH",交易记录!$C$6:$C$605,"买入")</f>
        <v>0</v>
      </c>
      <c r="I25" s="15">
        <f t="shared" si="0"/>
        <v>0</v>
      </c>
      <c r="J25" s="15" t="str">
        <f t="shared" si="1"/>
        <v/>
      </c>
      <c r="K25" s="19" t="str">
        <f t="shared" si="2"/>
        <v>尚未记录买入</v>
      </c>
    </row>
    <row r="26" spans="1:11" ht="21.75" customHeight="1">
      <c r="A26" s="29">
        <f>DATE(2028,6,总览!$E$4)</f>
        <v>46914</v>
      </c>
      <c r="B26" s="15">
        <f>回撤计划!J29</f>
        <v>500</v>
      </c>
      <c r="C26" s="15">
        <f>B26*总览!$B$8</f>
        <v>450</v>
      </c>
      <c r="D26" s="15">
        <f>B26*总览!$B$9</f>
        <v>50</v>
      </c>
      <c r="E26" s="15">
        <f>B26*总览!$B$10</f>
        <v>0</v>
      </c>
      <c r="F26" s="15">
        <f>SUMIFS(交易记录!$D$6:$D$605,交易记录!$A$6:$A$605,"&gt;="&amp;DATE(YEAR(A26),MONTH(A26),1),交易记录!$A$6:$A$605,"&lt;"&amp;DATE(YEAR(A26),MONTH(A26)+1,1),交易记录!$B$6:$B$605,"VOO",交易记录!$C$6:$C$605,"买入")+SUMIFS(交易记录!$E$6:$E$605,交易记录!$A$6:$A$605,"&gt;="&amp;DATE(YEAR(A26),MONTH(A26),1),交易记录!$A$6:$A$605,"&lt;"&amp;DATE(YEAR(A26),MONTH(A26)+1,1),交易记录!$B$6:$B$605,"VOO",交易记录!$C$6:$C$605,"买入")</f>
        <v>0</v>
      </c>
      <c r="G26" s="15">
        <f>SUMIFS(交易记录!$D$6:$D$605,交易记录!$A$6:$A$605,"&gt;="&amp;DATE(YEAR(A26),MONTH(A26),1),交易记录!$A$6:$A$605,"&lt;"&amp;DATE(YEAR(A26),MONTH(A26)+1,1),交易记录!$B$6:$B$605,"QQQM",交易记录!$C$6:$C$605,"买入")+SUMIFS(交易记录!$E$6:$E$605,交易记录!$A$6:$A$605,"&gt;="&amp;DATE(YEAR(A26),MONTH(A26),1),交易记录!$A$6:$A$605,"&lt;"&amp;DATE(YEAR(A26),MONTH(A26)+1,1),交易记录!$B$6:$B$605,"QQQM",交易记录!$C$6:$C$605,"买入")</f>
        <v>0</v>
      </c>
      <c r="H26" s="15">
        <f>SUMIFS(交易记录!$D$6:$D$605,交易记录!$A$6:$A$605,"&gt;="&amp;DATE(YEAR(A26),MONTH(A26),1),交易记录!$A$6:$A$605,"&lt;"&amp;DATE(YEAR(A26),MONTH(A26)+1,1),交易记录!$B$6:$B$605,"SMH",交易记录!$C$6:$C$605,"买入")+SUMIFS(交易记录!$E$6:$E$605,交易记录!$A$6:$A$605,"&gt;="&amp;DATE(YEAR(A26),MONTH(A26),1),交易记录!$A$6:$A$605,"&lt;"&amp;DATE(YEAR(A26),MONTH(A26)+1,1),交易记录!$B$6:$B$605,"SMH",交易记录!$C$6:$C$605,"买入")</f>
        <v>0</v>
      </c>
      <c r="I26" s="15">
        <f t="shared" si="0"/>
        <v>0</v>
      </c>
      <c r="J26" s="15" t="str">
        <f t="shared" si="1"/>
        <v/>
      </c>
      <c r="K26" s="19" t="str">
        <f t="shared" si="2"/>
        <v>尚未记录买入</v>
      </c>
    </row>
    <row r="27" spans="1:11" ht="21.75" customHeight="1">
      <c r="A27" s="29">
        <f>DATE(2028,7,总览!$E$4)</f>
        <v>46944</v>
      </c>
      <c r="B27" s="15">
        <f>回撤计划!J30</f>
        <v>500</v>
      </c>
      <c r="C27" s="15">
        <f>B27*总览!$B$8</f>
        <v>450</v>
      </c>
      <c r="D27" s="15">
        <f>B27*总览!$B$9</f>
        <v>50</v>
      </c>
      <c r="E27" s="15">
        <f>B27*总览!$B$10</f>
        <v>0</v>
      </c>
      <c r="F27" s="15">
        <f>SUMIFS(交易记录!$D$6:$D$605,交易记录!$A$6:$A$605,"&gt;="&amp;DATE(YEAR(A27),MONTH(A27),1),交易记录!$A$6:$A$605,"&lt;"&amp;DATE(YEAR(A27),MONTH(A27)+1,1),交易记录!$B$6:$B$605,"VOO",交易记录!$C$6:$C$605,"买入")+SUMIFS(交易记录!$E$6:$E$605,交易记录!$A$6:$A$605,"&gt;="&amp;DATE(YEAR(A27),MONTH(A27),1),交易记录!$A$6:$A$605,"&lt;"&amp;DATE(YEAR(A27),MONTH(A27)+1,1),交易记录!$B$6:$B$605,"VOO",交易记录!$C$6:$C$605,"买入")</f>
        <v>0</v>
      </c>
      <c r="G27" s="15">
        <f>SUMIFS(交易记录!$D$6:$D$605,交易记录!$A$6:$A$605,"&gt;="&amp;DATE(YEAR(A27),MONTH(A27),1),交易记录!$A$6:$A$605,"&lt;"&amp;DATE(YEAR(A27),MONTH(A27)+1,1),交易记录!$B$6:$B$605,"QQQM",交易记录!$C$6:$C$605,"买入")+SUMIFS(交易记录!$E$6:$E$605,交易记录!$A$6:$A$605,"&gt;="&amp;DATE(YEAR(A27),MONTH(A27),1),交易记录!$A$6:$A$605,"&lt;"&amp;DATE(YEAR(A27),MONTH(A27)+1,1),交易记录!$B$6:$B$605,"QQQM",交易记录!$C$6:$C$605,"买入")</f>
        <v>0</v>
      </c>
      <c r="H27" s="15">
        <f>SUMIFS(交易记录!$D$6:$D$605,交易记录!$A$6:$A$605,"&gt;="&amp;DATE(YEAR(A27),MONTH(A27),1),交易记录!$A$6:$A$605,"&lt;"&amp;DATE(YEAR(A27),MONTH(A27)+1,1),交易记录!$B$6:$B$605,"SMH",交易记录!$C$6:$C$605,"买入")+SUMIFS(交易记录!$E$6:$E$605,交易记录!$A$6:$A$605,"&gt;="&amp;DATE(YEAR(A27),MONTH(A27),1),交易记录!$A$6:$A$605,"&lt;"&amp;DATE(YEAR(A27),MONTH(A27)+1,1),交易记录!$B$6:$B$605,"SMH",交易记录!$C$6:$C$605,"买入")</f>
        <v>0</v>
      </c>
      <c r="I27" s="15">
        <f t="shared" si="0"/>
        <v>0</v>
      </c>
      <c r="J27" s="15" t="str">
        <f t="shared" si="1"/>
        <v/>
      </c>
      <c r="K27" s="19" t="str">
        <f t="shared" si="2"/>
        <v>尚未记录买入</v>
      </c>
    </row>
    <row r="28" spans="1:11" ht="21.75" customHeight="1">
      <c r="A28" s="29">
        <f>DATE(2028,8,总览!$E$4)</f>
        <v>46975</v>
      </c>
      <c r="B28" s="15">
        <f>回撤计划!J31</f>
        <v>500</v>
      </c>
      <c r="C28" s="15">
        <f>B28*总览!$B$8</f>
        <v>450</v>
      </c>
      <c r="D28" s="15">
        <f>B28*总览!$B$9</f>
        <v>50</v>
      </c>
      <c r="E28" s="15">
        <f>B28*总览!$B$10</f>
        <v>0</v>
      </c>
      <c r="F28" s="15">
        <f>SUMIFS(交易记录!$D$6:$D$605,交易记录!$A$6:$A$605,"&gt;="&amp;DATE(YEAR(A28),MONTH(A28),1),交易记录!$A$6:$A$605,"&lt;"&amp;DATE(YEAR(A28),MONTH(A28)+1,1),交易记录!$B$6:$B$605,"VOO",交易记录!$C$6:$C$605,"买入")+SUMIFS(交易记录!$E$6:$E$605,交易记录!$A$6:$A$605,"&gt;="&amp;DATE(YEAR(A28),MONTH(A28),1),交易记录!$A$6:$A$605,"&lt;"&amp;DATE(YEAR(A28),MONTH(A28)+1,1),交易记录!$B$6:$B$605,"VOO",交易记录!$C$6:$C$605,"买入")</f>
        <v>0</v>
      </c>
      <c r="G28" s="15">
        <f>SUMIFS(交易记录!$D$6:$D$605,交易记录!$A$6:$A$605,"&gt;="&amp;DATE(YEAR(A28),MONTH(A28),1),交易记录!$A$6:$A$605,"&lt;"&amp;DATE(YEAR(A28),MONTH(A28)+1,1),交易记录!$B$6:$B$605,"QQQM",交易记录!$C$6:$C$605,"买入")+SUMIFS(交易记录!$E$6:$E$605,交易记录!$A$6:$A$605,"&gt;="&amp;DATE(YEAR(A28),MONTH(A28),1),交易记录!$A$6:$A$605,"&lt;"&amp;DATE(YEAR(A28),MONTH(A28)+1,1),交易记录!$B$6:$B$605,"QQQM",交易记录!$C$6:$C$605,"买入")</f>
        <v>0</v>
      </c>
      <c r="H28" s="15">
        <f>SUMIFS(交易记录!$D$6:$D$605,交易记录!$A$6:$A$605,"&gt;="&amp;DATE(YEAR(A28),MONTH(A28),1),交易记录!$A$6:$A$605,"&lt;"&amp;DATE(YEAR(A28),MONTH(A28)+1,1),交易记录!$B$6:$B$605,"SMH",交易记录!$C$6:$C$605,"买入")+SUMIFS(交易记录!$E$6:$E$605,交易记录!$A$6:$A$605,"&gt;="&amp;DATE(YEAR(A28),MONTH(A28),1),交易记录!$A$6:$A$605,"&lt;"&amp;DATE(YEAR(A28),MONTH(A28)+1,1),交易记录!$B$6:$B$605,"SMH",交易记录!$C$6:$C$605,"买入")</f>
        <v>0</v>
      </c>
      <c r="I28" s="15">
        <f t="shared" si="0"/>
        <v>0</v>
      </c>
      <c r="J28" s="15" t="str">
        <f t="shared" si="1"/>
        <v/>
      </c>
      <c r="K28" s="19" t="str">
        <f t="shared" si="2"/>
        <v>尚未记录买入</v>
      </c>
    </row>
    <row r="29" spans="1:11" ht="21.75" customHeight="1">
      <c r="A29" s="29">
        <f>DATE(2028,9,总览!$E$4)</f>
        <v>47006</v>
      </c>
      <c r="B29" s="15">
        <f>回撤计划!J32</f>
        <v>500</v>
      </c>
      <c r="C29" s="15">
        <f>B29*总览!$B$8</f>
        <v>450</v>
      </c>
      <c r="D29" s="15">
        <f>B29*总览!$B$9</f>
        <v>50</v>
      </c>
      <c r="E29" s="15">
        <f>B29*总览!$B$10</f>
        <v>0</v>
      </c>
      <c r="F29" s="15">
        <f>SUMIFS(交易记录!$D$6:$D$605,交易记录!$A$6:$A$605,"&gt;="&amp;DATE(YEAR(A29),MONTH(A29),1),交易记录!$A$6:$A$605,"&lt;"&amp;DATE(YEAR(A29),MONTH(A29)+1,1),交易记录!$B$6:$B$605,"VOO",交易记录!$C$6:$C$605,"买入")+SUMIFS(交易记录!$E$6:$E$605,交易记录!$A$6:$A$605,"&gt;="&amp;DATE(YEAR(A29),MONTH(A29),1),交易记录!$A$6:$A$605,"&lt;"&amp;DATE(YEAR(A29),MONTH(A29)+1,1),交易记录!$B$6:$B$605,"VOO",交易记录!$C$6:$C$605,"买入")</f>
        <v>0</v>
      </c>
      <c r="G29" s="15">
        <f>SUMIFS(交易记录!$D$6:$D$605,交易记录!$A$6:$A$605,"&gt;="&amp;DATE(YEAR(A29),MONTH(A29),1),交易记录!$A$6:$A$605,"&lt;"&amp;DATE(YEAR(A29),MONTH(A29)+1,1),交易记录!$B$6:$B$605,"QQQM",交易记录!$C$6:$C$605,"买入")+SUMIFS(交易记录!$E$6:$E$605,交易记录!$A$6:$A$605,"&gt;="&amp;DATE(YEAR(A29),MONTH(A29),1),交易记录!$A$6:$A$605,"&lt;"&amp;DATE(YEAR(A29),MONTH(A29)+1,1),交易记录!$B$6:$B$605,"QQQM",交易记录!$C$6:$C$605,"买入")</f>
        <v>0</v>
      </c>
      <c r="H29" s="15">
        <f>SUMIFS(交易记录!$D$6:$D$605,交易记录!$A$6:$A$605,"&gt;="&amp;DATE(YEAR(A29),MONTH(A29),1),交易记录!$A$6:$A$605,"&lt;"&amp;DATE(YEAR(A29),MONTH(A29)+1,1),交易记录!$B$6:$B$605,"SMH",交易记录!$C$6:$C$605,"买入")+SUMIFS(交易记录!$E$6:$E$605,交易记录!$A$6:$A$605,"&gt;="&amp;DATE(YEAR(A29),MONTH(A29),1),交易记录!$A$6:$A$605,"&lt;"&amp;DATE(YEAR(A29),MONTH(A29)+1,1),交易记录!$B$6:$B$605,"SMH",交易记录!$C$6:$C$605,"买入")</f>
        <v>0</v>
      </c>
      <c r="I29" s="15">
        <f t="shared" si="0"/>
        <v>0</v>
      </c>
      <c r="J29" s="15" t="str">
        <f t="shared" si="1"/>
        <v/>
      </c>
      <c r="K29" s="19" t="str">
        <f t="shared" si="2"/>
        <v>尚未记录买入</v>
      </c>
    </row>
    <row r="30" spans="1:11" ht="21.75" customHeight="1">
      <c r="A30" s="29">
        <f>DATE(2028,10,总览!$E$4)</f>
        <v>47036</v>
      </c>
      <c r="B30" s="15">
        <f>回撤计划!J33</f>
        <v>500</v>
      </c>
      <c r="C30" s="15">
        <f>B30*总览!$B$8</f>
        <v>450</v>
      </c>
      <c r="D30" s="15">
        <f>B30*总览!$B$9</f>
        <v>50</v>
      </c>
      <c r="E30" s="15">
        <f>B30*总览!$B$10</f>
        <v>0</v>
      </c>
      <c r="F30" s="15">
        <f>SUMIFS(交易记录!$D$6:$D$605,交易记录!$A$6:$A$605,"&gt;="&amp;DATE(YEAR(A30),MONTH(A30),1),交易记录!$A$6:$A$605,"&lt;"&amp;DATE(YEAR(A30),MONTH(A30)+1,1),交易记录!$B$6:$B$605,"VOO",交易记录!$C$6:$C$605,"买入")+SUMIFS(交易记录!$E$6:$E$605,交易记录!$A$6:$A$605,"&gt;="&amp;DATE(YEAR(A30),MONTH(A30),1),交易记录!$A$6:$A$605,"&lt;"&amp;DATE(YEAR(A30),MONTH(A30)+1,1),交易记录!$B$6:$B$605,"VOO",交易记录!$C$6:$C$605,"买入")</f>
        <v>0</v>
      </c>
      <c r="G30" s="15">
        <f>SUMIFS(交易记录!$D$6:$D$605,交易记录!$A$6:$A$605,"&gt;="&amp;DATE(YEAR(A30),MONTH(A30),1),交易记录!$A$6:$A$605,"&lt;"&amp;DATE(YEAR(A30),MONTH(A30)+1,1),交易记录!$B$6:$B$605,"QQQM",交易记录!$C$6:$C$605,"买入")+SUMIFS(交易记录!$E$6:$E$605,交易记录!$A$6:$A$605,"&gt;="&amp;DATE(YEAR(A30),MONTH(A30),1),交易记录!$A$6:$A$605,"&lt;"&amp;DATE(YEAR(A30),MONTH(A30)+1,1),交易记录!$B$6:$B$605,"QQQM",交易记录!$C$6:$C$605,"买入")</f>
        <v>0</v>
      </c>
      <c r="H30" s="15">
        <f>SUMIFS(交易记录!$D$6:$D$605,交易记录!$A$6:$A$605,"&gt;="&amp;DATE(YEAR(A30),MONTH(A30),1),交易记录!$A$6:$A$605,"&lt;"&amp;DATE(YEAR(A30),MONTH(A30)+1,1),交易记录!$B$6:$B$605,"SMH",交易记录!$C$6:$C$605,"买入")+SUMIFS(交易记录!$E$6:$E$605,交易记录!$A$6:$A$605,"&gt;="&amp;DATE(YEAR(A30),MONTH(A30),1),交易记录!$A$6:$A$605,"&lt;"&amp;DATE(YEAR(A30),MONTH(A30)+1,1),交易记录!$B$6:$B$605,"SMH",交易记录!$C$6:$C$605,"买入")</f>
        <v>0</v>
      </c>
      <c r="I30" s="15">
        <f t="shared" si="0"/>
        <v>0</v>
      </c>
      <c r="J30" s="15" t="str">
        <f t="shared" si="1"/>
        <v/>
      </c>
      <c r="K30" s="19" t="str">
        <f t="shared" si="2"/>
        <v>尚未记录买入</v>
      </c>
    </row>
    <row r="31" spans="1:11" ht="21.75" customHeight="1">
      <c r="A31" s="29">
        <f>DATE(2028,11,总览!$E$4)</f>
        <v>47067</v>
      </c>
      <c r="B31" s="15">
        <f>回撤计划!J34</f>
        <v>500</v>
      </c>
      <c r="C31" s="15">
        <f>B31*总览!$B$8</f>
        <v>450</v>
      </c>
      <c r="D31" s="15">
        <f>B31*总览!$B$9</f>
        <v>50</v>
      </c>
      <c r="E31" s="15">
        <f>B31*总览!$B$10</f>
        <v>0</v>
      </c>
      <c r="F31" s="15">
        <f>SUMIFS(交易记录!$D$6:$D$605,交易记录!$A$6:$A$605,"&gt;="&amp;DATE(YEAR(A31),MONTH(A31),1),交易记录!$A$6:$A$605,"&lt;"&amp;DATE(YEAR(A31),MONTH(A31)+1,1),交易记录!$B$6:$B$605,"VOO",交易记录!$C$6:$C$605,"买入")+SUMIFS(交易记录!$E$6:$E$605,交易记录!$A$6:$A$605,"&gt;="&amp;DATE(YEAR(A31),MONTH(A31),1),交易记录!$A$6:$A$605,"&lt;"&amp;DATE(YEAR(A31),MONTH(A31)+1,1),交易记录!$B$6:$B$605,"VOO",交易记录!$C$6:$C$605,"买入")</f>
        <v>0</v>
      </c>
      <c r="G31" s="15">
        <f>SUMIFS(交易记录!$D$6:$D$605,交易记录!$A$6:$A$605,"&gt;="&amp;DATE(YEAR(A31),MONTH(A31),1),交易记录!$A$6:$A$605,"&lt;"&amp;DATE(YEAR(A31),MONTH(A31)+1,1),交易记录!$B$6:$B$605,"QQQM",交易记录!$C$6:$C$605,"买入")+SUMIFS(交易记录!$E$6:$E$605,交易记录!$A$6:$A$605,"&gt;="&amp;DATE(YEAR(A31),MONTH(A31),1),交易记录!$A$6:$A$605,"&lt;"&amp;DATE(YEAR(A31),MONTH(A31)+1,1),交易记录!$B$6:$B$605,"QQQM",交易记录!$C$6:$C$605,"买入")</f>
        <v>0</v>
      </c>
      <c r="H31" s="15">
        <f>SUMIFS(交易记录!$D$6:$D$605,交易记录!$A$6:$A$605,"&gt;="&amp;DATE(YEAR(A31),MONTH(A31),1),交易记录!$A$6:$A$605,"&lt;"&amp;DATE(YEAR(A31),MONTH(A31)+1,1),交易记录!$B$6:$B$605,"SMH",交易记录!$C$6:$C$605,"买入")+SUMIFS(交易记录!$E$6:$E$605,交易记录!$A$6:$A$605,"&gt;="&amp;DATE(YEAR(A31),MONTH(A31),1),交易记录!$A$6:$A$605,"&lt;"&amp;DATE(YEAR(A31),MONTH(A31)+1,1),交易记录!$B$6:$B$605,"SMH",交易记录!$C$6:$C$605,"买入")</f>
        <v>0</v>
      </c>
      <c r="I31" s="15">
        <f t="shared" si="0"/>
        <v>0</v>
      </c>
      <c r="J31" s="15" t="str">
        <f t="shared" si="1"/>
        <v/>
      </c>
      <c r="K31" s="19" t="str">
        <f t="shared" si="2"/>
        <v>尚未记录买入</v>
      </c>
    </row>
    <row r="32" spans="1:11" ht="21.75" customHeight="1">
      <c r="A32" s="29">
        <f>DATE(2028,12,总览!$E$4)</f>
        <v>47097</v>
      </c>
      <c r="B32" s="15">
        <f>回撤计划!J35</f>
        <v>500</v>
      </c>
      <c r="C32" s="15">
        <f>B32*总览!$B$8</f>
        <v>450</v>
      </c>
      <c r="D32" s="15">
        <f>B32*总览!$B$9</f>
        <v>50</v>
      </c>
      <c r="E32" s="15">
        <f>B32*总览!$B$10</f>
        <v>0</v>
      </c>
      <c r="F32" s="15">
        <f>SUMIFS(交易记录!$D$6:$D$605,交易记录!$A$6:$A$605,"&gt;="&amp;DATE(YEAR(A32),MONTH(A32),1),交易记录!$A$6:$A$605,"&lt;"&amp;DATE(YEAR(A32),MONTH(A32)+1,1),交易记录!$B$6:$B$605,"VOO",交易记录!$C$6:$C$605,"买入")+SUMIFS(交易记录!$E$6:$E$605,交易记录!$A$6:$A$605,"&gt;="&amp;DATE(YEAR(A32),MONTH(A32),1),交易记录!$A$6:$A$605,"&lt;"&amp;DATE(YEAR(A32),MONTH(A32)+1,1),交易记录!$B$6:$B$605,"VOO",交易记录!$C$6:$C$605,"买入")</f>
        <v>0</v>
      </c>
      <c r="G32" s="15">
        <f>SUMIFS(交易记录!$D$6:$D$605,交易记录!$A$6:$A$605,"&gt;="&amp;DATE(YEAR(A32),MONTH(A32),1),交易记录!$A$6:$A$605,"&lt;"&amp;DATE(YEAR(A32),MONTH(A32)+1,1),交易记录!$B$6:$B$605,"QQQM",交易记录!$C$6:$C$605,"买入")+SUMIFS(交易记录!$E$6:$E$605,交易记录!$A$6:$A$605,"&gt;="&amp;DATE(YEAR(A32),MONTH(A32),1),交易记录!$A$6:$A$605,"&lt;"&amp;DATE(YEAR(A32),MONTH(A32)+1,1),交易记录!$B$6:$B$605,"QQQM",交易记录!$C$6:$C$605,"买入")</f>
        <v>0</v>
      </c>
      <c r="H32" s="15">
        <f>SUMIFS(交易记录!$D$6:$D$605,交易记录!$A$6:$A$605,"&gt;="&amp;DATE(YEAR(A32),MONTH(A32),1),交易记录!$A$6:$A$605,"&lt;"&amp;DATE(YEAR(A32),MONTH(A32)+1,1),交易记录!$B$6:$B$605,"SMH",交易记录!$C$6:$C$605,"买入")+SUMIFS(交易记录!$E$6:$E$605,交易记录!$A$6:$A$605,"&gt;="&amp;DATE(YEAR(A32),MONTH(A32),1),交易记录!$A$6:$A$605,"&lt;"&amp;DATE(YEAR(A32),MONTH(A32)+1,1),交易记录!$B$6:$B$605,"SMH",交易记录!$C$6:$C$605,"买入")</f>
        <v>0</v>
      </c>
      <c r="I32" s="15">
        <f t="shared" si="0"/>
        <v>0</v>
      </c>
      <c r="J32" s="15" t="str">
        <f t="shared" si="1"/>
        <v/>
      </c>
      <c r="K32" s="19" t="str">
        <f t="shared" si="2"/>
        <v>尚未记录买入</v>
      </c>
    </row>
    <row r="33" spans="1:11" ht="21.75" customHeight="1">
      <c r="A33" s="29">
        <f>DATE(2029,1,总览!$E$4)</f>
        <v>47128</v>
      </c>
      <c r="B33" s="15">
        <f>回撤计划!J36</f>
        <v>500</v>
      </c>
      <c r="C33" s="15">
        <f>B33*总览!$B$8</f>
        <v>450</v>
      </c>
      <c r="D33" s="15">
        <f>B33*总览!$B$9</f>
        <v>50</v>
      </c>
      <c r="E33" s="15">
        <f>B33*总览!$B$10</f>
        <v>0</v>
      </c>
      <c r="F33" s="15">
        <f>SUMIFS(交易记录!$D$6:$D$605,交易记录!$A$6:$A$605,"&gt;="&amp;DATE(YEAR(A33),MONTH(A33),1),交易记录!$A$6:$A$605,"&lt;"&amp;DATE(YEAR(A33),MONTH(A33)+1,1),交易记录!$B$6:$B$605,"VOO",交易记录!$C$6:$C$605,"买入")+SUMIFS(交易记录!$E$6:$E$605,交易记录!$A$6:$A$605,"&gt;="&amp;DATE(YEAR(A33),MONTH(A33),1),交易记录!$A$6:$A$605,"&lt;"&amp;DATE(YEAR(A33),MONTH(A33)+1,1),交易记录!$B$6:$B$605,"VOO",交易记录!$C$6:$C$605,"买入")</f>
        <v>0</v>
      </c>
      <c r="G33" s="15">
        <f>SUMIFS(交易记录!$D$6:$D$605,交易记录!$A$6:$A$605,"&gt;="&amp;DATE(YEAR(A33),MONTH(A33),1),交易记录!$A$6:$A$605,"&lt;"&amp;DATE(YEAR(A33),MONTH(A33)+1,1),交易记录!$B$6:$B$605,"QQQM",交易记录!$C$6:$C$605,"买入")+SUMIFS(交易记录!$E$6:$E$605,交易记录!$A$6:$A$605,"&gt;="&amp;DATE(YEAR(A33),MONTH(A33),1),交易记录!$A$6:$A$605,"&lt;"&amp;DATE(YEAR(A33),MONTH(A33)+1,1),交易记录!$B$6:$B$605,"QQQM",交易记录!$C$6:$C$605,"买入")</f>
        <v>0</v>
      </c>
      <c r="H33" s="15">
        <f>SUMIFS(交易记录!$D$6:$D$605,交易记录!$A$6:$A$605,"&gt;="&amp;DATE(YEAR(A33),MONTH(A33),1),交易记录!$A$6:$A$605,"&lt;"&amp;DATE(YEAR(A33),MONTH(A33)+1,1),交易记录!$B$6:$B$605,"SMH",交易记录!$C$6:$C$605,"买入")+SUMIFS(交易记录!$E$6:$E$605,交易记录!$A$6:$A$605,"&gt;="&amp;DATE(YEAR(A33),MONTH(A33),1),交易记录!$A$6:$A$605,"&lt;"&amp;DATE(YEAR(A33),MONTH(A33)+1,1),交易记录!$B$6:$B$605,"SMH",交易记录!$C$6:$C$605,"买入")</f>
        <v>0</v>
      </c>
      <c r="I33" s="15">
        <f t="shared" si="0"/>
        <v>0</v>
      </c>
      <c r="J33" s="15" t="str">
        <f t="shared" si="1"/>
        <v/>
      </c>
      <c r="K33" s="19" t="str">
        <f t="shared" si="2"/>
        <v>尚未记录买入</v>
      </c>
    </row>
    <row r="34" spans="1:11" ht="21.75" customHeight="1">
      <c r="A34" s="29">
        <f>DATE(2029,2,总览!$E$4)</f>
        <v>47159</v>
      </c>
      <c r="B34" s="15">
        <f>回撤计划!J37</f>
        <v>500</v>
      </c>
      <c r="C34" s="15">
        <f>B34*总览!$B$8</f>
        <v>450</v>
      </c>
      <c r="D34" s="15">
        <f>B34*总览!$B$9</f>
        <v>50</v>
      </c>
      <c r="E34" s="15">
        <f>B34*总览!$B$10</f>
        <v>0</v>
      </c>
      <c r="F34" s="15">
        <f>SUMIFS(交易记录!$D$6:$D$605,交易记录!$A$6:$A$605,"&gt;="&amp;DATE(YEAR(A34),MONTH(A34),1),交易记录!$A$6:$A$605,"&lt;"&amp;DATE(YEAR(A34),MONTH(A34)+1,1),交易记录!$B$6:$B$605,"VOO",交易记录!$C$6:$C$605,"买入")+SUMIFS(交易记录!$E$6:$E$605,交易记录!$A$6:$A$605,"&gt;="&amp;DATE(YEAR(A34),MONTH(A34),1),交易记录!$A$6:$A$605,"&lt;"&amp;DATE(YEAR(A34),MONTH(A34)+1,1),交易记录!$B$6:$B$605,"VOO",交易记录!$C$6:$C$605,"买入")</f>
        <v>0</v>
      </c>
      <c r="G34" s="15">
        <f>SUMIFS(交易记录!$D$6:$D$605,交易记录!$A$6:$A$605,"&gt;="&amp;DATE(YEAR(A34),MONTH(A34),1),交易记录!$A$6:$A$605,"&lt;"&amp;DATE(YEAR(A34),MONTH(A34)+1,1),交易记录!$B$6:$B$605,"QQQM",交易记录!$C$6:$C$605,"买入")+SUMIFS(交易记录!$E$6:$E$605,交易记录!$A$6:$A$605,"&gt;="&amp;DATE(YEAR(A34),MONTH(A34),1),交易记录!$A$6:$A$605,"&lt;"&amp;DATE(YEAR(A34),MONTH(A34)+1,1),交易记录!$B$6:$B$605,"QQQM",交易记录!$C$6:$C$605,"买入")</f>
        <v>0</v>
      </c>
      <c r="H34" s="15">
        <f>SUMIFS(交易记录!$D$6:$D$605,交易记录!$A$6:$A$605,"&gt;="&amp;DATE(YEAR(A34),MONTH(A34),1),交易记录!$A$6:$A$605,"&lt;"&amp;DATE(YEAR(A34),MONTH(A34)+1,1),交易记录!$B$6:$B$605,"SMH",交易记录!$C$6:$C$605,"买入")+SUMIFS(交易记录!$E$6:$E$605,交易记录!$A$6:$A$605,"&gt;="&amp;DATE(YEAR(A34),MONTH(A34),1),交易记录!$A$6:$A$605,"&lt;"&amp;DATE(YEAR(A34),MONTH(A34)+1,1),交易记录!$B$6:$B$605,"SMH",交易记录!$C$6:$C$605,"买入")</f>
        <v>0</v>
      </c>
      <c r="I34" s="15">
        <f t="shared" si="0"/>
        <v>0</v>
      </c>
      <c r="J34" s="15" t="str">
        <f t="shared" si="1"/>
        <v/>
      </c>
      <c r="K34" s="19" t="str">
        <f t="shared" si="2"/>
        <v>尚未记录买入</v>
      </c>
    </row>
    <row r="35" spans="1:11" ht="21.75" customHeight="1">
      <c r="A35" s="29">
        <f>DATE(2029,3,总览!$E$4)</f>
        <v>47187</v>
      </c>
      <c r="B35" s="15">
        <f>回撤计划!J38</f>
        <v>500</v>
      </c>
      <c r="C35" s="15">
        <f>B35*总览!$B$8</f>
        <v>450</v>
      </c>
      <c r="D35" s="15">
        <f>B35*总览!$B$9</f>
        <v>50</v>
      </c>
      <c r="E35" s="15">
        <f>B35*总览!$B$10</f>
        <v>0</v>
      </c>
      <c r="F35" s="15">
        <f>SUMIFS(交易记录!$D$6:$D$605,交易记录!$A$6:$A$605,"&gt;="&amp;DATE(YEAR(A35),MONTH(A35),1),交易记录!$A$6:$A$605,"&lt;"&amp;DATE(YEAR(A35),MONTH(A35)+1,1),交易记录!$B$6:$B$605,"VOO",交易记录!$C$6:$C$605,"买入")+SUMIFS(交易记录!$E$6:$E$605,交易记录!$A$6:$A$605,"&gt;="&amp;DATE(YEAR(A35),MONTH(A35),1),交易记录!$A$6:$A$605,"&lt;"&amp;DATE(YEAR(A35),MONTH(A35)+1,1),交易记录!$B$6:$B$605,"VOO",交易记录!$C$6:$C$605,"买入")</f>
        <v>0</v>
      </c>
      <c r="G35" s="15">
        <f>SUMIFS(交易记录!$D$6:$D$605,交易记录!$A$6:$A$605,"&gt;="&amp;DATE(YEAR(A35),MONTH(A35),1),交易记录!$A$6:$A$605,"&lt;"&amp;DATE(YEAR(A35),MONTH(A35)+1,1),交易记录!$B$6:$B$605,"QQQM",交易记录!$C$6:$C$605,"买入")+SUMIFS(交易记录!$E$6:$E$605,交易记录!$A$6:$A$605,"&gt;="&amp;DATE(YEAR(A35),MONTH(A35),1),交易记录!$A$6:$A$605,"&lt;"&amp;DATE(YEAR(A35),MONTH(A35)+1,1),交易记录!$B$6:$B$605,"QQQM",交易记录!$C$6:$C$605,"买入")</f>
        <v>0</v>
      </c>
      <c r="H35" s="15">
        <f>SUMIFS(交易记录!$D$6:$D$605,交易记录!$A$6:$A$605,"&gt;="&amp;DATE(YEAR(A35),MONTH(A35),1),交易记录!$A$6:$A$605,"&lt;"&amp;DATE(YEAR(A35),MONTH(A35)+1,1),交易记录!$B$6:$B$605,"SMH",交易记录!$C$6:$C$605,"买入")+SUMIFS(交易记录!$E$6:$E$605,交易记录!$A$6:$A$605,"&gt;="&amp;DATE(YEAR(A35),MONTH(A35),1),交易记录!$A$6:$A$605,"&lt;"&amp;DATE(YEAR(A35),MONTH(A35)+1,1),交易记录!$B$6:$B$605,"SMH",交易记录!$C$6:$C$605,"买入")</f>
        <v>0</v>
      </c>
      <c r="I35" s="15">
        <f t="shared" si="0"/>
        <v>0</v>
      </c>
      <c r="J35" s="15" t="str">
        <f t="shared" si="1"/>
        <v/>
      </c>
      <c r="K35" s="19" t="str">
        <f t="shared" si="2"/>
        <v>尚未记录买入</v>
      </c>
    </row>
    <row r="36" spans="1:11" ht="21.75" customHeight="1">
      <c r="A36" s="29">
        <f>DATE(2029,4,总览!$E$4)</f>
        <v>47218</v>
      </c>
      <c r="B36" s="15">
        <f>回撤计划!J39</f>
        <v>500</v>
      </c>
      <c r="C36" s="15">
        <f>B36*总览!$B$8</f>
        <v>450</v>
      </c>
      <c r="D36" s="15">
        <f>B36*总览!$B$9</f>
        <v>50</v>
      </c>
      <c r="E36" s="15">
        <f>B36*总览!$B$10</f>
        <v>0</v>
      </c>
      <c r="F36" s="15">
        <f>SUMIFS(交易记录!$D$6:$D$605,交易记录!$A$6:$A$605,"&gt;="&amp;DATE(YEAR(A36),MONTH(A36),1),交易记录!$A$6:$A$605,"&lt;"&amp;DATE(YEAR(A36),MONTH(A36)+1,1),交易记录!$B$6:$B$605,"VOO",交易记录!$C$6:$C$605,"买入")+SUMIFS(交易记录!$E$6:$E$605,交易记录!$A$6:$A$605,"&gt;="&amp;DATE(YEAR(A36),MONTH(A36),1),交易记录!$A$6:$A$605,"&lt;"&amp;DATE(YEAR(A36),MONTH(A36)+1,1),交易记录!$B$6:$B$605,"VOO",交易记录!$C$6:$C$605,"买入")</f>
        <v>0</v>
      </c>
      <c r="G36" s="15">
        <f>SUMIFS(交易记录!$D$6:$D$605,交易记录!$A$6:$A$605,"&gt;="&amp;DATE(YEAR(A36),MONTH(A36),1),交易记录!$A$6:$A$605,"&lt;"&amp;DATE(YEAR(A36),MONTH(A36)+1,1),交易记录!$B$6:$B$605,"QQQM",交易记录!$C$6:$C$605,"买入")+SUMIFS(交易记录!$E$6:$E$605,交易记录!$A$6:$A$605,"&gt;="&amp;DATE(YEAR(A36),MONTH(A36),1),交易记录!$A$6:$A$605,"&lt;"&amp;DATE(YEAR(A36),MONTH(A36)+1,1),交易记录!$B$6:$B$605,"QQQM",交易记录!$C$6:$C$605,"买入")</f>
        <v>0</v>
      </c>
      <c r="H36" s="15">
        <f>SUMIFS(交易记录!$D$6:$D$605,交易记录!$A$6:$A$605,"&gt;="&amp;DATE(YEAR(A36),MONTH(A36),1),交易记录!$A$6:$A$605,"&lt;"&amp;DATE(YEAR(A36),MONTH(A36)+1,1),交易记录!$B$6:$B$605,"SMH",交易记录!$C$6:$C$605,"买入")+SUMIFS(交易记录!$E$6:$E$605,交易记录!$A$6:$A$605,"&gt;="&amp;DATE(YEAR(A36),MONTH(A36),1),交易记录!$A$6:$A$605,"&lt;"&amp;DATE(YEAR(A36),MONTH(A36)+1,1),交易记录!$B$6:$B$605,"SMH",交易记录!$C$6:$C$605,"买入")</f>
        <v>0</v>
      </c>
      <c r="I36" s="15">
        <f t="shared" si="0"/>
        <v>0</v>
      </c>
      <c r="J36" s="15" t="str">
        <f t="shared" si="1"/>
        <v/>
      </c>
      <c r="K36" s="19" t="str">
        <f t="shared" si="2"/>
        <v>尚未记录买入</v>
      </c>
    </row>
    <row r="37" spans="1:11" ht="21.75" customHeight="1">
      <c r="A37" s="29">
        <f>DATE(2029,5,总览!$E$4)</f>
        <v>47248</v>
      </c>
      <c r="B37" s="15">
        <f>回撤计划!J40</f>
        <v>500</v>
      </c>
      <c r="C37" s="15">
        <f>B37*总览!$B$8</f>
        <v>450</v>
      </c>
      <c r="D37" s="15">
        <f>B37*总览!$B$9</f>
        <v>50</v>
      </c>
      <c r="E37" s="15">
        <f>B37*总览!$B$10</f>
        <v>0</v>
      </c>
      <c r="F37" s="15">
        <f>SUMIFS(交易记录!$D$6:$D$605,交易记录!$A$6:$A$605,"&gt;="&amp;DATE(YEAR(A37),MONTH(A37),1),交易记录!$A$6:$A$605,"&lt;"&amp;DATE(YEAR(A37),MONTH(A37)+1,1),交易记录!$B$6:$B$605,"VOO",交易记录!$C$6:$C$605,"买入")+SUMIFS(交易记录!$E$6:$E$605,交易记录!$A$6:$A$605,"&gt;="&amp;DATE(YEAR(A37),MONTH(A37),1),交易记录!$A$6:$A$605,"&lt;"&amp;DATE(YEAR(A37),MONTH(A37)+1,1),交易记录!$B$6:$B$605,"VOO",交易记录!$C$6:$C$605,"买入")</f>
        <v>0</v>
      </c>
      <c r="G37" s="15">
        <f>SUMIFS(交易记录!$D$6:$D$605,交易记录!$A$6:$A$605,"&gt;="&amp;DATE(YEAR(A37),MONTH(A37),1),交易记录!$A$6:$A$605,"&lt;"&amp;DATE(YEAR(A37),MONTH(A37)+1,1),交易记录!$B$6:$B$605,"QQQM",交易记录!$C$6:$C$605,"买入")+SUMIFS(交易记录!$E$6:$E$605,交易记录!$A$6:$A$605,"&gt;="&amp;DATE(YEAR(A37),MONTH(A37),1),交易记录!$A$6:$A$605,"&lt;"&amp;DATE(YEAR(A37),MONTH(A37)+1,1),交易记录!$B$6:$B$605,"QQQM",交易记录!$C$6:$C$605,"买入")</f>
        <v>0</v>
      </c>
      <c r="H37" s="15">
        <f>SUMIFS(交易记录!$D$6:$D$605,交易记录!$A$6:$A$605,"&gt;="&amp;DATE(YEAR(A37),MONTH(A37),1),交易记录!$A$6:$A$605,"&lt;"&amp;DATE(YEAR(A37),MONTH(A37)+1,1),交易记录!$B$6:$B$605,"SMH",交易记录!$C$6:$C$605,"买入")+SUMIFS(交易记录!$E$6:$E$605,交易记录!$A$6:$A$605,"&gt;="&amp;DATE(YEAR(A37),MONTH(A37),1),交易记录!$A$6:$A$605,"&lt;"&amp;DATE(YEAR(A37),MONTH(A37)+1,1),交易记录!$B$6:$B$605,"SMH",交易记录!$C$6:$C$605,"买入")</f>
        <v>0</v>
      </c>
      <c r="I37" s="15">
        <f t="shared" si="0"/>
        <v>0</v>
      </c>
      <c r="J37" s="15" t="str">
        <f t="shared" si="1"/>
        <v/>
      </c>
      <c r="K37" s="19" t="str">
        <f t="shared" si="2"/>
        <v>尚未记录买入</v>
      </c>
    </row>
    <row r="38" spans="1:11" ht="21.75" customHeight="1">
      <c r="A38" s="29">
        <f>DATE(2029,6,总览!$E$4)</f>
        <v>47279</v>
      </c>
      <c r="B38" s="15">
        <f>回撤计划!J41</f>
        <v>500</v>
      </c>
      <c r="C38" s="15">
        <f>B38*总览!$B$8</f>
        <v>450</v>
      </c>
      <c r="D38" s="15">
        <f>B38*总览!$B$9</f>
        <v>50</v>
      </c>
      <c r="E38" s="15">
        <f>B38*总览!$B$10</f>
        <v>0</v>
      </c>
      <c r="F38" s="15">
        <f>SUMIFS(交易记录!$D$6:$D$605,交易记录!$A$6:$A$605,"&gt;="&amp;DATE(YEAR(A38),MONTH(A38),1),交易记录!$A$6:$A$605,"&lt;"&amp;DATE(YEAR(A38),MONTH(A38)+1,1),交易记录!$B$6:$B$605,"VOO",交易记录!$C$6:$C$605,"买入")+SUMIFS(交易记录!$E$6:$E$605,交易记录!$A$6:$A$605,"&gt;="&amp;DATE(YEAR(A38),MONTH(A38),1),交易记录!$A$6:$A$605,"&lt;"&amp;DATE(YEAR(A38),MONTH(A38)+1,1),交易记录!$B$6:$B$605,"VOO",交易记录!$C$6:$C$605,"买入")</f>
        <v>0</v>
      </c>
      <c r="G38" s="15">
        <f>SUMIFS(交易记录!$D$6:$D$605,交易记录!$A$6:$A$605,"&gt;="&amp;DATE(YEAR(A38),MONTH(A38),1),交易记录!$A$6:$A$605,"&lt;"&amp;DATE(YEAR(A38),MONTH(A38)+1,1),交易记录!$B$6:$B$605,"QQQM",交易记录!$C$6:$C$605,"买入")+SUMIFS(交易记录!$E$6:$E$605,交易记录!$A$6:$A$605,"&gt;="&amp;DATE(YEAR(A38),MONTH(A38),1),交易记录!$A$6:$A$605,"&lt;"&amp;DATE(YEAR(A38),MONTH(A38)+1,1),交易记录!$B$6:$B$605,"QQQM",交易记录!$C$6:$C$605,"买入")</f>
        <v>0</v>
      </c>
      <c r="H38" s="15">
        <f>SUMIFS(交易记录!$D$6:$D$605,交易记录!$A$6:$A$605,"&gt;="&amp;DATE(YEAR(A38),MONTH(A38),1),交易记录!$A$6:$A$605,"&lt;"&amp;DATE(YEAR(A38),MONTH(A38)+1,1),交易记录!$B$6:$B$605,"SMH",交易记录!$C$6:$C$605,"买入")+SUMIFS(交易记录!$E$6:$E$605,交易记录!$A$6:$A$605,"&gt;="&amp;DATE(YEAR(A38),MONTH(A38),1),交易记录!$A$6:$A$605,"&lt;"&amp;DATE(YEAR(A38),MONTH(A38)+1,1),交易记录!$B$6:$B$605,"SMH",交易记录!$C$6:$C$605,"买入")</f>
        <v>0</v>
      </c>
      <c r="I38" s="15">
        <f t="shared" ref="I38:I69" si="3">SUM(F38:H38)</f>
        <v>0</v>
      </c>
      <c r="J38" s="15" t="str">
        <f t="shared" ref="J38:J69" si="4">IF(I38=0,"",I38-B38)</f>
        <v/>
      </c>
      <c r="K38" s="19" t="str">
        <f t="shared" ref="K38:K69" si="5">IF(I38=0,"尚未记录买入",IF(ABS(J38)&lt;0.01,"已记录预算金额","已记录，金额有差额"))</f>
        <v>尚未记录买入</v>
      </c>
    </row>
    <row r="39" spans="1:11" ht="21.75" customHeight="1">
      <c r="A39" s="29">
        <f>DATE(2029,7,总览!$E$4)</f>
        <v>47309</v>
      </c>
      <c r="B39" s="15">
        <f>回撤计划!J42</f>
        <v>500</v>
      </c>
      <c r="C39" s="15">
        <f>B39*总览!$B$8</f>
        <v>450</v>
      </c>
      <c r="D39" s="15">
        <f>B39*总览!$B$9</f>
        <v>50</v>
      </c>
      <c r="E39" s="15">
        <f>B39*总览!$B$10</f>
        <v>0</v>
      </c>
      <c r="F39" s="15">
        <f>SUMIFS(交易记录!$D$6:$D$605,交易记录!$A$6:$A$605,"&gt;="&amp;DATE(YEAR(A39),MONTH(A39),1),交易记录!$A$6:$A$605,"&lt;"&amp;DATE(YEAR(A39),MONTH(A39)+1,1),交易记录!$B$6:$B$605,"VOO",交易记录!$C$6:$C$605,"买入")+SUMIFS(交易记录!$E$6:$E$605,交易记录!$A$6:$A$605,"&gt;="&amp;DATE(YEAR(A39),MONTH(A39),1),交易记录!$A$6:$A$605,"&lt;"&amp;DATE(YEAR(A39),MONTH(A39)+1,1),交易记录!$B$6:$B$605,"VOO",交易记录!$C$6:$C$605,"买入")</f>
        <v>0</v>
      </c>
      <c r="G39" s="15">
        <f>SUMIFS(交易记录!$D$6:$D$605,交易记录!$A$6:$A$605,"&gt;="&amp;DATE(YEAR(A39),MONTH(A39),1),交易记录!$A$6:$A$605,"&lt;"&amp;DATE(YEAR(A39),MONTH(A39)+1,1),交易记录!$B$6:$B$605,"QQQM",交易记录!$C$6:$C$605,"买入")+SUMIFS(交易记录!$E$6:$E$605,交易记录!$A$6:$A$605,"&gt;="&amp;DATE(YEAR(A39),MONTH(A39),1),交易记录!$A$6:$A$605,"&lt;"&amp;DATE(YEAR(A39),MONTH(A39)+1,1),交易记录!$B$6:$B$605,"QQQM",交易记录!$C$6:$C$605,"买入")</f>
        <v>0</v>
      </c>
      <c r="H39" s="15">
        <f>SUMIFS(交易记录!$D$6:$D$605,交易记录!$A$6:$A$605,"&gt;="&amp;DATE(YEAR(A39),MONTH(A39),1),交易记录!$A$6:$A$605,"&lt;"&amp;DATE(YEAR(A39),MONTH(A39)+1,1),交易记录!$B$6:$B$605,"SMH",交易记录!$C$6:$C$605,"买入")+SUMIFS(交易记录!$E$6:$E$605,交易记录!$A$6:$A$605,"&gt;="&amp;DATE(YEAR(A39),MONTH(A39),1),交易记录!$A$6:$A$605,"&lt;"&amp;DATE(YEAR(A39),MONTH(A39)+1,1),交易记录!$B$6:$B$605,"SMH",交易记录!$C$6:$C$605,"买入")</f>
        <v>0</v>
      </c>
      <c r="I39" s="15">
        <f t="shared" si="3"/>
        <v>0</v>
      </c>
      <c r="J39" s="15" t="str">
        <f t="shared" si="4"/>
        <v/>
      </c>
      <c r="K39" s="19" t="str">
        <f t="shared" si="5"/>
        <v>尚未记录买入</v>
      </c>
    </row>
    <row r="40" spans="1:11" ht="21.75" customHeight="1">
      <c r="A40" s="29">
        <f>DATE(2029,8,总览!$E$4)</f>
        <v>47340</v>
      </c>
      <c r="B40" s="15">
        <f>回撤计划!J43</f>
        <v>500</v>
      </c>
      <c r="C40" s="15">
        <f>B40*总览!$B$8</f>
        <v>450</v>
      </c>
      <c r="D40" s="15">
        <f>B40*总览!$B$9</f>
        <v>50</v>
      </c>
      <c r="E40" s="15">
        <f>B40*总览!$B$10</f>
        <v>0</v>
      </c>
      <c r="F40" s="15">
        <f>SUMIFS(交易记录!$D$6:$D$605,交易记录!$A$6:$A$605,"&gt;="&amp;DATE(YEAR(A40),MONTH(A40),1),交易记录!$A$6:$A$605,"&lt;"&amp;DATE(YEAR(A40),MONTH(A40)+1,1),交易记录!$B$6:$B$605,"VOO",交易记录!$C$6:$C$605,"买入")+SUMIFS(交易记录!$E$6:$E$605,交易记录!$A$6:$A$605,"&gt;="&amp;DATE(YEAR(A40),MONTH(A40),1),交易记录!$A$6:$A$605,"&lt;"&amp;DATE(YEAR(A40),MONTH(A40)+1,1),交易记录!$B$6:$B$605,"VOO",交易记录!$C$6:$C$605,"买入")</f>
        <v>0</v>
      </c>
      <c r="G40" s="15">
        <f>SUMIFS(交易记录!$D$6:$D$605,交易记录!$A$6:$A$605,"&gt;="&amp;DATE(YEAR(A40),MONTH(A40),1),交易记录!$A$6:$A$605,"&lt;"&amp;DATE(YEAR(A40),MONTH(A40)+1,1),交易记录!$B$6:$B$605,"QQQM",交易记录!$C$6:$C$605,"买入")+SUMIFS(交易记录!$E$6:$E$605,交易记录!$A$6:$A$605,"&gt;="&amp;DATE(YEAR(A40),MONTH(A40),1),交易记录!$A$6:$A$605,"&lt;"&amp;DATE(YEAR(A40),MONTH(A40)+1,1),交易记录!$B$6:$B$605,"QQQM",交易记录!$C$6:$C$605,"买入")</f>
        <v>0</v>
      </c>
      <c r="H40" s="15">
        <f>SUMIFS(交易记录!$D$6:$D$605,交易记录!$A$6:$A$605,"&gt;="&amp;DATE(YEAR(A40),MONTH(A40),1),交易记录!$A$6:$A$605,"&lt;"&amp;DATE(YEAR(A40),MONTH(A40)+1,1),交易记录!$B$6:$B$605,"SMH",交易记录!$C$6:$C$605,"买入")+SUMIFS(交易记录!$E$6:$E$605,交易记录!$A$6:$A$605,"&gt;="&amp;DATE(YEAR(A40),MONTH(A40),1),交易记录!$A$6:$A$605,"&lt;"&amp;DATE(YEAR(A40),MONTH(A40)+1,1),交易记录!$B$6:$B$605,"SMH",交易记录!$C$6:$C$605,"买入")</f>
        <v>0</v>
      </c>
      <c r="I40" s="15">
        <f t="shared" si="3"/>
        <v>0</v>
      </c>
      <c r="J40" s="15" t="str">
        <f t="shared" si="4"/>
        <v/>
      </c>
      <c r="K40" s="19" t="str">
        <f t="shared" si="5"/>
        <v>尚未记录买入</v>
      </c>
    </row>
    <row r="41" spans="1:11" ht="21.75" customHeight="1">
      <c r="A41" s="29">
        <f>DATE(2029,9,总览!$E$4)</f>
        <v>47371</v>
      </c>
      <c r="B41" s="15">
        <f>回撤计划!J44</f>
        <v>500</v>
      </c>
      <c r="C41" s="15">
        <f>B41*总览!$B$8</f>
        <v>450</v>
      </c>
      <c r="D41" s="15">
        <f>B41*总览!$B$9</f>
        <v>50</v>
      </c>
      <c r="E41" s="15">
        <f>B41*总览!$B$10</f>
        <v>0</v>
      </c>
      <c r="F41" s="15">
        <f>SUMIFS(交易记录!$D$6:$D$605,交易记录!$A$6:$A$605,"&gt;="&amp;DATE(YEAR(A41),MONTH(A41),1),交易记录!$A$6:$A$605,"&lt;"&amp;DATE(YEAR(A41),MONTH(A41)+1,1),交易记录!$B$6:$B$605,"VOO",交易记录!$C$6:$C$605,"买入")+SUMIFS(交易记录!$E$6:$E$605,交易记录!$A$6:$A$605,"&gt;="&amp;DATE(YEAR(A41),MONTH(A41),1),交易记录!$A$6:$A$605,"&lt;"&amp;DATE(YEAR(A41),MONTH(A41)+1,1),交易记录!$B$6:$B$605,"VOO",交易记录!$C$6:$C$605,"买入")</f>
        <v>0</v>
      </c>
      <c r="G41" s="15">
        <f>SUMIFS(交易记录!$D$6:$D$605,交易记录!$A$6:$A$605,"&gt;="&amp;DATE(YEAR(A41),MONTH(A41),1),交易记录!$A$6:$A$605,"&lt;"&amp;DATE(YEAR(A41),MONTH(A41)+1,1),交易记录!$B$6:$B$605,"QQQM",交易记录!$C$6:$C$605,"买入")+SUMIFS(交易记录!$E$6:$E$605,交易记录!$A$6:$A$605,"&gt;="&amp;DATE(YEAR(A41),MONTH(A41),1),交易记录!$A$6:$A$605,"&lt;"&amp;DATE(YEAR(A41),MONTH(A41)+1,1),交易记录!$B$6:$B$605,"QQQM",交易记录!$C$6:$C$605,"买入")</f>
        <v>0</v>
      </c>
      <c r="H41" s="15">
        <f>SUMIFS(交易记录!$D$6:$D$605,交易记录!$A$6:$A$605,"&gt;="&amp;DATE(YEAR(A41),MONTH(A41),1),交易记录!$A$6:$A$605,"&lt;"&amp;DATE(YEAR(A41),MONTH(A41)+1,1),交易记录!$B$6:$B$605,"SMH",交易记录!$C$6:$C$605,"买入")+SUMIFS(交易记录!$E$6:$E$605,交易记录!$A$6:$A$605,"&gt;="&amp;DATE(YEAR(A41),MONTH(A41),1),交易记录!$A$6:$A$605,"&lt;"&amp;DATE(YEAR(A41),MONTH(A41)+1,1),交易记录!$B$6:$B$605,"SMH",交易记录!$C$6:$C$605,"买入")</f>
        <v>0</v>
      </c>
      <c r="I41" s="15">
        <f t="shared" si="3"/>
        <v>0</v>
      </c>
      <c r="J41" s="15" t="str">
        <f t="shared" si="4"/>
        <v/>
      </c>
      <c r="K41" s="19" t="str">
        <f t="shared" si="5"/>
        <v>尚未记录买入</v>
      </c>
    </row>
    <row r="42" spans="1:11" ht="21.75" customHeight="1">
      <c r="A42" s="29">
        <f>DATE(2029,10,总览!$E$4)</f>
        <v>47401</v>
      </c>
      <c r="B42" s="15">
        <f>回撤计划!J45</f>
        <v>500</v>
      </c>
      <c r="C42" s="15">
        <f>B42*总览!$B$8</f>
        <v>450</v>
      </c>
      <c r="D42" s="15">
        <f>B42*总览!$B$9</f>
        <v>50</v>
      </c>
      <c r="E42" s="15">
        <f>B42*总览!$B$10</f>
        <v>0</v>
      </c>
      <c r="F42" s="15">
        <f>SUMIFS(交易记录!$D$6:$D$605,交易记录!$A$6:$A$605,"&gt;="&amp;DATE(YEAR(A42),MONTH(A42),1),交易记录!$A$6:$A$605,"&lt;"&amp;DATE(YEAR(A42),MONTH(A42)+1,1),交易记录!$B$6:$B$605,"VOO",交易记录!$C$6:$C$605,"买入")+SUMIFS(交易记录!$E$6:$E$605,交易记录!$A$6:$A$605,"&gt;="&amp;DATE(YEAR(A42),MONTH(A42),1),交易记录!$A$6:$A$605,"&lt;"&amp;DATE(YEAR(A42),MONTH(A42)+1,1),交易记录!$B$6:$B$605,"VOO",交易记录!$C$6:$C$605,"买入")</f>
        <v>0</v>
      </c>
      <c r="G42" s="15">
        <f>SUMIFS(交易记录!$D$6:$D$605,交易记录!$A$6:$A$605,"&gt;="&amp;DATE(YEAR(A42),MONTH(A42),1),交易记录!$A$6:$A$605,"&lt;"&amp;DATE(YEAR(A42),MONTH(A42)+1,1),交易记录!$B$6:$B$605,"QQQM",交易记录!$C$6:$C$605,"买入")+SUMIFS(交易记录!$E$6:$E$605,交易记录!$A$6:$A$605,"&gt;="&amp;DATE(YEAR(A42),MONTH(A42),1),交易记录!$A$6:$A$605,"&lt;"&amp;DATE(YEAR(A42),MONTH(A42)+1,1),交易记录!$B$6:$B$605,"QQQM",交易记录!$C$6:$C$605,"买入")</f>
        <v>0</v>
      </c>
      <c r="H42" s="15">
        <f>SUMIFS(交易记录!$D$6:$D$605,交易记录!$A$6:$A$605,"&gt;="&amp;DATE(YEAR(A42),MONTH(A42),1),交易记录!$A$6:$A$605,"&lt;"&amp;DATE(YEAR(A42),MONTH(A42)+1,1),交易记录!$B$6:$B$605,"SMH",交易记录!$C$6:$C$605,"买入")+SUMIFS(交易记录!$E$6:$E$605,交易记录!$A$6:$A$605,"&gt;="&amp;DATE(YEAR(A42),MONTH(A42),1),交易记录!$A$6:$A$605,"&lt;"&amp;DATE(YEAR(A42),MONTH(A42)+1,1),交易记录!$B$6:$B$605,"SMH",交易记录!$C$6:$C$605,"买入")</f>
        <v>0</v>
      </c>
      <c r="I42" s="15">
        <f t="shared" si="3"/>
        <v>0</v>
      </c>
      <c r="J42" s="15" t="str">
        <f t="shared" si="4"/>
        <v/>
      </c>
      <c r="K42" s="19" t="str">
        <f t="shared" si="5"/>
        <v>尚未记录买入</v>
      </c>
    </row>
    <row r="43" spans="1:11" ht="21.75" customHeight="1">
      <c r="A43" s="29">
        <f>DATE(2029,11,总览!$E$4)</f>
        <v>47432</v>
      </c>
      <c r="B43" s="15">
        <f>回撤计划!J46</f>
        <v>500</v>
      </c>
      <c r="C43" s="15">
        <f>B43*总览!$B$8</f>
        <v>450</v>
      </c>
      <c r="D43" s="15">
        <f>B43*总览!$B$9</f>
        <v>50</v>
      </c>
      <c r="E43" s="15">
        <f>B43*总览!$B$10</f>
        <v>0</v>
      </c>
      <c r="F43" s="15">
        <f>SUMIFS(交易记录!$D$6:$D$605,交易记录!$A$6:$A$605,"&gt;="&amp;DATE(YEAR(A43),MONTH(A43),1),交易记录!$A$6:$A$605,"&lt;"&amp;DATE(YEAR(A43),MONTH(A43)+1,1),交易记录!$B$6:$B$605,"VOO",交易记录!$C$6:$C$605,"买入")+SUMIFS(交易记录!$E$6:$E$605,交易记录!$A$6:$A$605,"&gt;="&amp;DATE(YEAR(A43),MONTH(A43),1),交易记录!$A$6:$A$605,"&lt;"&amp;DATE(YEAR(A43),MONTH(A43)+1,1),交易记录!$B$6:$B$605,"VOO",交易记录!$C$6:$C$605,"买入")</f>
        <v>0</v>
      </c>
      <c r="G43" s="15">
        <f>SUMIFS(交易记录!$D$6:$D$605,交易记录!$A$6:$A$605,"&gt;="&amp;DATE(YEAR(A43),MONTH(A43),1),交易记录!$A$6:$A$605,"&lt;"&amp;DATE(YEAR(A43),MONTH(A43)+1,1),交易记录!$B$6:$B$605,"QQQM",交易记录!$C$6:$C$605,"买入")+SUMIFS(交易记录!$E$6:$E$605,交易记录!$A$6:$A$605,"&gt;="&amp;DATE(YEAR(A43),MONTH(A43),1),交易记录!$A$6:$A$605,"&lt;"&amp;DATE(YEAR(A43),MONTH(A43)+1,1),交易记录!$B$6:$B$605,"QQQM",交易记录!$C$6:$C$605,"买入")</f>
        <v>0</v>
      </c>
      <c r="H43" s="15">
        <f>SUMIFS(交易记录!$D$6:$D$605,交易记录!$A$6:$A$605,"&gt;="&amp;DATE(YEAR(A43),MONTH(A43),1),交易记录!$A$6:$A$605,"&lt;"&amp;DATE(YEAR(A43),MONTH(A43)+1,1),交易记录!$B$6:$B$605,"SMH",交易记录!$C$6:$C$605,"买入")+SUMIFS(交易记录!$E$6:$E$605,交易记录!$A$6:$A$605,"&gt;="&amp;DATE(YEAR(A43),MONTH(A43),1),交易记录!$A$6:$A$605,"&lt;"&amp;DATE(YEAR(A43),MONTH(A43)+1,1),交易记录!$B$6:$B$605,"SMH",交易记录!$C$6:$C$605,"买入")</f>
        <v>0</v>
      </c>
      <c r="I43" s="15">
        <f t="shared" si="3"/>
        <v>0</v>
      </c>
      <c r="J43" s="15" t="str">
        <f t="shared" si="4"/>
        <v/>
      </c>
      <c r="K43" s="19" t="str">
        <f t="shared" si="5"/>
        <v>尚未记录买入</v>
      </c>
    </row>
    <row r="44" spans="1:11" ht="21.75" customHeight="1">
      <c r="A44" s="29">
        <f>DATE(2029,12,总览!$E$4)</f>
        <v>47462</v>
      </c>
      <c r="B44" s="15">
        <f>回撤计划!J47</f>
        <v>500</v>
      </c>
      <c r="C44" s="15">
        <f>B44*总览!$B$8</f>
        <v>450</v>
      </c>
      <c r="D44" s="15">
        <f>B44*总览!$B$9</f>
        <v>50</v>
      </c>
      <c r="E44" s="15">
        <f>B44*总览!$B$10</f>
        <v>0</v>
      </c>
      <c r="F44" s="15">
        <f>SUMIFS(交易记录!$D$6:$D$605,交易记录!$A$6:$A$605,"&gt;="&amp;DATE(YEAR(A44),MONTH(A44),1),交易记录!$A$6:$A$605,"&lt;"&amp;DATE(YEAR(A44),MONTH(A44)+1,1),交易记录!$B$6:$B$605,"VOO",交易记录!$C$6:$C$605,"买入")+SUMIFS(交易记录!$E$6:$E$605,交易记录!$A$6:$A$605,"&gt;="&amp;DATE(YEAR(A44),MONTH(A44),1),交易记录!$A$6:$A$605,"&lt;"&amp;DATE(YEAR(A44),MONTH(A44)+1,1),交易记录!$B$6:$B$605,"VOO",交易记录!$C$6:$C$605,"买入")</f>
        <v>0</v>
      </c>
      <c r="G44" s="15">
        <f>SUMIFS(交易记录!$D$6:$D$605,交易记录!$A$6:$A$605,"&gt;="&amp;DATE(YEAR(A44),MONTH(A44),1),交易记录!$A$6:$A$605,"&lt;"&amp;DATE(YEAR(A44),MONTH(A44)+1,1),交易记录!$B$6:$B$605,"QQQM",交易记录!$C$6:$C$605,"买入")+SUMIFS(交易记录!$E$6:$E$605,交易记录!$A$6:$A$605,"&gt;="&amp;DATE(YEAR(A44),MONTH(A44),1),交易记录!$A$6:$A$605,"&lt;"&amp;DATE(YEAR(A44),MONTH(A44)+1,1),交易记录!$B$6:$B$605,"QQQM",交易记录!$C$6:$C$605,"买入")</f>
        <v>0</v>
      </c>
      <c r="H44" s="15">
        <f>SUMIFS(交易记录!$D$6:$D$605,交易记录!$A$6:$A$605,"&gt;="&amp;DATE(YEAR(A44),MONTH(A44),1),交易记录!$A$6:$A$605,"&lt;"&amp;DATE(YEAR(A44),MONTH(A44)+1,1),交易记录!$B$6:$B$605,"SMH",交易记录!$C$6:$C$605,"买入")+SUMIFS(交易记录!$E$6:$E$605,交易记录!$A$6:$A$605,"&gt;="&amp;DATE(YEAR(A44),MONTH(A44),1),交易记录!$A$6:$A$605,"&lt;"&amp;DATE(YEAR(A44),MONTH(A44)+1,1),交易记录!$B$6:$B$605,"SMH",交易记录!$C$6:$C$605,"买入")</f>
        <v>0</v>
      </c>
      <c r="I44" s="15">
        <f t="shared" si="3"/>
        <v>0</v>
      </c>
      <c r="J44" s="15" t="str">
        <f t="shared" si="4"/>
        <v/>
      </c>
      <c r="K44" s="19" t="str">
        <f t="shared" si="5"/>
        <v>尚未记录买入</v>
      </c>
    </row>
    <row r="45" spans="1:11" ht="21.75" customHeight="1">
      <c r="A45" s="29">
        <f>DATE(2030,1,总览!$E$4)</f>
        <v>47493</v>
      </c>
      <c r="B45" s="15">
        <f>回撤计划!J48</f>
        <v>500</v>
      </c>
      <c r="C45" s="15">
        <f>B45*总览!$B$8</f>
        <v>450</v>
      </c>
      <c r="D45" s="15">
        <f>B45*总览!$B$9</f>
        <v>50</v>
      </c>
      <c r="E45" s="15">
        <f>B45*总览!$B$10</f>
        <v>0</v>
      </c>
      <c r="F45" s="15">
        <f>SUMIFS(交易记录!$D$6:$D$605,交易记录!$A$6:$A$605,"&gt;="&amp;DATE(YEAR(A45),MONTH(A45),1),交易记录!$A$6:$A$605,"&lt;"&amp;DATE(YEAR(A45),MONTH(A45)+1,1),交易记录!$B$6:$B$605,"VOO",交易记录!$C$6:$C$605,"买入")+SUMIFS(交易记录!$E$6:$E$605,交易记录!$A$6:$A$605,"&gt;="&amp;DATE(YEAR(A45),MONTH(A45),1),交易记录!$A$6:$A$605,"&lt;"&amp;DATE(YEAR(A45),MONTH(A45)+1,1),交易记录!$B$6:$B$605,"VOO",交易记录!$C$6:$C$605,"买入")</f>
        <v>0</v>
      </c>
      <c r="G45" s="15">
        <f>SUMIFS(交易记录!$D$6:$D$605,交易记录!$A$6:$A$605,"&gt;="&amp;DATE(YEAR(A45),MONTH(A45),1),交易记录!$A$6:$A$605,"&lt;"&amp;DATE(YEAR(A45),MONTH(A45)+1,1),交易记录!$B$6:$B$605,"QQQM",交易记录!$C$6:$C$605,"买入")+SUMIFS(交易记录!$E$6:$E$605,交易记录!$A$6:$A$605,"&gt;="&amp;DATE(YEAR(A45),MONTH(A45),1),交易记录!$A$6:$A$605,"&lt;"&amp;DATE(YEAR(A45),MONTH(A45)+1,1),交易记录!$B$6:$B$605,"QQQM",交易记录!$C$6:$C$605,"买入")</f>
        <v>0</v>
      </c>
      <c r="H45" s="15">
        <f>SUMIFS(交易记录!$D$6:$D$605,交易记录!$A$6:$A$605,"&gt;="&amp;DATE(YEAR(A45),MONTH(A45),1),交易记录!$A$6:$A$605,"&lt;"&amp;DATE(YEAR(A45),MONTH(A45)+1,1),交易记录!$B$6:$B$605,"SMH",交易记录!$C$6:$C$605,"买入")+SUMIFS(交易记录!$E$6:$E$605,交易记录!$A$6:$A$605,"&gt;="&amp;DATE(YEAR(A45),MONTH(A45),1),交易记录!$A$6:$A$605,"&lt;"&amp;DATE(YEAR(A45),MONTH(A45)+1,1),交易记录!$B$6:$B$605,"SMH",交易记录!$C$6:$C$605,"买入")</f>
        <v>0</v>
      </c>
      <c r="I45" s="15">
        <f t="shared" si="3"/>
        <v>0</v>
      </c>
      <c r="J45" s="15" t="str">
        <f t="shared" si="4"/>
        <v/>
      </c>
      <c r="K45" s="19" t="str">
        <f t="shared" si="5"/>
        <v>尚未记录买入</v>
      </c>
    </row>
    <row r="46" spans="1:11" ht="21.75" customHeight="1">
      <c r="A46" s="29">
        <f>DATE(2030,2,总览!$E$4)</f>
        <v>47524</v>
      </c>
      <c r="B46" s="15">
        <f>回撤计划!J49</f>
        <v>500</v>
      </c>
      <c r="C46" s="15">
        <f>B46*总览!$B$8</f>
        <v>450</v>
      </c>
      <c r="D46" s="15">
        <f>B46*总览!$B$9</f>
        <v>50</v>
      </c>
      <c r="E46" s="15">
        <f>B46*总览!$B$10</f>
        <v>0</v>
      </c>
      <c r="F46" s="15">
        <f>SUMIFS(交易记录!$D$6:$D$605,交易记录!$A$6:$A$605,"&gt;="&amp;DATE(YEAR(A46),MONTH(A46),1),交易记录!$A$6:$A$605,"&lt;"&amp;DATE(YEAR(A46),MONTH(A46)+1,1),交易记录!$B$6:$B$605,"VOO",交易记录!$C$6:$C$605,"买入")+SUMIFS(交易记录!$E$6:$E$605,交易记录!$A$6:$A$605,"&gt;="&amp;DATE(YEAR(A46),MONTH(A46),1),交易记录!$A$6:$A$605,"&lt;"&amp;DATE(YEAR(A46),MONTH(A46)+1,1),交易记录!$B$6:$B$605,"VOO",交易记录!$C$6:$C$605,"买入")</f>
        <v>0</v>
      </c>
      <c r="G46" s="15">
        <f>SUMIFS(交易记录!$D$6:$D$605,交易记录!$A$6:$A$605,"&gt;="&amp;DATE(YEAR(A46),MONTH(A46),1),交易记录!$A$6:$A$605,"&lt;"&amp;DATE(YEAR(A46),MONTH(A46)+1,1),交易记录!$B$6:$B$605,"QQQM",交易记录!$C$6:$C$605,"买入")+SUMIFS(交易记录!$E$6:$E$605,交易记录!$A$6:$A$605,"&gt;="&amp;DATE(YEAR(A46),MONTH(A46),1),交易记录!$A$6:$A$605,"&lt;"&amp;DATE(YEAR(A46),MONTH(A46)+1,1),交易记录!$B$6:$B$605,"QQQM",交易记录!$C$6:$C$605,"买入")</f>
        <v>0</v>
      </c>
      <c r="H46" s="15">
        <f>SUMIFS(交易记录!$D$6:$D$605,交易记录!$A$6:$A$605,"&gt;="&amp;DATE(YEAR(A46),MONTH(A46),1),交易记录!$A$6:$A$605,"&lt;"&amp;DATE(YEAR(A46),MONTH(A46)+1,1),交易记录!$B$6:$B$605,"SMH",交易记录!$C$6:$C$605,"买入")+SUMIFS(交易记录!$E$6:$E$605,交易记录!$A$6:$A$605,"&gt;="&amp;DATE(YEAR(A46),MONTH(A46),1),交易记录!$A$6:$A$605,"&lt;"&amp;DATE(YEAR(A46),MONTH(A46)+1,1),交易记录!$B$6:$B$605,"SMH",交易记录!$C$6:$C$605,"买入")</f>
        <v>0</v>
      </c>
      <c r="I46" s="15">
        <f t="shared" si="3"/>
        <v>0</v>
      </c>
      <c r="J46" s="15" t="str">
        <f t="shared" si="4"/>
        <v/>
      </c>
      <c r="K46" s="19" t="str">
        <f t="shared" si="5"/>
        <v>尚未记录买入</v>
      </c>
    </row>
    <row r="47" spans="1:11" ht="21.75" customHeight="1">
      <c r="A47" s="29">
        <f>DATE(2030,3,总览!$E$4)</f>
        <v>47552</v>
      </c>
      <c r="B47" s="15">
        <f>回撤计划!J50</f>
        <v>500</v>
      </c>
      <c r="C47" s="15">
        <f>B47*总览!$B$8</f>
        <v>450</v>
      </c>
      <c r="D47" s="15">
        <f>B47*总览!$B$9</f>
        <v>50</v>
      </c>
      <c r="E47" s="15">
        <f>B47*总览!$B$10</f>
        <v>0</v>
      </c>
      <c r="F47" s="15">
        <f>SUMIFS(交易记录!$D$6:$D$605,交易记录!$A$6:$A$605,"&gt;="&amp;DATE(YEAR(A47),MONTH(A47),1),交易记录!$A$6:$A$605,"&lt;"&amp;DATE(YEAR(A47),MONTH(A47)+1,1),交易记录!$B$6:$B$605,"VOO",交易记录!$C$6:$C$605,"买入")+SUMIFS(交易记录!$E$6:$E$605,交易记录!$A$6:$A$605,"&gt;="&amp;DATE(YEAR(A47),MONTH(A47),1),交易记录!$A$6:$A$605,"&lt;"&amp;DATE(YEAR(A47),MONTH(A47)+1,1),交易记录!$B$6:$B$605,"VOO",交易记录!$C$6:$C$605,"买入")</f>
        <v>0</v>
      </c>
      <c r="G47" s="15">
        <f>SUMIFS(交易记录!$D$6:$D$605,交易记录!$A$6:$A$605,"&gt;="&amp;DATE(YEAR(A47),MONTH(A47),1),交易记录!$A$6:$A$605,"&lt;"&amp;DATE(YEAR(A47),MONTH(A47)+1,1),交易记录!$B$6:$B$605,"QQQM",交易记录!$C$6:$C$605,"买入")+SUMIFS(交易记录!$E$6:$E$605,交易记录!$A$6:$A$605,"&gt;="&amp;DATE(YEAR(A47),MONTH(A47),1),交易记录!$A$6:$A$605,"&lt;"&amp;DATE(YEAR(A47),MONTH(A47)+1,1),交易记录!$B$6:$B$605,"QQQM",交易记录!$C$6:$C$605,"买入")</f>
        <v>0</v>
      </c>
      <c r="H47" s="15">
        <f>SUMIFS(交易记录!$D$6:$D$605,交易记录!$A$6:$A$605,"&gt;="&amp;DATE(YEAR(A47),MONTH(A47),1),交易记录!$A$6:$A$605,"&lt;"&amp;DATE(YEAR(A47),MONTH(A47)+1,1),交易记录!$B$6:$B$605,"SMH",交易记录!$C$6:$C$605,"买入")+SUMIFS(交易记录!$E$6:$E$605,交易记录!$A$6:$A$605,"&gt;="&amp;DATE(YEAR(A47),MONTH(A47),1),交易记录!$A$6:$A$605,"&lt;"&amp;DATE(YEAR(A47),MONTH(A47)+1,1),交易记录!$B$6:$B$605,"SMH",交易记录!$C$6:$C$605,"买入")</f>
        <v>0</v>
      </c>
      <c r="I47" s="15">
        <f t="shared" si="3"/>
        <v>0</v>
      </c>
      <c r="J47" s="15" t="str">
        <f t="shared" si="4"/>
        <v/>
      </c>
      <c r="K47" s="19" t="str">
        <f t="shared" si="5"/>
        <v>尚未记录买入</v>
      </c>
    </row>
    <row r="48" spans="1:11" ht="21.75" customHeight="1">
      <c r="A48" s="29">
        <f>DATE(2030,4,总览!$E$4)</f>
        <v>47583</v>
      </c>
      <c r="B48" s="15">
        <f>回撤计划!J51</f>
        <v>500</v>
      </c>
      <c r="C48" s="15">
        <f>B48*总览!$B$8</f>
        <v>450</v>
      </c>
      <c r="D48" s="15">
        <f>B48*总览!$B$9</f>
        <v>50</v>
      </c>
      <c r="E48" s="15">
        <f>B48*总览!$B$10</f>
        <v>0</v>
      </c>
      <c r="F48" s="15">
        <f>SUMIFS(交易记录!$D$6:$D$605,交易记录!$A$6:$A$605,"&gt;="&amp;DATE(YEAR(A48),MONTH(A48),1),交易记录!$A$6:$A$605,"&lt;"&amp;DATE(YEAR(A48),MONTH(A48)+1,1),交易记录!$B$6:$B$605,"VOO",交易记录!$C$6:$C$605,"买入")+SUMIFS(交易记录!$E$6:$E$605,交易记录!$A$6:$A$605,"&gt;="&amp;DATE(YEAR(A48),MONTH(A48),1),交易记录!$A$6:$A$605,"&lt;"&amp;DATE(YEAR(A48),MONTH(A48)+1,1),交易记录!$B$6:$B$605,"VOO",交易记录!$C$6:$C$605,"买入")</f>
        <v>0</v>
      </c>
      <c r="G48" s="15">
        <f>SUMIFS(交易记录!$D$6:$D$605,交易记录!$A$6:$A$605,"&gt;="&amp;DATE(YEAR(A48),MONTH(A48),1),交易记录!$A$6:$A$605,"&lt;"&amp;DATE(YEAR(A48),MONTH(A48)+1,1),交易记录!$B$6:$B$605,"QQQM",交易记录!$C$6:$C$605,"买入")+SUMIFS(交易记录!$E$6:$E$605,交易记录!$A$6:$A$605,"&gt;="&amp;DATE(YEAR(A48),MONTH(A48),1),交易记录!$A$6:$A$605,"&lt;"&amp;DATE(YEAR(A48),MONTH(A48)+1,1),交易记录!$B$6:$B$605,"QQQM",交易记录!$C$6:$C$605,"买入")</f>
        <v>0</v>
      </c>
      <c r="H48" s="15">
        <f>SUMIFS(交易记录!$D$6:$D$605,交易记录!$A$6:$A$605,"&gt;="&amp;DATE(YEAR(A48),MONTH(A48),1),交易记录!$A$6:$A$605,"&lt;"&amp;DATE(YEAR(A48),MONTH(A48)+1,1),交易记录!$B$6:$B$605,"SMH",交易记录!$C$6:$C$605,"买入")+SUMIFS(交易记录!$E$6:$E$605,交易记录!$A$6:$A$605,"&gt;="&amp;DATE(YEAR(A48),MONTH(A48),1),交易记录!$A$6:$A$605,"&lt;"&amp;DATE(YEAR(A48),MONTH(A48)+1,1),交易记录!$B$6:$B$605,"SMH",交易记录!$C$6:$C$605,"买入")</f>
        <v>0</v>
      </c>
      <c r="I48" s="15">
        <f t="shared" si="3"/>
        <v>0</v>
      </c>
      <c r="J48" s="15" t="str">
        <f t="shared" si="4"/>
        <v/>
      </c>
      <c r="K48" s="19" t="str">
        <f t="shared" si="5"/>
        <v>尚未记录买入</v>
      </c>
    </row>
    <row r="49" spans="1:11" ht="21.75" customHeight="1">
      <c r="A49" s="29">
        <f>DATE(2030,5,总览!$E$4)</f>
        <v>47613</v>
      </c>
      <c r="B49" s="15">
        <f>回撤计划!J52</f>
        <v>500</v>
      </c>
      <c r="C49" s="15">
        <f>B49*总览!$B$8</f>
        <v>450</v>
      </c>
      <c r="D49" s="15">
        <f>B49*总览!$B$9</f>
        <v>50</v>
      </c>
      <c r="E49" s="15">
        <f>B49*总览!$B$10</f>
        <v>0</v>
      </c>
      <c r="F49" s="15">
        <f>SUMIFS(交易记录!$D$6:$D$605,交易记录!$A$6:$A$605,"&gt;="&amp;DATE(YEAR(A49),MONTH(A49),1),交易记录!$A$6:$A$605,"&lt;"&amp;DATE(YEAR(A49),MONTH(A49)+1,1),交易记录!$B$6:$B$605,"VOO",交易记录!$C$6:$C$605,"买入")+SUMIFS(交易记录!$E$6:$E$605,交易记录!$A$6:$A$605,"&gt;="&amp;DATE(YEAR(A49),MONTH(A49),1),交易记录!$A$6:$A$605,"&lt;"&amp;DATE(YEAR(A49),MONTH(A49)+1,1),交易记录!$B$6:$B$605,"VOO",交易记录!$C$6:$C$605,"买入")</f>
        <v>0</v>
      </c>
      <c r="G49" s="15">
        <f>SUMIFS(交易记录!$D$6:$D$605,交易记录!$A$6:$A$605,"&gt;="&amp;DATE(YEAR(A49),MONTH(A49),1),交易记录!$A$6:$A$605,"&lt;"&amp;DATE(YEAR(A49),MONTH(A49)+1,1),交易记录!$B$6:$B$605,"QQQM",交易记录!$C$6:$C$605,"买入")+SUMIFS(交易记录!$E$6:$E$605,交易记录!$A$6:$A$605,"&gt;="&amp;DATE(YEAR(A49),MONTH(A49),1),交易记录!$A$6:$A$605,"&lt;"&amp;DATE(YEAR(A49),MONTH(A49)+1,1),交易记录!$B$6:$B$605,"QQQM",交易记录!$C$6:$C$605,"买入")</f>
        <v>0</v>
      </c>
      <c r="H49" s="15">
        <f>SUMIFS(交易记录!$D$6:$D$605,交易记录!$A$6:$A$605,"&gt;="&amp;DATE(YEAR(A49),MONTH(A49),1),交易记录!$A$6:$A$605,"&lt;"&amp;DATE(YEAR(A49),MONTH(A49)+1,1),交易记录!$B$6:$B$605,"SMH",交易记录!$C$6:$C$605,"买入")+SUMIFS(交易记录!$E$6:$E$605,交易记录!$A$6:$A$605,"&gt;="&amp;DATE(YEAR(A49),MONTH(A49),1),交易记录!$A$6:$A$605,"&lt;"&amp;DATE(YEAR(A49),MONTH(A49)+1,1),交易记录!$B$6:$B$605,"SMH",交易记录!$C$6:$C$605,"买入")</f>
        <v>0</v>
      </c>
      <c r="I49" s="15">
        <f t="shared" si="3"/>
        <v>0</v>
      </c>
      <c r="J49" s="15" t="str">
        <f t="shared" si="4"/>
        <v/>
      </c>
      <c r="K49" s="19" t="str">
        <f t="shared" si="5"/>
        <v>尚未记录买入</v>
      </c>
    </row>
    <row r="50" spans="1:11" ht="21.75" customHeight="1">
      <c r="A50" s="29">
        <f>DATE(2030,6,总览!$E$4)</f>
        <v>47644</v>
      </c>
      <c r="B50" s="15">
        <f>回撤计划!J53</f>
        <v>500</v>
      </c>
      <c r="C50" s="15">
        <f>B50*总览!$B$8</f>
        <v>450</v>
      </c>
      <c r="D50" s="15">
        <f>B50*总览!$B$9</f>
        <v>50</v>
      </c>
      <c r="E50" s="15">
        <f>B50*总览!$B$10</f>
        <v>0</v>
      </c>
      <c r="F50" s="15">
        <f>SUMIFS(交易记录!$D$6:$D$605,交易记录!$A$6:$A$605,"&gt;="&amp;DATE(YEAR(A50),MONTH(A50),1),交易记录!$A$6:$A$605,"&lt;"&amp;DATE(YEAR(A50),MONTH(A50)+1,1),交易记录!$B$6:$B$605,"VOO",交易记录!$C$6:$C$605,"买入")+SUMIFS(交易记录!$E$6:$E$605,交易记录!$A$6:$A$605,"&gt;="&amp;DATE(YEAR(A50),MONTH(A50),1),交易记录!$A$6:$A$605,"&lt;"&amp;DATE(YEAR(A50),MONTH(A50)+1,1),交易记录!$B$6:$B$605,"VOO",交易记录!$C$6:$C$605,"买入")</f>
        <v>0</v>
      </c>
      <c r="G50" s="15">
        <f>SUMIFS(交易记录!$D$6:$D$605,交易记录!$A$6:$A$605,"&gt;="&amp;DATE(YEAR(A50),MONTH(A50),1),交易记录!$A$6:$A$605,"&lt;"&amp;DATE(YEAR(A50),MONTH(A50)+1,1),交易记录!$B$6:$B$605,"QQQM",交易记录!$C$6:$C$605,"买入")+SUMIFS(交易记录!$E$6:$E$605,交易记录!$A$6:$A$605,"&gt;="&amp;DATE(YEAR(A50),MONTH(A50),1),交易记录!$A$6:$A$605,"&lt;"&amp;DATE(YEAR(A50),MONTH(A50)+1,1),交易记录!$B$6:$B$605,"QQQM",交易记录!$C$6:$C$605,"买入")</f>
        <v>0</v>
      </c>
      <c r="H50" s="15">
        <f>SUMIFS(交易记录!$D$6:$D$605,交易记录!$A$6:$A$605,"&gt;="&amp;DATE(YEAR(A50),MONTH(A50),1),交易记录!$A$6:$A$605,"&lt;"&amp;DATE(YEAR(A50),MONTH(A50)+1,1),交易记录!$B$6:$B$605,"SMH",交易记录!$C$6:$C$605,"买入")+SUMIFS(交易记录!$E$6:$E$605,交易记录!$A$6:$A$605,"&gt;="&amp;DATE(YEAR(A50),MONTH(A50),1),交易记录!$A$6:$A$605,"&lt;"&amp;DATE(YEAR(A50),MONTH(A50)+1,1),交易记录!$B$6:$B$605,"SMH",交易记录!$C$6:$C$605,"买入")</f>
        <v>0</v>
      </c>
      <c r="I50" s="15">
        <f t="shared" si="3"/>
        <v>0</v>
      </c>
      <c r="J50" s="15" t="str">
        <f t="shared" si="4"/>
        <v/>
      </c>
      <c r="K50" s="19" t="str">
        <f t="shared" si="5"/>
        <v>尚未记录买入</v>
      </c>
    </row>
    <row r="51" spans="1:11" ht="21.75" customHeight="1">
      <c r="A51" s="29">
        <f>DATE(2030,7,总览!$E$4)</f>
        <v>47674</v>
      </c>
      <c r="B51" s="15">
        <f>回撤计划!J54</f>
        <v>500</v>
      </c>
      <c r="C51" s="15">
        <f>B51*总览!$B$8</f>
        <v>450</v>
      </c>
      <c r="D51" s="15">
        <f>B51*总览!$B$9</f>
        <v>50</v>
      </c>
      <c r="E51" s="15">
        <f>B51*总览!$B$10</f>
        <v>0</v>
      </c>
      <c r="F51" s="15">
        <f>SUMIFS(交易记录!$D$6:$D$605,交易记录!$A$6:$A$605,"&gt;="&amp;DATE(YEAR(A51),MONTH(A51),1),交易记录!$A$6:$A$605,"&lt;"&amp;DATE(YEAR(A51),MONTH(A51)+1,1),交易记录!$B$6:$B$605,"VOO",交易记录!$C$6:$C$605,"买入")+SUMIFS(交易记录!$E$6:$E$605,交易记录!$A$6:$A$605,"&gt;="&amp;DATE(YEAR(A51),MONTH(A51),1),交易记录!$A$6:$A$605,"&lt;"&amp;DATE(YEAR(A51),MONTH(A51)+1,1),交易记录!$B$6:$B$605,"VOO",交易记录!$C$6:$C$605,"买入")</f>
        <v>0</v>
      </c>
      <c r="G51" s="15">
        <f>SUMIFS(交易记录!$D$6:$D$605,交易记录!$A$6:$A$605,"&gt;="&amp;DATE(YEAR(A51),MONTH(A51),1),交易记录!$A$6:$A$605,"&lt;"&amp;DATE(YEAR(A51),MONTH(A51)+1,1),交易记录!$B$6:$B$605,"QQQM",交易记录!$C$6:$C$605,"买入")+SUMIFS(交易记录!$E$6:$E$605,交易记录!$A$6:$A$605,"&gt;="&amp;DATE(YEAR(A51),MONTH(A51),1),交易记录!$A$6:$A$605,"&lt;"&amp;DATE(YEAR(A51),MONTH(A51)+1,1),交易记录!$B$6:$B$605,"QQQM",交易记录!$C$6:$C$605,"买入")</f>
        <v>0</v>
      </c>
      <c r="H51" s="15">
        <f>SUMIFS(交易记录!$D$6:$D$605,交易记录!$A$6:$A$605,"&gt;="&amp;DATE(YEAR(A51),MONTH(A51),1),交易记录!$A$6:$A$605,"&lt;"&amp;DATE(YEAR(A51),MONTH(A51)+1,1),交易记录!$B$6:$B$605,"SMH",交易记录!$C$6:$C$605,"买入")+SUMIFS(交易记录!$E$6:$E$605,交易记录!$A$6:$A$605,"&gt;="&amp;DATE(YEAR(A51),MONTH(A51),1),交易记录!$A$6:$A$605,"&lt;"&amp;DATE(YEAR(A51),MONTH(A51)+1,1),交易记录!$B$6:$B$605,"SMH",交易记录!$C$6:$C$605,"买入")</f>
        <v>0</v>
      </c>
      <c r="I51" s="15">
        <f t="shared" si="3"/>
        <v>0</v>
      </c>
      <c r="J51" s="15" t="str">
        <f t="shared" si="4"/>
        <v/>
      </c>
      <c r="K51" s="19" t="str">
        <f t="shared" si="5"/>
        <v>尚未记录买入</v>
      </c>
    </row>
    <row r="52" spans="1:11" ht="21.75" customHeight="1">
      <c r="A52" s="29">
        <f>DATE(2030,8,总览!$E$4)</f>
        <v>47705</v>
      </c>
      <c r="B52" s="15">
        <f>回撤计划!J55</f>
        <v>500</v>
      </c>
      <c r="C52" s="15">
        <f>B52*总览!$B$8</f>
        <v>450</v>
      </c>
      <c r="D52" s="15">
        <f>B52*总览!$B$9</f>
        <v>50</v>
      </c>
      <c r="E52" s="15">
        <f>B52*总览!$B$10</f>
        <v>0</v>
      </c>
      <c r="F52" s="15">
        <f>SUMIFS(交易记录!$D$6:$D$605,交易记录!$A$6:$A$605,"&gt;="&amp;DATE(YEAR(A52),MONTH(A52),1),交易记录!$A$6:$A$605,"&lt;"&amp;DATE(YEAR(A52),MONTH(A52)+1,1),交易记录!$B$6:$B$605,"VOO",交易记录!$C$6:$C$605,"买入")+SUMIFS(交易记录!$E$6:$E$605,交易记录!$A$6:$A$605,"&gt;="&amp;DATE(YEAR(A52),MONTH(A52),1),交易记录!$A$6:$A$605,"&lt;"&amp;DATE(YEAR(A52),MONTH(A52)+1,1),交易记录!$B$6:$B$605,"VOO",交易记录!$C$6:$C$605,"买入")</f>
        <v>0</v>
      </c>
      <c r="G52" s="15">
        <f>SUMIFS(交易记录!$D$6:$D$605,交易记录!$A$6:$A$605,"&gt;="&amp;DATE(YEAR(A52),MONTH(A52),1),交易记录!$A$6:$A$605,"&lt;"&amp;DATE(YEAR(A52),MONTH(A52)+1,1),交易记录!$B$6:$B$605,"QQQM",交易记录!$C$6:$C$605,"买入")+SUMIFS(交易记录!$E$6:$E$605,交易记录!$A$6:$A$605,"&gt;="&amp;DATE(YEAR(A52),MONTH(A52),1),交易记录!$A$6:$A$605,"&lt;"&amp;DATE(YEAR(A52),MONTH(A52)+1,1),交易记录!$B$6:$B$605,"QQQM",交易记录!$C$6:$C$605,"买入")</f>
        <v>0</v>
      </c>
      <c r="H52" s="15">
        <f>SUMIFS(交易记录!$D$6:$D$605,交易记录!$A$6:$A$605,"&gt;="&amp;DATE(YEAR(A52),MONTH(A52),1),交易记录!$A$6:$A$605,"&lt;"&amp;DATE(YEAR(A52),MONTH(A52)+1,1),交易记录!$B$6:$B$605,"SMH",交易记录!$C$6:$C$605,"买入")+SUMIFS(交易记录!$E$6:$E$605,交易记录!$A$6:$A$605,"&gt;="&amp;DATE(YEAR(A52),MONTH(A52),1),交易记录!$A$6:$A$605,"&lt;"&amp;DATE(YEAR(A52),MONTH(A52)+1,1),交易记录!$B$6:$B$605,"SMH",交易记录!$C$6:$C$605,"买入")</f>
        <v>0</v>
      </c>
      <c r="I52" s="15">
        <f t="shared" si="3"/>
        <v>0</v>
      </c>
      <c r="J52" s="15" t="str">
        <f t="shared" si="4"/>
        <v/>
      </c>
      <c r="K52" s="19" t="str">
        <f t="shared" si="5"/>
        <v>尚未记录买入</v>
      </c>
    </row>
    <row r="53" spans="1:11" ht="21.75" customHeight="1">
      <c r="A53" s="29">
        <f>DATE(2030,9,总览!$E$4)</f>
        <v>47736</v>
      </c>
      <c r="B53" s="15">
        <f>回撤计划!J56</f>
        <v>500</v>
      </c>
      <c r="C53" s="15">
        <f>B53*总览!$B$8</f>
        <v>450</v>
      </c>
      <c r="D53" s="15">
        <f>B53*总览!$B$9</f>
        <v>50</v>
      </c>
      <c r="E53" s="15">
        <f>B53*总览!$B$10</f>
        <v>0</v>
      </c>
      <c r="F53" s="15">
        <f>SUMIFS(交易记录!$D$6:$D$605,交易记录!$A$6:$A$605,"&gt;="&amp;DATE(YEAR(A53),MONTH(A53),1),交易记录!$A$6:$A$605,"&lt;"&amp;DATE(YEAR(A53),MONTH(A53)+1,1),交易记录!$B$6:$B$605,"VOO",交易记录!$C$6:$C$605,"买入")+SUMIFS(交易记录!$E$6:$E$605,交易记录!$A$6:$A$605,"&gt;="&amp;DATE(YEAR(A53),MONTH(A53),1),交易记录!$A$6:$A$605,"&lt;"&amp;DATE(YEAR(A53),MONTH(A53)+1,1),交易记录!$B$6:$B$605,"VOO",交易记录!$C$6:$C$605,"买入")</f>
        <v>0</v>
      </c>
      <c r="G53" s="15">
        <f>SUMIFS(交易记录!$D$6:$D$605,交易记录!$A$6:$A$605,"&gt;="&amp;DATE(YEAR(A53),MONTH(A53),1),交易记录!$A$6:$A$605,"&lt;"&amp;DATE(YEAR(A53),MONTH(A53)+1,1),交易记录!$B$6:$B$605,"QQQM",交易记录!$C$6:$C$605,"买入")+SUMIFS(交易记录!$E$6:$E$605,交易记录!$A$6:$A$605,"&gt;="&amp;DATE(YEAR(A53),MONTH(A53),1),交易记录!$A$6:$A$605,"&lt;"&amp;DATE(YEAR(A53),MONTH(A53)+1,1),交易记录!$B$6:$B$605,"QQQM",交易记录!$C$6:$C$605,"买入")</f>
        <v>0</v>
      </c>
      <c r="H53" s="15">
        <f>SUMIFS(交易记录!$D$6:$D$605,交易记录!$A$6:$A$605,"&gt;="&amp;DATE(YEAR(A53),MONTH(A53),1),交易记录!$A$6:$A$605,"&lt;"&amp;DATE(YEAR(A53),MONTH(A53)+1,1),交易记录!$B$6:$B$605,"SMH",交易记录!$C$6:$C$605,"买入")+SUMIFS(交易记录!$E$6:$E$605,交易记录!$A$6:$A$605,"&gt;="&amp;DATE(YEAR(A53),MONTH(A53),1),交易记录!$A$6:$A$605,"&lt;"&amp;DATE(YEAR(A53),MONTH(A53)+1,1),交易记录!$B$6:$B$605,"SMH",交易记录!$C$6:$C$605,"买入")</f>
        <v>0</v>
      </c>
      <c r="I53" s="15">
        <f t="shared" si="3"/>
        <v>0</v>
      </c>
      <c r="J53" s="15" t="str">
        <f t="shared" si="4"/>
        <v/>
      </c>
      <c r="K53" s="19" t="str">
        <f t="shared" si="5"/>
        <v>尚未记录买入</v>
      </c>
    </row>
    <row r="54" spans="1:11" ht="21.75" customHeight="1">
      <c r="A54" s="29">
        <f>DATE(2030,10,总览!$E$4)</f>
        <v>47766</v>
      </c>
      <c r="B54" s="15">
        <f>回撤计划!J57</f>
        <v>500</v>
      </c>
      <c r="C54" s="15">
        <f>B54*总览!$B$8</f>
        <v>450</v>
      </c>
      <c r="D54" s="15">
        <f>B54*总览!$B$9</f>
        <v>50</v>
      </c>
      <c r="E54" s="15">
        <f>B54*总览!$B$10</f>
        <v>0</v>
      </c>
      <c r="F54" s="15">
        <f>SUMIFS(交易记录!$D$6:$D$605,交易记录!$A$6:$A$605,"&gt;="&amp;DATE(YEAR(A54),MONTH(A54),1),交易记录!$A$6:$A$605,"&lt;"&amp;DATE(YEAR(A54),MONTH(A54)+1,1),交易记录!$B$6:$B$605,"VOO",交易记录!$C$6:$C$605,"买入")+SUMIFS(交易记录!$E$6:$E$605,交易记录!$A$6:$A$605,"&gt;="&amp;DATE(YEAR(A54),MONTH(A54),1),交易记录!$A$6:$A$605,"&lt;"&amp;DATE(YEAR(A54),MONTH(A54)+1,1),交易记录!$B$6:$B$605,"VOO",交易记录!$C$6:$C$605,"买入")</f>
        <v>0</v>
      </c>
      <c r="G54" s="15">
        <f>SUMIFS(交易记录!$D$6:$D$605,交易记录!$A$6:$A$605,"&gt;="&amp;DATE(YEAR(A54),MONTH(A54),1),交易记录!$A$6:$A$605,"&lt;"&amp;DATE(YEAR(A54),MONTH(A54)+1,1),交易记录!$B$6:$B$605,"QQQM",交易记录!$C$6:$C$605,"买入")+SUMIFS(交易记录!$E$6:$E$605,交易记录!$A$6:$A$605,"&gt;="&amp;DATE(YEAR(A54),MONTH(A54),1),交易记录!$A$6:$A$605,"&lt;"&amp;DATE(YEAR(A54),MONTH(A54)+1,1),交易记录!$B$6:$B$605,"QQQM",交易记录!$C$6:$C$605,"买入")</f>
        <v>0</v>
      </c>
      <c r="H54" s="15">
        <f>SUMIFS(交易记录!$D$6:$D$605,交易记录!$A$6:$A$605,"&gt;="&amp;DATE(YEAR(A54),MONTH(A54),1),交易记录!$A$6:$A$605,"&lt;"&amp;DATE(YEAR(A54),MONTH(A54)+1,1),交易记录!$B$6:$B$605,"SMH",交易记录!$C$6:$C$605,"买入")+SUMIFS(交易记录!$E$6:$E$605,交易记录!$A$6:$A$605,"&gt;="&amp;DATE(YEAR(A54),MONTH(A54),1),交易记录!$A$6:$A$605,"&lt;"&amp;DATE(YEAR(A54),MONTH(A54)+1,1),交易记录!$B$6:$B$605,"SMH",交易记录!$C$6:$C$605,"买入")</f>
        <v>0</v>
      </c>
      <c r="I54" s="15">
        <f t="shared" si="3"/>
        <v>0</v>
      </c>
      <c r="J54" s="15" t="str">
        <f t="shared" si="4"/>
        <v/>
      </c>
      <c r="K54" s="19" t="str">
        <f t="shared" si="5"/>
        <v>尚未记录买入</v>
      </c>
    </row>
    <row r="55" spans="1:11" ht="21.75" customHeight="1">
      <c r="A55" s="29">
        <f>DATE(2030,11,总览!$E$4)</f>
        <v>47797</v>
      </c>
      <c r="B55" s="15">
        <f>回撤计划!J58</f>
        <v>500</v>
      </c>
      <c r="C55" s="15">
        <f>B55*总览!$B$8</f>
        <v>450</v>
      </c>
      <c r="D55" s="15">
        <f>B55*总览!$B$9</f>
        <v>50</v>
      </c>
      <c r="E55" s="15">
        <f>B55*总览!$B$10</f>
        <v>0</v>
      </c>
      <c r="F55" s="15">
        <f>SUMIFS(交易记录!$D$6:$D$605,交易记录!$A$6:$A$605,"&gt;="&amp;DATE(YEAR(A55),MONTH(A55),1),交易记录!$A$6:$A$605,"&lt;"&amp;DATE(YEAR(A55),MONTH(A55)+1,1),交易记录!$B$6:$B$605,"VOO",交易记录!$C$6:$C$605,"买入")+SUMIFS(交易记录!$E$6:$E$605,交易记录!$A$6:$A$605,"&gt;="&amp;DATE(YEAR(A55),MONTH(A55),1),交易记录!$A$6:$A$605,"&lt;"&amp;DATE(YEAR(A55),MONTH(A55)+1,1),交易记录!$B$6:$B$605,"VOO",交易记录!$C$6:$C$605,"买入")</f>
        <v>0</v>
      </c>
      <c r="G55" s="15">
        <f>SUMIFS(交易记录!$D$6:$D$605,交易记录!$A$6:$A$605,"&gt;="&amp;DATE(YEAR(A55),MONTH(A55),1),交易记录!$A$6:$A$605,"&lt;"&amp;DATE(YEAR(A55),MONTH(A55)+1,1),交易记录!$B$6:$B$605,"QQQM",交易记录!$C$6:$C$605,"买入")+SUMIFS(交易记录!$E$6:$E$605,交易记录!$A$6:$A$605,"&gt;="&amp;DATE(YEAR(A55),MONTH(A55),1),交易记录!$A$6:$A$605,"&lt;"&amp;DATE(YEAR(A55),MONTH(A55)+1,1),交易记录!$B$6:$B$605,"QQQM",交易记录!$C$6:$C$605,"买入")</f>
        <v>0</v>
      </c>
      <c r="H55" s="15">
        <f>SUMIFS(交易记录!$D$6:$D$605,交易记录!$A$6:$A$605,"&gt;="&amp;DATE(YEAR(A55),MONTH(A55),1),交易记录!$A$6:$A$605,"&lt;"&amp;DATE(YEAR(A55),MONTH(A55)+1,1),交易记录!$B$6:$B$605,"SMH",交易记录!$C$6:$C$605,"买入")+SUMIFS(交易记录!$E$6:$E$605,交易记录!$A$6:$A$605,"&gt;="&amp;DATE(YEAR(A55),MONTH(A55),1),交易记录!$A$6:$A$605,"&lt;"&amp;DATE(YEAR(A55),MONTH(A55)+1,1),交易记录!$B$6:$B$605,"SMH",交易记录!$C$6:$C$605,"买入")</f>
        <v>0</v>
      </c>
      <c r="I55" s="15">
        <f t="shared" si="3"/>
        <v>0</v>
      </c>
      <c r="J55" s="15" t="str">
        <f t="shared" si="4"/>
        <v/>
      </c>
      <c r="K55" s="19" t="str">
        <f t="shared" si="5"/>
        <v>尚未记录买入</v>
      </c>
    </row>
    <row r="56" spans="1:11" ht="21.75" customHeight="1">
      <c r="A56" s="29">
        <f>DATE(2030,12,总览!$E$4)</f>
        <v>47827</v>
      </c>
      <c r="B56" s="15">
        <f>回撤计划!J59</f>
        <v>500</v>
      </c>
      <c r="C56" s="15">
        <f>B56*总览!$B$8</f>
        <v>450</v>
      </c>
      <c r="D56" s="15">
        <f>B56*总览!$B$9</f>
        <v>50</v>
      </c>
      <c r="E56" s="15">
        <f>B56*总览!$B$10</f>
        <v>0</v>
      </c>
      <c r="F56" s="15">
        <f>SUMIFS(交易记录!$D$6:$D$605,交易记录!$A$6:$A$605,"&gt;="&amp;DATE(YEAR(A56),MONTH(A56),1),交易记录!$A$6:$A$605,"&lt;"&amp;DATE(YEAR(A56),MONTH(A56)+1,1),交易记录!$B$6:$B$605,"VOO",交易记录!$C$6:$C$605,"买入")+SUMIFS(交易记录!$E$6:$E$605,交易记录!$A$6:$A$605,"&gt;="&amp;DATE(YEAR(A56),MONTH(A56),1),交易记录!$A$6:$A$605,"&lt;"&amp;DATE(YEAR(A56),MONTH(A56)+1,1),交易记录!$B$6:$B$605,"VOO",交易记录!$C$6:$C$605,"买入")</f>
        <v>0</v>
      </c>
      <c r="G56" s="15">
        <f>SUMIFS(交易记录!$D$6:$D$605,交易记录!$A$6:$A$605,"&gt;="&amp;DATE(YEAR(A56),MONTH(A56),1),交易记录!$A$6:$A$605,"&lt;"&amp;DATE(YEAR(A56),MONTH(A56)+1,1),交易记录!$B$6:$B$605,"QQQM",交易记录!$C$6:$C$605,"买入")+SUMIFS(交易记录!$E$6:$E$605,交易记录!$A$6:$A$605,"&gt;="&amp;DATE(YEAR(A56),MONTH(A56),1),交易记录!$A$6:$A$605,"&lt;"&amp;DATE(YEAR(A56),MONTH(A56)+1,1),交易记录!$B$6:$B$605,"QQQM",交易记录!$C$6:$C$605,"买入")</f>
        <v>0</v>
      </c>
      <c r="H56" s="15">
        <f>SUMIFS(交易记录!$D$6:$D$605,交易记录!$A$6:$A$605,"&gt;="&amp;DATE(YEAR(A56),MONTH(A56),1),交易记录!$A$6:$A$605,"&lt;"&amp;DATE(YEAR(A56),MONTH(A56)+1,1),交易记录!$B$6:$B$605,"SMH",交易记录!$C$6:$C$605,"买入")+SUMIFS(交易记录!$E$6:$E$605,交易记录!$A$6:$A$605,"&gt;="&amp;DATE(YEAR(A56),MONTH(A56),1),交易记录!$A$6:$A$605,"&lt;"&amp;DATE(YEAR(A56),MONTH(A56)+1,1),交易记录!$B$6:$B$605,"SMH",交易记录!$C$6:$C$605,"买入")</f>
        <v>0</v>
      </c>
      <c r="I56" s="15">
        <f t="shared" si="3"/>
        <v>0</v>
      </c>
      <c r="J56" s="15" t="str">
        <f t="shared" si="4"/>
        <v/>
      </c>
      <c r="K56" s="19" t="str">
        <f t="shared" si="5"/>
        <v>尚未记录买入</v>
      </c>
    </row>
    <row r="57" spans="1:11" ht="21.75" customHeight="1">
      <c r="A57" s="29">
        <f>DATE(2031,1,总览!$E$4)</f>
        <v>47858</v>
      </c>
      <c r="B57" s="15">
        <f>回撤计划!J60</f>
        <v>500</v>
      </c>
      <c r="C57" s="15">
        <f>B57*总览!$B$8</f>
        <v>450</v>
      </c>
      <c r="D57" s="15">
        <f>B57*总览!$B$9</f>
        <v>50</v>
      </c>
      <c r="E57" s="15">
        <f>B57*总览!$B$10</f>
        <v>0</v>
      </c>
      <c r="F57" s="15">
        <f>SUMIFS(交易记录!$D$6:$D$605,交易记录!$A$6:$A$605,"&gt;="&amp;DATE(YEAR(A57),MONTH(A57),1),交易记录!$A$6:$A$605,"&lt;"&amp;DATE(YEAR(A57),MONTH(A57)+1,1),交易记录!$B$6:$B$605,"VOO",交易记录!$C$6:$C$605,"买入")+SUMIFS(交易记录!$E$6:$E$605,交易记录!$A$6:$A$605,"&gt;="&amp;DATE(YEAR(A57),MONTH(A57),1),交易记录!$A$6:$A$605,"&lt;"&amp;DATE(YEAR(A57),MONTH(A57)+1,1),交易记录!$B$6:$B$605,"VOO",交易记录!$C$6:$C$605,"买入")</f>
        <v>0</v>
      </c>
      <c r="G57" s="15">
        <f>SUMIFS(交易记录!$D$6:$D$605,交易记录!$A$6:$A$605,"&gt;="&amp;DATE(YEAR(A57),MONTH(A57),1),交易记录!$A$6:$A$605,"&lt;"&amp;DATE(YEAR(A57),MONTH(A57)+1,1),交易记录!$B$6:$B$605,"QQQM",交易记录!$C$6:$C$605,"买入")+SUMIFS(交易记录!$E$6:$E$605,交易记录!$A$6:$A$605,"&gt;="&amp;DATE(YEAR(A57),MONTH(A57),1),交易记录!$A$6:$A$605,"&lt;"&amp;DATE(YEAR(A57),MONTH(A57)+1,1),交易记录!$B$6:$B$605,"QQQM",交易记录!$C$6:$C$605,"买入")</f>
        <v>0</v>
      </c>
      <c r="H57" s="15">
        <f>SUMIFS(交易记录!$D$6:$D$605,交易记录!$A$6:$A$605,"&gt;="&amp;DATE(YEAR(A57),MONTH(A57),1),交易记录!$A$6:$A$605,"&lt;"&amp;DATE(YEAR(A57),MONTH(A57)+1,1),交易记录!$B$6:$B$605,"SMH",交易记录!$C$6:$C$605,"买入")+SUMIFS(交易记录!$E$6:$E$605,交易记录!$A$6:$A$605,"&gt;="&amp;DATE(YEAR(A57),MONTH(A57),1),交易记录!$A$6:$A$605,"&lt;"&amp;DATE(YEAR(A57),MONTH(A57)+1,1),交易记录!$B$6:$B$605,"SMH",交易记录!$C$6:$C$605,"买入")</f>
        <v>0</v>
      </c>
      <c r="I57" s="15">
        <f t="shared" si="3"/>
        <v>0</v>
      </c>
      <c r="J57" s="15" t="str">
        <f t="shared" si="4"/>
        <v/>
      </c>
      <c r="K57" s="19" t="str">
        <f t="shared" si="5"/>
        <v>尚未记录买入</v>
      </c>
    </row>
    <row r="58" spans="1:11" ht="21.75" customHeight="1">
      <c r="A58" s="29">
        <f>DATE(2031,2,总览!$E$4)</f>
        <v>47889</v>
      </c>
      <c r="B58" s="15">
        <f>回撤计划!J61</f>
        <v>500</v>
      </c>
      <c r="C58" s="15">
        <f>B58*总览!$B$8</f>
        <v>450</v>
      </c>
      <c r="D58" s="15">
        <f>B58*总览!$B$9</f>
        <v>50</v>
      </c>
      <c r="E58" s="15">
        <f>B58*总览!$B$10</f>
        <v>0</v>
      </c>
      <c r="F58" s="15">
        <f>SUMIFS(交易记录!$D$6:$D$605,交易记录!$A$6:$A$605,"&gt;="&amp;DATE(YEAR(A58),MONTH(A58),1),交易记录!$A$6:$A$605,"&lt;"&amp;DATE(YEAR(A58),MONTH(A58)+1,1),交易记录!$B$6:$B$605,"VOO",交易记录!$C$6:$C$605,"买入")+SUMIFS(交易记录!$E$6:$E$605,交易记录!$A$6:$A$605,"&gt;="&amp;DATE(YEAR(A58),MONTH(A58),1),交易记录!$A$6:$A$605,"&lt;"&amp;DATE(YEAR(A58),MONTH(A58)+1,1),交易记录!$B$6:$B$605,"VOO",交易记录!$C$6:$C$605,"买入")</f>
        <v>0</v>
      </c>
      <c r="G58" s="15">
        <f>SUMIFS(交易记录!$D$6:$D$605,交易记录!$A$6:$A$605,"&gt;="&amp;DATE(YEAR(A58),MONTH(A58),1),交易记录!$A$6:$A$605,"&lt;"&amp;DATE(YEAR(A58),MONTH(A58)+1,1),交易记录!$B$6:$B$605,"QQQM",交易记录!$C$6:$C$605,"买入")+SUMIFS(交易记录!$E$6:$E$605,交易记录!$A$6:$A$605,"&gt;="&amp;DATE(YEAR(A58),MONTH(A58),1),交易记录!$A$6:$A$605,"&lt;"&amp;DATE(YEAR(A58),MONTH(A58)+1,1),交易记录!$B$6:$B$605,"QQQM",交易记录!$C$6:$C$605,"买入")</f>
        <v>0</v>
      </c>
      <c r="H58" s="15">
        <f>SUMIFS(交易记录!$D$6:$D$605,交易记录!$A$6:$A$605,"&gt;="&amp;DATE(YEAR(A58),MONTH(A58),1),交易记录!$A$6:$A$605,"&lt;"&amp;DATE(YEAR(A58),MONTH(A58)+1,1),交易记录!$B$6:$B$605,"SMH",交易记录!$C$6:$C$605,"买入")+SUMIFS(交易记录!$E$6:$E$605,交易记录!$A$6:$A$605,"&gt;="&amp;DATE(YEAR(A58),MONTH(A58),1),交易记录!$A$6:$A$605,"&lt;"&amp;DATE(YEAR(A58),MONTH(A58)+1,1),交易记录!$B$6:$B$605,"SMH",交易记录!$C$6:$C$605,"买入")</f>
        <v>0</v>
      </c>
      <c r="I58" s="15">
        <f t="shared" si="3"/>
        <v>0</v>
      </c>
      <c r="J58" s="15" t="str">
        <f t="shared" si="4"/>
        <v/>
      </c>
      <c r="K58" s="19" t="str">
        <f t="shared" si="5"/>
        <v>尚未记录买入</v>
      </c>
    </row>
    <row r="59" spans="1:11" ht="21.75" customHeight="1">
      <c r="A59" s="29">
        <f>DATE(2031,3,总览!$E$4)</f>
        <v>47917</v>
      </c>
      <c r="B59" s="15">
        <f>回撤计划!J62</f>
        <v>500</v>
      </c>
      <c r="C59" s="15">
        <f>B59*总览!$B$8</f>
        <v>450</v>
      </c>
      <c r="D59" s="15">
        <f>B59*总览!$B$9</f>
        <v>50</v>
      </c>
      <c r="E59" s="15">
        <f>B59*总览!$B$10</f>
        <v>0</v>
      </c>
      <c r="F59" s="15">
        <f>SUMIFS(交易记录!$D$6:$D$605,交易记录!$A$6:$A$605,"&gt;="&amp;DATE(YEAR(A59),MONTH(A59),1),交易记录!$A$6:$A$605,"&lt;"&amp;DATE(YEAR(A59),MONTH(A59)+1,1),交易记录!$B$6:$B$605,"VOO",交易记录!$C$6:$C$605,"买入")+SUMIFS(交易记录!$E$6:$E$605,交易记录!$A$6:$A$605,"&gt;="&amp;DATE(YEAR(A59),MONTH(A59),1),交易记录!$A$6:$A$605,"&lt;"&amp;DATE(YEAR(A59),MONTH(A59)+1,1),交易记录!$B$6:$B$605,"VOO",交易记录!$C$6:$C$605,"买入")</f>
        <v>0</v>
      </c>
      <c r="G59" s="15">
        <f>SUMIFS(交易记录!$D$6:$D$605,交易记录!$A$6:$A$605,"&gt;="&amp;DATE(YEAR(A59),MONTH(A59),1),交易记录!$A$6:$A$605,"&lt;"&amp;DATE(YEAR(A59),MONTH(A59)+1,1),交易记录!$B$6:$B$605,"QQQM",交易记录!$C$6:$C$605,"买入")+SUMIFS(交易记录!$E$6:$E$605,交易记录!$A$6:$A$605,"&gt;="&amp;DATE(YEAR(A59),MONTH(A59),1),交易记录!$A$6:$A$605,"&lt;"&amp;DATE(YEAR(A59),MONTH(A59)+1,1),交易记录!$B$6:$B$605,"QQQM",交易记录!$C$6:$C$605,"买入")</f>
        <v>0</v>
      </c>
      <c r="H59" s="15">
        <f>SUMIFS(交易记录!$D$6:$D$605,交易记录!$A$6:$A$605,"&gt;="&amp;DATE(YEAR(A59),MONTH(A59),1),交易记录!$A$6:$A$605,"&lt;"&amp;DATE(YEAR(A59),MONTH(A59)+1,1),交易记录!$B$6:$B$605,"SMH",交易记录!$C$6:$C$605,"买入")+SUMIFS(交易记录!$E$6:$E$605,交易记录!$A$6:$A$605,"&gt;="&amp;DATE(YEAR(A59),MONTH(A59),1),交易记录!$A$6:$A$605,"&lt;"&amp;DATE(YEAR(A59),MONTH(A59)+1,1),交易记录!$B$6:$B$605,"SMH",交易记录!$C$6:$C$605,"买入")</f>
        <v>0</v>
      </c>
      <c r="I59" s="15">
        <f t="shared" si="3"/>
        <v>0</v>
      </c>
      <c r="J59" s="15" t="str">
        <f t="shared" si="4"/>
        <v/>
      </c>
      <c r="K59" s="19" t="str">
        <f t="shared" si="5"/>
        <v>尚未记录买入</v>
      </c>
    </row>
    <row r="60" spans="1:11" ht="21.75" customHeight="1">
      <c r="A60" s="29">
        <f>DATE(2031,4,总览!$E$4)</f>
        <v>47948</v>
      </c>
      <c r="B60" s="15">
        <f>回撤计划!J63</f>
        <v>500</v>
      </c>
      <c r="C60" s="15">
        <f>B60*总览!$B$8</f>
        <v>450</v>
      </c>
      <c r="D60" s="15">
        <f>B60*总览!$B$9</f>
        <v>50</v>
      </c>
      <c r="E60" s="15">
        <f>B60*总览!$B$10</f>
        <v>0</v>
      </c>
      <c r="F60" s="15">
        <f>SUMIFS(交易记录!$D$6:$D$605,交易记录!$A$6:$A$605,"&gt;="&amp;DATE(YEAR(A60),MONTH(A60),1),交易记录!$A$6:$A$605,"&lt;"&amp;DATE(YEAR(A60),MONTH(A60)+1,1),交易记录!$B$6:$B$605,"VOO",交易记录!$C$6:$C$605,"买入")+SUMIFS(交易记录!$E$6:$E$605,交易记录!$A$6:$A$605,"&gt;="&amp;DATE(YEAR(A60),MONTH(A60),1),交易记录!$A$6:$A$605,"&lt;"&amp;DATE(YEAR(A60),MONTH(A60)+1,1),交易记录!$B$6:$B$605,"VOO",交易记录!$C$6:$C$605,"买入")</f>
        <v>0</v>
      </c>
      <c r="G60" s="15">
        <f>SUMIFS(交易记录!$D$6:$D$605,交易记录!$A$6:$A$605,"&gt;="&amp;DATE(YEAR(A60),MONTH(A60),1),交易记录!$A$6:$A$605,"&lt;"&amp;DATE(YEAR(A60),MONTH(A60)+1,1),交易记录!$B$6:$B$605,"QQQM",交易记录!$C$6:$C$605,"买入")+SUMIFS(交易记录!$E$6:$E$605,交易记录!$A$6:$A$605,"&gt;="&amp;DATE(YEAR(A60),MONTH(A60),1),交易记录!$A$6:$A$605,"&lt;"&amp;DATE(YEAR(A60),MONTH(A60)+1,1),交易记录!$B$6:$B$605,"QQQM",交易记录!$C$6:$C$605,"买入")</f>
        <v>0</v>
      </c>
      <c r="H60" s="15">
        <f>SUMIFS(交易记录!$D$6:$D$605,交易记录!$A$6:$A$605,"&gt;="&amp;DATE(YEAR(A60),MONTH(A60),1),交易记录!$A$6:$A$605,"&lt;"&amp;DATE(YEAR(A60),MONTH(A60)+1,1),交易记录!$B$6:$B$605,"SMH",交易记录!$C$6:$C$605,"买入")+SUMIFS(交易记录!$E$6:$E$605,交易记录!$A$6:$A$605,"&gt;="&amp;DATE(YEAR(A60),MONTH(A60),1),交易记录!$A$6:$A$605,"&lt;"&amp;DATE(YEAR(A60),MONTH(A60)+1,1),交易记录!$B$6:$B$605,"SMH",交易记录!$C$6:$C$605,"买入")</f>
        <v>0</v>
      </c>
      <c r="I60" s="15">
        <f t="shared" si="3"/>
        <v>0</v>
      </c>
      <c r="J60" s="15" t="str">
        <f t="shared" si="4"/>
        <v/>
      </c>
      <c r="K60" s="19" t="str">
        <f t="shared" si="5"/>
        <v>尚未记录买入</v>
      </c>
    </row>
    <row r="61" spans="1:11" ht="21.75" customHeight="1">
      <c r="A61" s="29">
        <f>DATE(2031,5,总览!$E$4)</f>
        <v>47978</v>
      </c>
      <c r="B61" s="15">
        <f>回撤计划!J64</f>
        <v>500</v>
      </c>
      <c r="C61" s="15">
        <f>B61*总览!$B$8</f>
        <v>450</v>
      </c>
      <c r="D61" s="15">
        <f>B61*总览!$B$9</f>
        <v>50</v>
      </c>
      <c r="E61" s="15">
        <f>B61*总览!$B$10</f>
        <v>0</v>
      </c>
      <c r="F61" s="15">
        <f>SUMIFS(交易记录!$D$6:$D$605,交易记录!$A$6:$A$605,"&gt;="&amp;DATE(YEAR(A61),MONTH(A61),1),交易记录!$A$6:$A$605,"&lt;"&amp;DATE(YEAR(A61),MONTH(A61)+1,1),交易记录!$B$6:$B$605,"VOO",交易记录!$C$6:$C$605,"买入")+SUMIFS(交易记录!$E$6:$E$605,交易记录!$A$6:$A$605,"&gt;="&amp;DATE(YEAR(A61),MONTH(A61),1),交易记录!$A$6:$A$605,"&lt;"&amp;DATE(YEAR(A61),MONTH(A61)+1,1),交易记录!$B$6:$B$605,"VOO",交易记录!$C$6:$C$605,"买入")</f>
        <v>0</v>
      </c>
      <c r="G61" s="15">
        <f>SUMIFS(交易记录!$D$6:$D$605,交易记录!$A$6:$A$605,"&gt;="&amp;DATE(YEAR(A61),MONTH(A61),1),交易记录!$A$6:$A$605,"&lt;"&amp;DATE(YEAR(A61),MONTH(A61)+1,1),交易记录!$B$6:$B$605,"QQQM",交易记录!$C$6:$C$605,"买入")+SUMIFS(交易记录!$E$6:$E$605,交易记录!$A$6:$A$605,"&gt;="&amp;DATE(YEAR(A61),MONTH(A61),1),交易记录!$A$6:$A$605,"&lt;"&amp;DATE(YEAR(A61),MONTH(A61)+1,1),交易记录!$B$6:$B$605,"QQQM",交易记录!$C$6:$C$605,"买入")</f>
        <v>0</v>
      </c>
      <c r="H61" s="15">
        <f>SUMIFS(交易记录!$D$6:$D$605,交易记录!$A$6:$A$605,"&gt;="&amp;DATE(YEAR(A61),MONTH(A61),1),交易记录!$A$6:$A$605,"&lt;"&amp;DATE(YEAR(A61),MONTH(A61)+1,1),交易记录!$B$6:$B$605,"SMH",交易记录!$C$6:$C$605,"买入")+SUMIFS(交易记录!$E$6:$E$605,交易记录!$A$6:$A$605,"&gt;="&amp;DATE(YEAR(A61),MONTH(A61),1),交易记录!$A$6:$A$605,"&lt;"&amp;DATE(YEAR(A61),MONTH(A61)+1,1),交易记录!$B$6:$B$605,"SMH",交易记录!$C$6:$C$605,"买入")</f>
        <v>0</v>
      </c>
      <c r="I61" s="15">
        <f t="shared" si="3"/>
        <v>0</v>
      </c>
      <c r="J61" s="15" t="str">
        <f t="shared" si="4"/>
        <v/>
      </c>
      <c r="K61" s="19" t="str">
        <f t="shared" si="5"/>
        <v>尚未记录买入</v>
      </c>
    </row>
    <row r="62" spans="1:11" ht="21.75" customHeight="1">
      <c r="A62" s="29">
        <f>DATE(2031,6,总览!$E$4)</f>
        <v>48009</v>
      </c>
      <c r="B62" s="15">
        <f>回撤计划!J65</f>
        <v>500</v>
      </c>
      <c r="C62" s="15">
        <f>B62*总览!$B$8</f>
        <v>450</v>
      </c>
      <c r="D62" s="15">
        <f>B62*总览!$B$9</f>
        <v>50</v>
      </c>
      <c r="E62" s="15">
        <f>B62*总览!$B$10</f>
        <v>0</v>
      </c>
      <c r="F62" s="15">
        <f>SUMIFS(交易记录!$D$6:$D$605,交易记录!$A$6:$A$605,"&gt;="&amp;DATE(YEAR(A62),MONTH(A62),1),交易记录!$A$6:$A$605,"&lt;"&amp;DATE(YEAR(A62),MONTH(A62)+1,1),交易记录!$B$6:$B$605,"VOO",交易记录!$C$6:$C$605,"买入")+SUMIFS(交易记录!$E$6:$E$605,交易记录!$A$6:$A$605,"&gt;="&amp;DATE(YEAR(A62),MONTH(A62),1),交易记录!$A$6:$A$605,"&lt;"&amp;DATE(YEAR(A62),MONTH(A62)+1,1),交易记录!$B$6:$B$605,"VOO",交易记录!$C$6:$C$605,"买入")</f>
        <v>0</v>
      </c>
      <c r="G62" s="15">
        <f>SUMIFS(交易记录!$D$6:$D$605,交易记录!$A$6:$A$605,"&gt;="&amp;DATE(YEAR(A62),MONTH(A62),1),交易记录!$A$6:$A$605,"&lt;"&amp;DATE(YEAR(A62),MONTH(A62)+1,1),交易记录!$B$6:$B$605,"QQQM",交易记录!$C$6:$C$605,"买入")+SUMIFS(交易记录!$E$6:$E$605,交易记录!$A$6:$A$605,"&gt;="&amp;DATE(YEAR(A62),MONTH(A62),1),交易记录!$A$6:$A$605,"&lt;"&amp;DATE(YEAR(A62),MONTH(A62)+1,1),交易记录!$B$6:$B$605,"QQQM",交易记录!$C$6:$C$605,"买入")</f>
        <v>0</v>
      </c>
      <c r="H62" s="15">
        <f>SUMIFS(交易记录!$D$6:$D$605,交易记录!$A$6:$A$605,"&gt;="&amp;DATE(YEAR(A62),MONTH(A62),1),交易记录!$A$6:$A$605,"&lt;"&amp;DATE(YEAR(A62),MONTH(A62)+1,1),交易记录!$B$6:$B$605,"SMH",交易记录!$C$6:$C$605,"买入")+SUMIFS(交易记录!$E$6:$E$605,交易记录!$A$6:$A$605,"&gt;="&amp;DATE(YEAR(A62),MONTH(A62),1),交易记录!$A$6:$A$605,"&lt;"&amp;DATE(YEAR(A62),MONTH(A62)+1,1),交易记录!$B$6:$B$605,"SMH",交易记录!$C$6:$C$605,"买入")</f>
        <v>0</v>
      </c>
      <c r="I62" s="15">
        <f t="shared" si="3"/>
        <v>0</v>
      </c>
      <c r="J62" s="15" t="str">
        <f t="shared" si="4"/>
        <v/>
      </c>
      <c r="K62" s="19" t="str">
        <f t="shared" si="5"/>
        <v>尚未记录买入</v>
      </c>
    </row>
    <row r="63" spans="1:11" ht="21.75" customHeight="1">
      <c r="A63" s="29">
        <f>DATE(2031,7,总览!$E$4)</f>
        <v>48039</v>
      </c>
      <c r="B63" s="15">
        <f>回撤计划!J66</f>
        <v>500</v>
      </c>
      <c r="C63" s="15">
        <f>B63*总览!$B$8</f>
        <v>450</v>
      </c>
      <c r="D63" s="15">
        <f>B63*总览!$B$9</f>
        <v>50</v>
      </c>
      <c r="E63" s="15">
        <f>B63*总览!$B$10</f>
        <v>0</v>
      </c>
      <c r="F63" s="15">
        <f>SUMIFS(交易记录!$D$6:$D$605,交易记录!$A$6:$A$605,"&gt;="&amp;DATE(YEAR(A63),MONTH(A63),1),交易记录!$A$6:$A$605,"&lt;"&amp;DATE(YEAR(A63),MONTH(A63)+1,1),交易记录!$B$6:$B$605,"VOO",交易记录!$C$6:$C$605,"买入")+SUMIFS(交易记录!$E$6:$E$605,交易记录!$A$6:$A$605,"&gt;="&amp;DATE(YEAR(A63),MONTH(A63),1),交易记录!$A$6:$A$605,"&lt;"&amp;DATE(YEAR(A63),MONTH(A63)+1,1),交易记录!$B$6:$B$605,"VOO",交易记录!$C$6:$C$605,"买入")</f>
        <v>0</v>
      </c>
      <c r="G63" s="15">
        <f>SUMIFS(交易记录!$D$6:$D$605,交易记录!$A$6:$A$605,"&gt;="&amp;DATE(YEAR(A63),MONTH(A63),1),交易记录!$A$6:$A$605,"&lt;"&amp;DATE(YEAR(A63),MONTH(A63)+1,1),交易记录!$B$6:$B$605,"QQQM",交易记录!$C$6:$C$605,"买入")+SUMIFS(交易记录!$E$6:$E$605,交易记录!$A$6:$A$605,"&gt;="&amp;DATE(YEAR(A63),MONTH(A63),1),交易记录!$A$6:$A$605,"&lt;"&amp;DATE(YEAR(A63),MONTH(A63)+1,1),交易记录!$B$6:$B$605,"QQQM",交易记录!$C$6:$C$605,"买入")</f>
        <v>0</v>
      </c>
      <c r="H63" s="15">
        <f>SUMIFS(交易记录!$D$6:$D$605,交易记录!$A$6:$A$605,"&gt;="&amp;DATE(YEAR(A63),MONTH(A63),1),交易记录!$A$6:$A$605,"&lt;"&amp;DATE(YEAR(A63),MONTH(A63)+1,1),交易记录!$B$6:$B$605,"SMH",交易记录!$C$6:$C$605,"买入")+SUMIFS(交易记录!$E$6:$E$605,交易记录!$A$6:$A$605,"&gt;="&amp;DATE(YEAR(A63),MONTH(A63),1),交易记录!$A$6:$A$605,"&lt;"&amp;DATE(YEAR(A63),MONTH(A63)+1,1),交易记录!$B$6:$B$605,"SMH",交易记录!$C$6:$C$605,"买入")</f>
        <v>0</v>
      </c>
      <c r="I63" s="15">
        <f t="shared" si="3"/>
        <v>0</v>
      </c>
      <c r="J63" s="15" t="str">
        <f t="shared" si="4"/>
        <v/>
      </c>
      <c r="K63" s="19" t="str">
        <f t="shared" si="5"/>
        <v>尚未记录买入</v>
      </c>
    </row>
    <row r="64" spans="1:11" ht="21.75" customHeight="1">
      <c r="A64" s="29">
        <f>DATE(2031,8,总览!$E$4)</f>
        <v>48070</v>
      </c>
      <c r="B64" s="15">
        <f>回撤计划!J67</f>
        <v>500</v>
      </c>
      <c r="C64" s="15">
        <f>B64*总览!$B$8</f>
        <v>450</v>
      </c>
      <c r="D64" s="15">
        <f>B64*总览!$B$9</f>
        <v>50</v>
      </c>
      <c r="E64" s="15">
        <f>B64*总览!$B$10</f>
        <v>0</v>
      </c>
      <c r="F64" s="15">
        <f>SUMIFS(交易记录!$D$6:$D$605,交易记录!$A$6:$A$605,"&gt;="&amp;DATE(YEAR(A64),MONTH(A64),1),交易记录!$A$6:$A$605,"&lt;"&amp;DATE(YEAR(A64),MONTH(A64)+1,1),交易记录!$B$6:$B$605,"VOO",交易记录!$C$6:$C$605,"买入")+SUMIFS(交易记录!$E$6:$E$605,交易记录!$A$6:$A$605,"&gt;="&amp;DATE(YEAR(A64),MONTH(A64),1),交易记录!$A$6:$A$605,"&lt;"&amp;DATE(YEAR(A64),MONTH(A64)+1,1),交易记录!$B$6:$B$605,"VOO",交易记录!$C$6:$C$605,"买入")</f>
        <v>0</v>
      </c>
      <c r="G64" s="15">
        <f>SUMIFS(交易记录!$D$6:$D$605,交易记录!$A$6:$A$605,"&gt;="&amp;DATE(YEAR(A64),MONTH(A64),1),交易记录!$A$6:$A$605,"&lt;"&amp;DATE(YEAR(A64),MONTH(A64)+1,1),交易记录!$B$6:$B$605,"QQQM",交易记录!$C$6:$C$605,"买入")+SUMIFS(交易记录!$E$6:$E$605,交易记录!$A$6:$A$605,"&gt;="&amp;DATE(YEAR(A64),MONTH(A64),1),交易记录!$A$6:$A$605,"&lt;"&amp;DATE(YEAR(A64),MONTH(A64)+1,1),交易记录!$B$6:$B$605,"QQQM",交易记录!$C$6:$C$605,"买入")</f>
        <v>0</v>
      </c>
      <c r="H64" s="15">
        <f>SUMIFS(交易记录!$D$6:$D$605,交易记录!$A$6:$A$605,"&gt;="&amp;DATE(YEAR(A64),MONTH(A64),1),交易记录!$A$6:$A$605,"&lt;"&amp;DATE(YEAR(A64),MONTH(A64)+1,1),交易记录!$B$6:$B$605,"SMH",交易记录!$C$6:$C$605,"买入")+SUMIFS(交易记录!$E$6:$E$605,交易记录!$A$6:$A$605,"&gt;="&amp;DATE(YEAR(A64),MONTH(A64),1),交易记录!$A$6:$A$605,"&lt;"&amp;DATE(YEAR(A64),MONTH(A64)+1,1),交易记录!$B$6:$B$605,"SMH",交易记录!$C$6:$C$605,"买入")</f>
        <v>0</v>
      </c>
      <c r="I64" s="15">
        <f t="shared" si="3"/>
        <v>0</v>
      </c>
      <c r="J64" s="15" t="str">
        <f t="shared" si="4"/>
        <v/>
      </c>
      <c r="K64" s="19" t="str">
        <f t="shared" si="5"/>
        <v>尚未记录买入</v>
      </c>
    </row>
    <row r="65" spans="1:11" ht="21.75" customHeight="1">
      <c r="A65" s="29">
        <f>DATE(2031,9,总览!$E$4)</f>
        <v>48101</v>
      </c>
      <c r="B65" s="15">
        <f>回撤计划!J68</f>
        <v>500</v>
      </c>
      <c r="C65" s="15">
        <f>B65*总览!$B$8</f>
        <v>450</v>
      </c>
      <c r="D65" s="15">
        <f>B65*总览!$B$9</f>
        <v>50</v>
      </c>
      <c r="E65" s="15">
        <f>B65*总览!$B$10</f>
        <v>0</v>
      </c>
      <c r="F65" s="15">
        <f>SUMIFS(交易记录!$D$6:$D$605,交易记录!$A$6:$A$605,"&gt;="&amp;DATE(YEAR(A65),MONTH(A65),1),交易记录!$A$6:$A$605,"&lt;"&amp;DATE(YEAR(A65),MONTH(A65)+1,1),交易记录!$B$6:$B$605,"VOO",交易记录!$C$6:$C$605,"买入")+SUMIFS(交易记录!$E$6:$E$605,交易记录!$A$6:$A$605,"&gt;="&amp;DATE(YEAR(A65),MONTH(A65),1),交易记录!$A$6:$A$605,"&lt;"&amp;DATE(YEAR(A65),MONTH(A65)+1,1),交易记录!$B$6:$B$605,"VOO",交易记录!$C$6:$C$605,"买入")</f>
        <v>0</v>
      </c>
      <c r="G65" s="15">
        <f>SUMIFS(交易记录!$D$6:$D$605,交易记录!$A$6:$A$605,"&gt;="&amp;DATE(YEAR(A65),MONTH(A65),1),交易记录!$A$6:$A$605,"&lt;"&amp;DATE(YEAR(A65),MONTH(A65)+1,1),交易记录!$B$6:$B$605,"QQQM",交易记录!$C$6:$C$605,"买入")+SUMIFS(交易记录!$E$6:$E$605,交易记录!$A$6:$A$605,"&gt;="&amp;DATE(YEAR(A65),MONTH(A65),1),交易记录!$A$6:$A$605,"&lt;"&amp;DATE(YEAR(A65),MONTH(A65)+1,1),交易记录!$B$6:$B$605,"QQQM",交易记录!$C$6:$C$605,"买入")</f>
        <v>0</v>
      </c>
      <c r="H65" s="15">
        <f>SUMIFS(交易记录!$D$6:$D$605,交易记录!$A$6:$A$605,"&gt;="&amp;DATE(YEAR(A65),MONTH(A65),1),交易记录!$A$6:$A$605,"&lt;"&amp;DATE(YEAR(A65),MONTH(A65)+1,1),交易记录!$B$6:$B$605,"SMH",交易记录!$C$6:$C$605,"买入")+SUMIFS(交易记录!$E$6:$E$605,交易记录!$A$6:$A$605,"&gt;="&amp;DATE(YEAR(A65),MONTH(A65),1),交易记录!$A$6:$A$605,"&lt;"&amp;DATE(YEAR(A65),MONTH(A65)+1,1),交易记录!$B$6:$B$605,"SMH",交易记录!$C$6:$C$605,"买入")</f>
        <v>0</v>
      </c>
      <c r="I65" s="15">
        <f t="shared" si="3"/>
        <v>0</v>
      </c>
      <c r="J65" s="15" t="str">
        <f t="shared" si="4"/>
        <v/>
      </c>
      <c r="K65" s="19" t="str">
        <f t="shared" si="5"/>
        <v>尚未记录买入</v>
      </c>
    </row>
    <row r="66" spans="1:11" ht="21.75" customHeight="1">
      <c r="A66" s="29">
        <f>DATE(2031,10,总览!$E$4)</f>
        <v>48131</v>
      </c>
      <c r="B66" s="15">
        <f>回撤计划!J69</f>
        <v>500</v>
      </c>
      <c r="C66" s="15">
        <f>B66*总览!$B$8</f>
        <v>450</v>
      </c>
      <c r="D66" s="15">
        <f>B66*总览!$B$9</f>
        <v>50</v>
      </c>
      <c r="E66" s="15">
        <f>B66*总览!$B$10</f>
        <v>0</v>
      </c>
      <c r="F66" s="15">
        <f>SUMIFS(交易记录!$D$6:$D$605,交易记录!$A$6:$A$605,"&gt;="&amp;DATE(YEAR(A66),MONTH(A66),1),交易记录!$A$6:$A$605,"&lt;"&amp;DATE(YEAR(A66),MONTH(A66)+1,1),交易记录!$B$6:$B$605,"VOO",交易记录!$C$6:$C$605,"买入")+SUMIFS(交易记录!$E$6:$E$605,交易记录!$A$6:$A$605,"&gt;="&amp;DATE(YEAR(A66),MONTH(A66),1),交易记录!$A$6:$A$605,"&lt;"&amp;DATE(YEAR(A66),MONTH(A66)+1,1),交易记录!$B$6:$B$605,"VOO",交易记录!$C$6:$C$605,"买入")</f>
        <v>0</v>
      </c>
      <c r="G66" s="15">
        <f>SUMIFS(交易记录!$D$6:$D$605,交易记录!$A$6:$A$605,"&gt;="&amp;DATE(YEAR(A66),MONTH(A66),1),交易记录!$A$6:$A$605,"&lt;"&amp;DATE(YEAR(A66),MONTH(A66)+1,1),交易记录!$B$6:$B$605,"QQQM",交易记录!$C$6:$C$605,"买入")+SUMIFS(交易记录!$E$6:$E$605,交易记录!$A$6:$A$605,"&gt;="&amp;DATE(YEAR(A66),MONTH(A66),1),交易记录!$A$6:$A$605,"&lt;"&amp;DATE(YEAR(A66),MONTH(A66)+1,1),交易记录!$B$6:$B$605,"QQQM",交易记录!$C$6:$C$605,"买入")</f>
        <v>0</v>
      </c>
      <c r="H66" s="15">
        <f>SUMIFS(交易记录!$D$6:$D$605,交易记录!$A$6:$A$605,"&gt;="&amp;DATE(YEAR(A66),MONTH(A66),1),交易记录!$A$6:$A$605,"&lt;"&amp;DATE(YEAR(A66),MONTH(A66)+1,1),交易记录!$B$6:$B$605,"SMH",交易记录!$C$6:$C$605,"买入")+SUMIFS(交易记录!$E$6:$E$605,交易记录!$A$6:$A$605,"&gt;="&amp;DATE(YEAR(A66),MONTH(A66),1),交易记录!$A$6:$A$605,"&lt;"&amp;DATE(YEAR(A66),MONTH(A66)+1,1),交易记录!$B$6:$B$605,"SMH",交易记录!$C$6:$C$605,"买入")</f>
        <v>0</v>
      </c>
      <c r="I66" s="15">
        <f t="shared" si="3"/>
        <v>0</v>
      </c>
      <c r="J66" s="15" t="str">
        <f t="shared" si="4"/>
        <v/>
      </c>
      <c r="K66" s="19" t="str">
        <f t="shared" si="5"/>
        <v>尚未记录买入</v>
      </c>
    </row>
    <row r="67" spans="1:11" ht="21.75" customHeight="1">
      <c r="A67" s="29">
        <f>DATE(2031,11,总览!$E$4)</f>
        <v>48162</v>
      </c>
      <c r="B67" s="15">
        <f>回撤计划!J70</f>
        <v>500</v>
      </c>
      <c r="C67" s="15">
        <f>B67*总览!$B$8</f>
        <v>450</v>
      </c>
      <c r="D67" s="15">
        <f>B67*总览!$B$9</f>
        <v>50</v>
      </c>
      <c r="E67" s="15">
        <f>B67*总览!$B$10</f>
        <v>0</v>
      </c>
      <c r="F67" s="15">
        <f>SUMIFS(交易记录!$D$6:$D$605,交易记录!$A$6:$A$605,"&gt;="&amp;DATE(YEAR(A67),MONTH(A67),1),交易记录!$A$6:$A$605,"&lt;"&amp;DATE(YEAR(A67),MONTH(A67)+1,1),交易记录!$B$6:$B$605,"VOO",交易记录!$C$6:$C$605,"买入")+SUMIFS(交易记录!$E$6:$E$605,交易记录!$A$6:$A$605,"&gt;="&amp;DATE(YEAR(A67),MONTH(A67),1),交易记录!$A$6:$A$605,"&lt;"&amp;DATE(YEAR(A67),MONTH(A67)+1,1),交易记录!$B$6:$B$605,"VOO",交易记录!$C$6:$C$605,"买入")</f>
        <v>0</v>
      </c>
      <c r="G67" s="15">
        <f>SUMIFS(交易记录!$D$6:$D$605,交易记录!$A$6:$A$605,"&gt;="&amp;DATE(YEAR(A67),MONTH(A67),1),交易记录!$A$6:$A$605,"&lt;"&amp;DATE(YEAR(A67),MONTH(A67)+1,1),交易记录!$B$6:$B$605,"QQQM",交易记录!$C$6:$C$605,"买入")+SUMIFS(交易记录!$E$6:$E$605,交易记录!$A$6:$A$605,"&gt;="&amp;DATE(YEAR(A67),MONTH(A67),1),交易记录!$A$6:$A$605,"&lt;"&amp;DATE(YEAR(A67),MONTH(A67)+1,1),交易记录!$B$6:$B$605,"QQQM",交易记录!$C$6:$C$605,"买入")</f>
        <v>0</v>
      </c>
      <c r="H67" s="15">
        <f>SUMIFS(交易记录!$D$6:$D$605,交易记录!$A$6:$A$605,"&gt;="&amp;DATE(YEAR(A67),MONTH(A67),1),交易记录!$A$6:$A$605,"&lt;"&amp;DATE(YEAR(A67),MONTH(A67)+1,1),交易记录!$B$6:$B$605,"SMH",交易记录!$C$6:$C$605,"买入")+SUMIFS(交易记录!$E$6:$E$605,交易记录!$A$6:$A$605,"&gt;="&amp;DATE(YEAR(A67),MONTH(A67),1),交易记录!$A$6:$A$605,"&lt;"&amp;DATE(YEAR(A67),MONTH(A67)+1,1),交易记录!$B$6:$B$605,"SMH",交易记录!$C$6:$C$605,"买入")</f>
        <v>0</v>
      </c>
      <c r="I67" s="15">
        <f t="shared" si="3"/>
        <v>0</v>
      </c>
      <c r="J67" s="15" t="str">
        <f t="shared" si="4"/>
        <v/>
      </c>
      <c r="K67" s="19" t="str">
        <f t="shared" si="5"/>
        <v>尚未记录买入</v>
      </c>
    </row>
    <row r="68" spans="1:11" ht="21.75" customHeight="1">
      <c r="A68" s="29">
        <f>DATE(2031,12,总览!$E$4)</f>
        <v>48192</v>
      </c>
      <c r="B68" s="15">
        <f>回撤计划!J71</f>
        <v>500</v>
      </c>
      <c r="C68" s="15">
        <f>B68*总览!$B$8</f>
        <v>450</v>
      </c>
      <c r="D68" s="15">
        <f>B68*总览!$B$9</f>
        <v>50</v>
      </c>
      <c r="E68" s="15">
        <f>B68*总览!$B$10</f>
        <v>0</v>
      </c>
      <c r="F68" s="15">
        <f>SUMIFS(交易记录!$D$6:$D$605,交易记录!$A$6:$A$605,"&gt;="&amp;DATE(YEAR(A68),MONTH(A68),1),交易记录!$A$6:$A$605,"&lt;"&amp;DATE(YEAR(A68),MONTH(A68)+1,1),交易记录!$B$6:$B$605,"VOO",交易记录!$C$6:$C$605,"买入")+SUMIFS(交易记录!$E$6:$E$605,交易记录!$A$6:$A$605,"&gt;="&amp;DATE(YEAR(A68),MONTH(A68),1),交易记录!$A$6:$A$605,"&lt;"&amp;DATE(YEAR(A68),MONTH(A68)+1,1),交易记录!$B$6:$B$605,"VOO",交易记录!$C$6:$C$605,"买入")</f>
        <v>0</v>
      </c>
      <c r="G68" s="15">
        <f>SUMIFS(交易记录!$D$6:$D$605,交易记录!$A$6:$A$605,"&gt;="&amp;DATE(YEAR(A68),MONTH(A68),1),交易记录!$A$6:$A$605,"&lt;"&amp;DATE(YEAR(A68),MONTH(A68)+1,1),交易记录!$B$6:$B$605,"QQQM",交易记录!$C$6:$C$605,"买入")+SUMIFS(交易记录!$E$6:$E$605,交易记录!$A$6:$A$605,"&gt;="&amp;DATE(YEAR(A68),MONTH(A68),1),交易记录!$A$6:$A$605,"&lt;"&amp;DATE(YEAR(A68),MONTH(A68)+1,1),交易记录!$B$6:$B$605,"QQQM",交易记录!$C$6:$C$605,"买入")</f>
        <v>0</v>
      </c>
      <c r="H68" s="15">
        <f>SUMIFS(交易记录!$D$6:$D$605,交易记录!$A$6:$A$605,"&gt;="&amp;DATE(YEAR(A68),MONTH(A68),1),交易记录!$A$6:$A$605,"&lt;"&amp;DATE(YEAR(A68),MONTH(A68)+1,1),交易记录!$B$6:$B$605,"SMH",交易记录!$C$6:$C$605,"买入")+SUMIFS(交易记录!$E$6:$E$605,交易记录!$A$6:$A$605,"&gt;="&amp;DATE(YEAR(A68),MONTH(A68),1),交易记录!$A$6:$A$605,"&lt;"&amp;DATE(YEAR(A68),MONTH(A68)+1,1),交易记录!$B$6:$B$605,"SMH",交易记录!$C$6:$C$605,"买入")</f>
        <v>0</v>
      </c>
      <c r="I68" s="15">
        <f t="shared" si="3"/>
        <v>0</v>
      </c>
      <c r="J68" s="15" t="str">
        <f t="shared" si="4"/>
        <v/>
      </c>
      <c r="K68" s="19" t="str">
        <f t="shared" si="5"/>
        <v>尚未记录买入</v>
      </c>
    </row>
    <row r="69" spans="1:11" ht="21.75" customHeight="1">
      <c r="A69" s="29">
        <f>DATE(2032,1,总览!$E$4)</f>
        <v>48223</v>
      </c>
      <c r="B69" s="15">
        <f>回撤计划!J72</f>
        <v>500</v>
      </c>
      <c r="C69" s="15">
        <f>B69*总览!$B$8</f>
        <v>450</v>
      </c>
      <c r="D69" s="15">
        <f>B69*总览!$B$9</f>
        <v>50</v>
      </c>
      <c r="E69" s="15">
        <f>B69*总览!$B$10</f>
        <v>0</v>
      </c>
      <c r="F69" s="15">
        <f>SUMIFS(交易记录!$D$6:$D$605,交易记录!$A$6:$A$605,"&gt;="&amp;DATE(YEAR(A69),MONTH(A69),1),交易记录!$A$6:$A$605,"&lt;"&amp;DATE(YEAR(A69),MONTH(A69)+1,1),交易记录!$B$6:$B$605,"VOO",交易记录!$C$6:$C$605,"买入")+SUMIFS(交易记录!$E$6:$E$605,交易记录!$A$6:$A$605,"&gt;="&amp;DATE(YEAR(A69),MONTH(A69),1),交易记录!$A$6:$A$605,"&lt;"&amp;DATE(YEAR(A69),MONTH(A69)+1,1),交易记录!$B$6:$B$605,"VOO",交易记录!$C$6:$C$605,"买入")</f>
        <v>0</v>
      </c>
      <c r="G69" s="15">
        <f>SUMIFS(交易记录!$D$6:$D$605,交易记录!$A$6:$A$605,"&gt;="&amp;DATE(YEAR(A69),MONTH(A69),1),交易记录!$A$6:$A$605,"&lt;"&amp;DATE(YEAR(A69),MONTH(A69)+1,1),交易记录!$B$6:$B$605,"QQQM",交易记录!$C$6:$C$605,"买入")+SUMIFS(交易记录!$E$6:$E$605,交易记录!$A$6:$A$605,"&gt;="&amp;DATE(YEAR(A69),MONTH(A69),1),交易记录!$A$6:$A$605,"&lt;"&amp;DATE(YEAR(A69),MONTH(A69)+1,1),交易记录!$B$6:$B$605,"QQQM",交易记录!$C$6:$C$605,"买入")</f>
        <v>0</v>
      </c>
      <c r="H69" s="15">
        <f>SUMIFS(交易记录!$D$6:$D$605,交易记录!$A$6:$A$605,"&gt;="&amp;DATE(YEAR(A69),MONTH(A69),1),交易记录!$A$6:$A$605,"&lt;"&amp;DATE(YEAR(A69),MONTH(A69)+1,1),交易记录!$B$6:$B$605,"SMH",交易记录!$C$6:$C$605,"买入")+SUMIFS(交易记录!$E$6:$E$605,交易记录!$A$6:$A$605,"&gt;="&amp;DATE(YEAR(A69),MONTH(A69),1),交易记录!$A$6:$A$605,"&lt;"&amp;DATE(YEAR(A69),MONTH(A69)+1,1),交易记录!$B$6:$B$605,"SMH",交易记录!$C$6:$C$605,"买入")</f>
        <v>0</v>
      </c>
      <c r="I69" s="15">
        <f t="shared" si="3"/>
        <v>0</v>
      </c>
      <c r="J69" s="15" t="str">
        <f t="shared" si="4"/>
        <v/>
      </c>
      <c r="K69" s="19" t="str">
        <f t="shared" si="5"/>
        <v>尚未记录买入</v>
      </c>
    </row>
    <row r="70" spans="1:11" ht="21.75" customHeight="1">
      <c r="A70" s="29">
        <f>DATE(2032,2,总览!$E$4)</f>
        <v>48254</v>
      </c>
      <c r="B70" s="15">
        <f>回撤计划!J73</f>
        <v>500</v>
      </c>
      <c r="C70" s="15">
        <f>B70*总览!$B$8</f>
        <v>450</v>
      </c>
      <c r="D70" s="15">
        <f>B70*总览!$B$9</f>
        <v>50</v>
      </c>
      <c r="E70" s="15">
        <f>B70*总览!$B$10</f>
        <v>0</v>
      </c>
      <c r="F70" s="15">
        <f>SUMIFS(交易记录!$D$6:$D$605,交易记录!$A$6:$A$605,"&gt;="&amp;DATE(YEAR(A70),MONTH(A70),1),交易记录!$A$6:$A$605,"&lt;"&amp;DATE(YEAR(A70),MONTH(A70)+1,1),交易记录!$B$6:$B$605,"VOO",交易记录!$C$6:$C$605,"买入")+SUMIFS(交易记录!$E$6:$E$605,交易记录!$A$6:$A$605,"&gt;="&amp;DATE(YEAR(A70),MONTH(A70),1),交易记录!$A$6:$A$605,"&lt;"&amp;DATE(YEAR(A70),MONTH(A70)+1,1),交易记录!$B$6:$B$605,"VOO",交易记录!$C$6:$C$605,"买入")</f>
        <v>0</v>
      </c>
      <c r="G70" s="15">
        <f>SUMIFS(交易记录!$D$6:$D$605,交易记录!$A$6:$A$605,"&gt;="&amp;DATE(YEAR(A70),MONTH(A70),1),交易记录!$A$6:$A$605,"&lt;"&amp;DATE(YEAR(A70),MONTH(A70)+1,1),交易记录!$B$6:$B$605,"QQQM",交易记录!$C$6:$C$605,"买入")+SUMIFS(交易记录!$E$6:$E$605,交易记录!$A$6:$A$605,"&gt;="&amp;DATE(YEAR(A70),MONTH(A70),1),交易记录!$A$6:$A$605,"&lt;"&amp;DATE(YEAR(A70),MONTH(A70)+1,1),交易记录!$B$6:$B$605,"QQQM",交易记录!$C$6:$C$605,"买入")</f>
        <v>0</v>
      </c>
      <c r="H70" s="15">
        <f>SUMIFS(交易记录!$D$6:$D$605,交易记录!$A$6:$A$605,"&gt;="&amp;DATE(YEAR(A70),MONTH(A70),1),交易记录!$A$6:$A$605,"&lt;"&amp;DATE(YEAR(A70),MONTH(A70)+1,1),交易记录!$B$6:$B$605,"SMH",交易记录!$C$6:$C$605,"买入")+SUMIFS(交易记录!$E$6:$E$605,交易记录!$A$6:$A$605,"&gt;="&amp;DATE(YEAR(A70),MONTH(A70),1),交易记录!$A$6:$A$605,"&lt;"&amp;DATE(YEAR(A70),MONTH(A70)+1,1),交易记录!$B$6:$B$605,"SMH",交易记录!$C$6:$C$605,"买入")</f>
        <v>0</v>
      </c>
      <c r="I70" s="15">
        <f t="shared" ref="I70:I101" si="6">SUM(F70:H70)</f>
        <v>0</v>
      </c>
      <c r="J70" s="15" t="str">
        <f t="shared" ref="J70:J101" si="7">IF(I70=0,"",I70-B70)</f>
        <v/>
      </c>
      <c r="K70" s="19" t="str">
        <f t="shared" ref="K70:K101" si="8">IF(I70=0,"尚未记录买入",IF(ABS(J70)&lt;0.01,"已记录预算金额","已记录，金额有差额"))</f>
        <v>尚未记录买入</v>
      </c>
    </row>
    <row r="71" spans="1:11" ht="21.75" customHeight="1">
      <c r="A71" s="29">
        <f>DATE(2032,3,总览!$E$4)</f>
        <v>48283</v>
      </c>
      <c r="B71" s="15">
        <f>回撤计划!J74</f>
        <v>500</v>
      </c>
      <c r="C71" s="15">
        <f>B71*总览!$B$8</f>
        <v>450</v>
      </c>
      <c r="D71" s="15">
        <f>B71*总览!$B$9</f>
        <v>50</v>
      </c>
      <c r="E71" s="15">
        <f>B71*总览!$B$10</f>
        <v>0</v>
      </c>
      <c r="F71" s="15">
        <f>SUMIFS(交易记录!$D$6:$D$605,交易记录!$A$6:$A$605,"&gt;="&amp;DATE(YEAR(A71),MONTH(A71),1),交易记录!$A$6:$A$605,"&lt;"&amp;DATE(YEAR(A71),MONTH(A71)+1,1),交易记录!$B$6:$B$605,"VOO",交易记录!$C$6:$C$605,"买入")+SUMIFS(交易记录!$E$6:$E$605,交易记录!$A$6:$A$605,"&gt;="&amp;DATE(YEAR(A71),MONTH(A71),1),交易记录!$A$6:$A$605,"&lt;"&amp;DATE(YEAR(A71),MONTH(A71)+1,1),交易记录!$B$6:$B$605,"VOO",交易记录!$C$6:$C$605,"买入")</f>
        <v>0</v>
      </c>
      <c r="G71" s="15">
        <f>SUMIFS(交易记录!$D$6:$D$605,交易记录!$A$6:$A$605,"&gt;="&amp;DATE(YEAR(A71),MONTH(A71),1),交易记录!$A$6:$A$605,"&lt;"&amp;DATE(YEAR(A71),MONTH(A71)+1,1),交易记录!$B$6:$B$605,"QQQM",交易记录!$C$6:$C$605,"买入")+SUMIFS(交易记录!$E$6:$E$605,交易记录!$A$6:$A$605,"&gt;="&amp;DATE(YEAR(A71),MONTH(A71),1),交易记录!$A$6:$A$605,"&lt;"&amp;DATE(YEAR(A71),MONTH(A71)+1,1),交易记录!$B$6:$B$605,"QQQM",交易记录!$C$6:$C$605,"买入")</f>
        <v>0</v>
      </c>
      <c r="H71" s="15">
        <f>SUMIFS(交易记录!$D$6:$D$605,交易记录!$A$6:$A$605,"&gt;="&amp;DATE(YEAR(A71),MONTH(A71),1),交易记录!$A$6:$A$605,"&lt;"&amp;DATE(YEAR(A71),MONTH(A71)+1,1),交易记录!$B$6:$B$605,"SMH",交易记录!$C$6:$C$605,"买入")+SUMIFS(交易记录!$E$6:$E$605,交易记录!$A$6:$A$605,"&gt;="&amp;DATE(YEAR(A71),MONTH(A71),1),交易记录!$A$6:$A$605,"&lt;"&amp;DATE(YEAR(A71),MONTH(A71)+1,1),交易记录!$B$6:$B$605,"SMH",交易记录!$C$6:$C$605,"买入")</f>
        <v>0</v>
      </c>
      <c r="I71" s="15">
        <f t="shared" si="6"/>
        <v>0</v>
      </c>
      <c r="J71" s="15" t="str">
        <f t="shared" si="7"/>
        <v/>
      </c>
      <c r="K71" s="19" t="str">
        <f t="shared" si="8"/>
        <v>尚未记录买入</v>
      </c>
    </row>
    <row r="72" spans="1:11" ht="21.75" customHeight="1">
      <c r="A72" s="29">
        <f>DATE(2032,4,总览!$E$4)</f>
        <v>48314</v>
      </c>
      <c r="B72" s="15">
        <f>回撤计划!J75</f>
        <v>500</v>
      </c>
      <c r="C72" s="15">
        <f>B72*总览!$B$8</f>
        <v>450</v>
      </c>
      <c r="D72" s="15">
        <f>B72*总览!$B$9</f>
        <v>50</v>
      </c>
      <c r="E72" s="15">
        <f>B72*总览!$B$10</f>
        <v>0</v>
      </c>
      <c r="F72" s="15">
        <f>SUMIFS(交易记录!$D$6:$D$605,交易记录!$A$6:$A$605,"&gt;="&amp;DATE(YEAR(A72),MONTH(A72),1),交易记录!$A$6:$A$605,"&lt;"&amp;DATE(YEAR(A72),MONTH(A72)+1,1),交易记录!$B$6:$B$605,"VOO",交易记录!$C$6:$C$605,"买入")+SUMIFS(交易记录!$E$6:$E$605,交易记录!$A$6:$A$605,"&gt;="&amp;DATE(YEAR(A72),MONTH(A72),1),交易记录!$A$6:$A$605,"&lt;"&amp;DATE(YEAR(A72),MONTH(A72)+1,1),交易记录!$B$6:$B$605,"VOO",交易记录!$C$6:$C$605,"买入")</f>
        <v>0</v>
      </c>
      <c r="G72" s="15">
        <f>SUMIFS(交易记录!$D$6:$D$605,交易记录!$A$6:$A$605,"&gt;="&amp;DATE(YEAR(A72),MONTH(A72),1),交易记录!$A$6:$A$605,"&lt;"&amp;DATE(YEAR(A72),MONTH(A72)+1,1),交易记录!$B$6:$B$605,"QQQM",交易记录!$C$6:$C$605,"买入")+SUMIFS(交易记录!$E$6:$E$605,交易记录!$A$6:$A$605,"&gt;="&amp;DATE(YEAR(A72),MONTH(A72),1),交易记录!$A$6:$A$605,"&lt;"&amp;DATE(YEAR(A72),MONTH(A72)+1,1),交易记录!$B$6:$B$605,"QQQM",交易记录!$C$6:$C$605,"买入")</f>
        <v>0</v>
      </c>
      <c r="H72" s="15">
        <f>SUMIFS(交易记录!$D$6:$D$605,交易记录!$A$6:$A$605,"&gt;="&amp;DATE(YEAR(A72),MONTH(A72),1),交易记录!$A$6:$A$605,"&lt;"&amp;DATE(YEAR(A72),MONTH(A72)+1,1),交易记录!$B$6:$B$605,"SMH",交易记录!$C$6:$C$605,"买入")+SUMIFS(交易记录!$E$6:$E$605,交易记录!$A$6:$A$605,"&gt;="&amp;DATE(YEAR(A72),MONTH(A72),1),交易记录!$A$6:$A$605,"&lt;"&amp;DATE(YEAR(A72),MONTH(A72)+1,1),交易记录!$B$6:$B$605,"SMH",交易记录!$C$6:$C$605,"买入")</f>
        <v>0</v>
      </c>
      <c r="I72" s="15">
        <f t="shared" si="6"/>
        <v>0</v>
      </c>
      <c r="J72" s="15" t="str">
        <f t="shared" si="7"/>
        <v/>
      </c>
      <c r="K72" s="19" t="str">
        <f t="shared" si="8"/>
        <v>尚未记录买入</v>
      </c>
    </row>
    <row r="73" spans="1:11" ht="21.75" customHeight="1">
      <c r="A73" s="29">
        <f>DATE(2032,5,总览!$E$4)</f>
        <v>48344</v>
      </c>
      <c r="B73" s="15">
        <f>回撤计划!J76</f>
        <v>500</v>
      </c>
      <c r="C73" s="15">
        <f>B73*总览!$B$8</f>
        <v>450</v>
      </c>
      <c r="D73" s="15">
        <f>B73*总览!$B$9</f>
        <v>50</v>
      </c>
      <c r="E73" s="15">
        <f>B73*总览!$B$10</f>
        <v>0</v>
      </c>
      <c r="F73" s="15">
        <f>SUMIFS(交易记录!$D$6:$D$605,交易记录!$A$6:$A$605,"&gt;="&amp;DATE(YEAR(A73),MONTH(A73),1),交易记录!$A$6:$A$605,"&lt;"&amp;DATE(YEAR(A73),MONTH(A73)+1,1),交易记录!$B$6:$B$605,"VOO",交易记录!$C$6:$C$605,"买入")+SUMIFS(交易记录!$E$6:$E$605,交易记录!$A$6:$A$605,"&gt;="&amp;DATE(YEAR(A73),MONTH(A73),1),交易记录!$A$6:$A$605,"&lt;"&amp;DATE(YEAR(A73),MONTH(A73)+1,1),交易记录!$B$6:$B$605,"VOO",交易记录!$C$6:$C$605,"买入")</f>
        <v>0</v>
      </c>
      <c r="G73" s="15">
        <f>SUMIFS(交易记录!$D$6:$D$605,交易记录!$A$6:$A$605,"&gt;="&amp;DATE(YEAR(A73),MONTH(A73),1),交易记录!$A$6:$A$605,"&lt;"&amp;DATE(YEAR(A73),MONTH(A73)+1,1),交易记录!$B$6:$B$605,"QQQM",交易记录!$C$6:$C$605,"买入")+SUMIFS(交易记录!$E$6:$E$605,交易记录!$A$6:$A$605,"&gt;="&amp;DATE(YEAR(A73),MONTH(A73),1),交易记录!$A$6:$A$605,"&lt;"&amp;DATE(YEAR(A73),MONTH(A73)+1,1),交易记录!$B$6:$B$605,"QQQM",交易记录!$C$6:$C$605,"买入")</f>
        <v>0</v>
      </c>
      <c r="H73" s="15">
        <f>SUMIFS(交易记录!$D$6:$D$605,交易记录!$A$6:$A$605,"&gt;="&amp;DATE(YEAR(A73),MONTH(A73),1),交易记录!$A$6:$A$605,"&lt;"&amp;DATE(YEAR(A73),MONTH(A73)+1,1),交易记录!$B$6:$B$605,"SMH",交易记录!$C$6:$C$605,"买入")+SUMIFS(交易记录!$E$6:$E$605,交易记录!$A$6:$A$605,"&gt;="&amp;DATE(YEAR(A73),MONTH(A73),1),交易记录!$A$6:$A$605,"&lt;"&amp;DATE(YEAR(A73),MONTH(A73)+1,1),交易记录!$B$6:$B$605,"SMH",交易记录!$C$6:$C$605,"买入")</f>
        <v>0</v>
      </c>
      <c r="I73" s="15">
        <f t="shared" si="6"/>
        <v>0</v>
      </c>
      <c r="J73" s="15" t="str">
        <f t="shared" si="7"/>
        <v/>
      </c>
      <c r="K73" s="19" t="str">
        <f t="shared" si="8"/>
        <v>尚未记录买入</v>
      </c>
    </row>
    <row r="74" spans="1:11" ht="21.75" customHeight="1">
      <c r="A74" s="29">
        <f>DATE(2032,6,总览!$E$4)</f>
        <v>48375</v>
      </c>
      <c r="B74" s="15">
        <f>回撤计划!J77</f>
        <v>500</v>
      </c>
      <c r="C74" s="15">
        <f>B74*总览!$B$8</f>
        <v>450</v>
      </c>
      <c r="D74" s="15">
        <f>B74*总览!$B$9</f>
        <v>50</v>
      </c>
      <c r="E74" s="15">
        <f>B74*总览!$B$10</f>
        <v>0</v>
      </c>
      <c r="F74" s="15">
        <f>SUMIFS(交易记录!$D$6:$D$605,交易记录!$A$6:$A$605,"&gt;="&amp;DATE(YEAR(A74),MONTH(A74),1),交易记录!$A$6:$A$605,"&lt;"&amp;DATE(YEAR(A74),MONTH(A74)+1,1),交易记录!$B$6:$B$605,"VOO",交易记录!$C$6:$C$605,"买入")+SUMIFS(交易记录!$E$6:$E$605,交易记录!$A$6:$A$605,"&gt;="&amp;DATE(YEAR(A74),MONTH(A74),1),交易记录!$A$6:$A$605,"&lt;"&amp;DATE(YEAR(A74),MONTH(A74)+1,1),交易记录!$B$6:$B$605,"VOO",交易记录!$C$6:$C$605,"买入")</f>
        <v>0</v>
      </c>
      <c r="G74" s="15">
        <f>SUMIFS(交易记录!$D$6:$D$605,交易记录!$A$6:$A$605,"&gt;="&amp;DATE(YEAR(A74),MONTH(A74),1),交易记录!$A$6:$A$605,"&lt;"&amp;DATE(YEAR(A74),MONTH(A74)+1,1),交易记录!$B$6:$B$605,"QQQM",交易记录!$C$6:$C$605,"买入")+SUMIFS(交易记录!$E$6:$E$605,交易记录!$A$6:$A$605,"&gt;="&amp;DATE(YEAR(A74),MONTH(A74),1),交易记录!$A$6:$A$605,"&lt;"&amp;DATE(YEAR(A74),MONTH(A74)+1,1),交易记录!$B$6:$B$605,"QQQM",交易记录!$C$6:$C$605,"买入")</f>
        <v>0</v>
      </c>
      <c r="H74" s="15">
        <f>SUMIFS(交易记录!$D$6:$D$605,交易记录!$A$6:$A$605,"&gt;="&amp;DATE(YEAR(A74),MONTH(A74),1),交易记录!$A$6:$A$605,"&lt;"&amp;DATE(YEAR(A74),MONTH(A74)+1,1),交易记录!$B$6:$B$605,"SMH",交易记录!$C$6:$C$605,"买入")+SUMIFS(交易记录!$E$6:$E$605,交易记录!$A$6:$A$605,"&gt;="&amp;DATE(YEAR(A74),MONTH(A74),1),交易记录!$A$6:$A$605,"&lt;"&amp;DATE(YEAR(A74),MONTH(A74)+1,1),交易记录!$B$6:$B$605,"SMH",交易记录!$C$6:$C$605,"买入")</f>
        <v>0</v>
      </c>
      <c r="I74" s="15">
        <f t="shared" si="6"/>
        <v>0</v>
      </c>
      <c r="J74" s="15" t="str">
        <f t="shared" si="7"/>
        <v/>
      </c>
      <c r="K74" s="19" t="str">
        <f t="shared" si="8"/>
        <v>尚未记录买入</v>
      </c>
    </row>
    <row r="75" spans="1:11" ht="21.75" customHeight="1">
      <c r="A75" s="29">
        <f>DATE(2032,7,总览!$E$4)</f>
        <v>48405</v>
      </c>
      <c r="B75" s="15">
        <f>回撤计划!J78</f>
        <v>500</v>
      </c>
      <c r="C75" s="15">
        <f>B75*总览!$B$8</f>
        <v>450</v>
      </c>
      <c r="D75" s="15">
        <f>B75*总览!$B$9</f>
        <v>50</v>
      </c>
      <c r="E75" s="15">
        <f>B75*总览!$B$10</f>
        <v>0</v>
      </c>
      <c r="F75" s="15">
        <f>SUMIFS(交易记录!$D$6:$D$605,交易记录!$A$6:$A$605,"&gt;="&amp;DATE(YEAR(A75),MONTH(A75),1),交易记录!$A$6:$A$605,"&lt;"&amp;DATE(YEAR(A75),MONTH(A75)+1,1),交易记录!$B$6:$B$605,"VOO",交易记录!$C$6:$C$605,"买入")+SUMIFS(交易记录!$E$6:$E$605,交易记录!$A$6:$A$605,"&gt;="&amp;DATE(YEAR(A75),MONTH(A75),1),交易记录!$A$6:$A$605,"&lt;"&amp;DATE(YEAR(A75),MONTH(A75)+1,1),交易记录!$B$6:$B$605,"VOO",交易记录!$C$6:$C$605,"买入")</f>
        <v>0</v>
      </c>
      <c r="G75" s="15">
        <f>SUMIFS(交易记录!$D$6:$D$605,交易记录!$A$6:$A$605,"&gt;="&amp;DATE(YEAR(A75),MONTH(A75),1),交易记录!$A$6:$A$605,"&lt;"&amp;DATE(YEAR(A75),MONTH(A75)+1,1),交易记录!$B$6:$B$605,"QQQM",交易记录!$C$6:$C$605,"买入")+SUMIFS(交易记录!$E$6:$E$605,交易记录!$A$6:$A$605,"&gt;="&amp;DATE(YEAR(A75),MONTH(A75),1),交易记录!$A$6:$A$605,"&lt;"&amp;DATE(YEAR(A75),MONTH(A75)+1,1),交易记录!$B$6:$B$605,"QQQM",交易记录!$C$6:$C$605,"买入")</f>
        <v>0</v>
      </c>
      <c r="H75" s="15">
        <f>SUMIFS(交易记录!$D$6:$D$605,交易记录!$A$6:$A$605,"&gt;="&amp;DATE(YEAR(A75),MONTH(A75),1),交易记录!$A$6:$A$605,"&lt;"&amp;DATE(YEAR(A75),MONTH(A75)+1,1),交易记录!$B$6:$B$605,"SMH",交易记录!$C$6:$C$605,"买入")+SUMIFS(交易记录!$E$6:$E$605,交易记录!$A$6:$A$605,"&gt;="&amp;DATE(YEAR(A75),MONTH(A75),1),交易记录!$A$6:$A$605,"&lt;"&amp;DATE(YEAR(A75),MONTH(A75)+1,1),交易记录!$B$6:$B$605,"SMH",交易记录!$C$6:$C$605,"买入")</f>
        <v>0</v>
      </c>
      <c r="I75" s="15">
        <f t="shared" si="6"/>
        <v>0</v>
      </c>
      <c r="J75" s="15" t="str">
        <f t="shared" si="7"/>
        <v/>
      </c>
      <c r="K75" s="19" t="str">
        <f t="shared" si="8"/>
        <v>尚未记录买入</v>
      </c>
    </row>
    <row r="76" spans="1:11" ht="21.75" customHeight="1">
      <c r="A76" s="29">
        <f>DATE(2032,8,总览!$E$4)</f>
        <v>48436</v>
      </c>
      <c r="B76" s="15">
        <f>回撤计划!J79</f>
        <v>500</v>
      </c>
      <c r="C76" s="15">
        <f>B76*总览!$B$8</f>
        <v>450</v>
      </c>
      <c r="D76" s="15">
        <f>B76*总览!$B$9</f>
        <v>50</v>
      </c>
      <c r="E76" s="15">
        <f>B76*总览!$B$10</f>
        <v>0</v>
      </c>
      <c r="F76" s="15">
        <f>SUMIFS(交易记录!$D$6:$D$605,交易记录!$A$6:$A$605,"&gt;="&amp;DATE(YEAR(A76),MONTH(A76),1),交易记录!$A$6:$A$605,"&lt;"&amp;DATE(YEAR(A76),MONTH(A76)+1,1),交易记录!$B$6:$B$605,"VOO",交易记录!$C$6:$C$605,"买入")+SUMIFS(交易记录!$E$6:$E$605,交易记录!$A$6:$A$605,"&gt;="&amp;DATE(YEAR(A76),MONTH(A76),1),交易记录!$A$6:$A$605,"&lt;"&amp;DATE(YEAR(A76),MONTH(A76)+1,1),交易记录!$B$6:$B$605,"VOO",交易记录!$C$6:$C$605,"买入")</f>
        <v>0</v>
      </c>
      <c r="G76" s="15">
        <f>SUMIFS(交易记录!$D$6:$D$605,交易记录!$A$6:$A$605,"&gt;="&amp;DATE(YEAR(A76),MONTH(A76),1),交易记录!$A$6:$A$605,"&lt;"&amp;DATE(YEAR(A76),MONTH(A76)+1,1),交易记录!$B$6:$B$605,"QQQM",交易记录!$C$6:$C$605,"买入")+SUMIFS(交易记录!$E$6:$E$605,交易记录!$A$6:$A$605,"&gt;="&amp;DATE(YEAR(A76),MONTH(A76),1),交易记录!$A$6:$A$605,"&lt;"&amp;DATE(YEAR(A76),MONTH(A76)+1,1),交易记录!$B$6:$B$605,"QQQM",交易记录!$C$6:$C$605,"买入")</f>
        <v>0</v>
      </c>
      <c r="H76" s="15">
        <f>SUMIFS(交易记录!$D$6:$D$605,交易记录!$A$6:$A$605,"&gt;="&amp;DATE(YEAR(A76),MONTH(A76),1),交易记录!$A$6:$A$605,"&lt;"&amp;DATE(YEAR(A76),MONTH(A76)+1,1),交易记录!$B$6:$B$605,"SMH",交易记录!$C$6:$C$605,"买入")+SUMIFS(交易记录!$E$6:$E$605,交易记录!$A$6:$A$605,"&gt;="&amp;DATE(YEAR(A76),MONTH(A76),1),交易记录!$A$6:$A$605,"&lt;"&amp;DATE(YEAR(A76),MONTH(A76)+1,1),交易记录!$B$6:$B$605,"SMH",交易记录!$C$6:$C$605,"买入")</f>
        <v>0</v>
      </c>
      <c r="I76" s="15">
        <f t="shared" si="6"/>
        <v>0</v>
      </c>
      <c r="J76" s="15" t="str">
        <f t="shared" si="7"/>
        <v/>
      </c>
      <c r="K76" s="19" t="str">
        <f t="shared" si="8"/>
        <v>尚未记录买入</v>
      </c>
    </row>
    <row r="77" spans="1:11" ht="21.75" customHeight="1">
      <c r="A77" s="29">
        <f>DATE(2032,9,总览!$E$4)</f>
        <v>48467</v>
      </c>
      <c r="B77" s="15">
        <f>回撤计划!J80</f>
        <v>500</v>
      </c>
      <c r="C77" s="15">
        <f>B77*总览!$B$8</f>
        <v>450</v>
      </c>
      <c r="D77" s="15">
        <f>B77*总览!$B$9</f>
        <v>50</v>
      </c>
      <c r="E77" s="15">
        <f>B77*总览!$B$10</f>
        <v>0</v>
      </c>
      <c r="F77" s="15">
        <f>SUMIFS(交易记录!$D$6:$D$605,交易记录!$A$6:$A$605,"&gt;="&amp;DATE(YEAR(A77),MONTH(A77),1),交易记录!$A$6:$A$605,"&lt;"&amp;DATE(YEAR(A77),MONTH(A77)+1,1),交易记录!$B$6:$B$605,"VOO",交易记录!$C$6:$C$605,"买入")+SUMIFS(交易记录!$E$6:$E$605,交易记录!$A$6:$A$605,"&gt;="&amp;DATE(YEAR(A77),MONTH(A77),1),交易记录!$A$6:$A$605,"&lt;"&amp;DATE(YEAR(A77),MONTH(A77)+1,1),交易记录!$B$6:$B$605,"VOO",交易记录!$C$6:$C$605,"买入")</f>
        <v>0</v>
      </c>
      <c r="G77" s="15">
        <f>SUMIFS(交易记录!$D$6:$D$605,交易记录!$A$6:$A$605,"&gt;="&amp;DATE(YEAR(A77),MONTH(A77),1),交易记录!$A$6:$A$605,"&lt;"&amp;DATE(YEAR(A77),MONTH(A77)+1,1),交易记录!$B$6:$B$605,"QQQM",交易记录!$C$6:$C$605,"买入")+SUMIFS(交易记录!$E$6:$E$605,交易记录!$A$6:$A$605,"&gt;="&amp;DATE(YEAR(A77),MONTH(A77),1),交易记录!$A$6:$A$605,"&lt;"&amp;DATE(YEAR(A77),MONTH(A77)+1,1),交易记录!$B$6:$B$605,"QQQM",交易记录!$C$6:$C$605,"买入")</f>
        <v>0</v>
      </c>
      <c r="H77" s="15">
        <f>SUMIFS(交易记录!$D$6:$D$605,交易记录!$A$6:$A$605,"&gt;="&amp;DATE(YEAR(A77),MONTH(A77),1),交易记录!$A$6:$A$605,"&lt;"&amp;DATE(YEAR(A77),MONTH(A77)+1,1),交易记录!$B$6:$B$605,"SMH",交易记录!$C$6:$C$605,"买入")+SUMIFS(交易记录!$E$6:$E$605,交易记录!$A$6:$A$605,"&gt;="&amp;DATE(YEAR(A77),MONTH(A77),1),交易记录!$A$6:$A$605,"&lt;"&amp;DATE(YEAR(A77),MONTH(A77)+1,1),交易记录!$B$6:$B$605,"SMH",交易记录!$C$6:$C$605,"买入")</f>
        <v>0</v>
      </c>
      <c r="I77" s="15">
        <f t="shared" si="6"/>
        <v>0</v>
      </c>
      <c r="J77" s="15" t="str">
        <f t="shared" si="7"/>
        <v/>
      </c>
      <c r="K77" s="19" t="str">
        <f t="shared" si="8"/>
        <v>尚未记录买入</v>
      </c>
    </row>
    <row r="78" spans="1:11" ht="21.75" customHeight="1">
      <c r="A78" s="29">
        <f>DATE(2032,10,总览!$E$4)</f>
        <v>48497</v>
      </c>
      <c r="B78" s="15">
        <f>回撤计划!J81</f>
        <v>500</v>
      </c>
      <c r="C78" s="15">
        <f>B78*总览!$B$8</f>
        <v>450</v>
      </c>
      <c r="D78" s="15">
        <f>B78*总览!$B$9</f>
        <v>50</v>
      </c>
      <c r="E78" s="15">
        <f>B78*总览!$B$10</f>
        <v>0</v>
      </c>
      <c r="F78" s="15">
        <f>SUMIFS(交易记录!$D$6:$D$605,交易记录!$A$6:$A$605,"&gt;="&amp;DATE(YEAR(A78),MONTH(A78),1),交易记录!$A$6:$A$605,"&lt;"&amp;DATE(YEAR(A78),MONTH(A78)+1,1),交易记录!$B$6:$B$605,"VOO",交易记录!$C$6:$C$605,"买入")+SUMIFS(交易记录!$E$6:$E$605,交易记录!$A$6:$A$605,"&gt;="&amp;DATE(YEAR(A78),MONTH(A78),1),交易记录!$A$6:$A$605,"&lt;"&amp;DATE(YEAR(A78),MONTH(A78)+1,1),交易记录!$B$6:$B$605,"VOO",交易记录!$C$6:$C$605,"买入")</f>
        <v>0</v>
      </c>
      <c r="G78" s="15">
        <f>SUMIFS(交易记录!$D$6:$D$605,交易记录!$A$6:$A$605,"&gt;="&amp;DATE(YEAR(A78),MONTH(A78),1),交易记录!$A$6:$A$605,"&lt;"&amp;DATE(YEAR(A78),MONTH(A78)+1,1),交易记录!$B$6:$B$605,"QQQM",交易记录!$C$6:$C$605,"买入")+SUMIFS(交易记录!$E$6:$E$605,交易记录!$A$6:$A$605,"&gt;="&amp;DATE(YEAR(A78),MONTH(A78),1),交易记录!$A$6:$A$605,"&lt;"&amp;DATE(YEAR(A78),MONTH(A78)+1,1),交易记录!$B$6:$B$605,"QQQM",交易记录!$C$6:$C$605,"买入")</f>
        <v>0</v>
      </c>
      <c r="H78" s="15">
        <f>SUMIFS(交易记录!$D$6:$D$605,交易记录!$A$6:$A$605,"&gt;="&amp;DATE(YEAR(A78),MONTH(A78),1),交易记录!$A$6:$A$605,"&lt;"&amp;DATE(YEAR(A78),MONTH(A78)+1,1),交易记录!$B$6:$B$605,"SMH",交易记录!$C$6:$C$605,"买入")+SUMIFS(交易记录!$E$6:$E$605,交易记录!$A$6:$A$605,"&gt;="&amp;DATE(YEAR(A78),MONTH(A78),1),交易记录!$A$6:$A$605,"&lt;"&amp;DATE(YEAR(A78),MONTH(A78)+1,1),交易记录!$B$6:$B$605,"SMH",交易记录!$C$6:$C$605,"买入")</f>
        <v>0</v>
      </c>
      <c r="I78" s="15">
        <f t="shared" si="6"/>
        <v>0</v>
      </c>
      <c r="J78" s="15" t="str">
        <f t="shared" si="7"/>
        <v/>
      </c>
      <c r="K78" s="19" t="str">
        <f t="shared" si="8"/>
        <v>尚未记录买入</v>
      </c>
    </row>
    <row r="79" spans="1:11" ht="21.75" customHeight="1">
      <c r="A79" s="29">
        <f>DATE(2032,11,总览!$E$4)</f>
        <v>48528</v>
      </c>
      <c r="B79" s="15">
        <f>回撤计划!J82</f>
        <v>500</v>
      </c>
      <c r="C79" s="15">
        <f>B79*总览!$B$8</f>
        <v>450</v>
      </c>
      <c r="D79" s="15">
        <f>B79*总览!$B$9</f>
        <v>50</v>
      </c>
      <c r="E79" s="15">
        <f>B79*总览!$B$10</f>
        <v>0</v>
      </c>
      <c r="F79" s="15">
        <f>SUMIFS(交易记录!$D$6:$D$605,交易记录!$A$6:$A$605,"&gt;="&amp;DATE(YEAR(A79),MONTH(A79),1),交易记录!$A$6:$A$605,"&lt;"&amp;DATE(YEAR(A79),MONTH(A79)+1,1),交易记录!$B$6:$B$605,"VOO",交易记录!$C$6:$C$605,"买入")+SUMIFS(交易记录!$E$6:$E$605,交易记录!$A$6:$A$605,"&gt;="&amp;DATE(YEAR(A79),MONTH(A79),1),交易记录!$A$6:$A$605,"&lt;"&amp;DATE(YEAR(A79),MONTH(A79)+1,1),交易记录!$B$6:$B$605,"VOO",交易记录!$C$6:$C$605,"买入")</f>
        <v>0</v>
      </c>
      <c r="G79" s="15">
        <f>SUMIFS(交易记录!$D$6:$D$605,交易记录!$A$6:$A$605,"&gt;="&amp;DATE(YEAR(A79),MONTH(A79),1),交易记录!$A$6:$A$605,"&lt;"&amp;DATE(YEAR(A79),MONTH(A79)+1,1),交易记录!$B$6:$B$605,"QQQM",交易记录!$C$6:$C$605,"买入")+SUMIFS(交易记录!$E$6:$E$605,交易记录!$A$6:$A$605,"&gt;="&amp;DATE(YEAR(A79),MONTH(A79),1),交易记录!$A$6:$A$605,"&lt;"&amp;DATE(YEAR(A79),MONTH(A79)+1,1),交易记录!$B$6:$B$605,"QQQM",交易记录!$C$6:$C$605,"买入")</f>
        <v>0</v>
      </c>
      <c r="H79" s="15">
        <f>SUMIFS(交易记录!$D$6:$D$605,交易记录!$A$6:$A$605,"&gt;="&amp;DATE(YEAR(A79),MONTH(A79),1),交易记录!$A$6:$A$605,"&lt;"&amp;DATE(YEAR(A79),MONTH(A79)+1,1),交易记录!$B$6:$B$605,"SMH",交易记录!$C$6:$C$605,"买入")+SUMIFS(交易记录!$E$6:$E$605,交易记录!$A$6:$A$605,"&gt;="&amp;DATE(YEAR(A79),MONTH(A79),1),交易记录!$A$6:$A$605,"&lt;"&amp;DATE(YEAR(A79),MONTH(A79)+1,1),交易记录!$B$6:$B$605,"SMH",交易记录!$C$6:$C$605,"买入")</f>
        <v>0</v>
      </c>
      <c r="I79" s="15">
        <f t="shared" si="6"/>
        <v>0</v>
      </c>
      <c r="J79" s="15" t="str">
        <f t="shared" si="7"/>
        <v/>
      </c>
      <c r="K79" s="19" t="str">
        <f t="shared" si="8"/>
        <v>尚未记录买入</v>
      </c>
    </row>
    <row r="80" spans="1:11" ht="21.75" customHeight="1">
      <c r="A80" s="29">
        <f>DATE(2032,12,总览!$E$4)</f>
        <v>48558</v>
      </c>
      <c r="B80" s="15">
        <f>回撤计划!J83</f>
        <v>500</v>
      </c>
      <c r="C80" s="15">
        <f>B80*总览!$B$8</f>
        <v>450</v>
      </c>
      <c r="D80" s="15">
        <f>B80*总览!$B$9</f>
        <v>50</v>
      </c>
      <c r="E80" s="15">
        <f>B80*总览!$B$10</f>
        <v>0</v>
      </c>
      <c r="F80" s="15">
        <f>SUMIFS(交易记录!$D$6:$D$605,交易记录!$A$6:$A$605,"&gt;="&amp;DATE(YEAR(A80),MONTH(A80),1),交易记录!$A$6:$A$605,"&lt;"&amp;DATE(YEAR(A80),MONTH(A80)+1,1),交易记录!$B$6:$B$605,"VOO",交易记录!$C$6:$C$605,"买入")+SUMIFS(交易记录!$E$6:$E$605,交易记录!$A$6:$A$605,"&gt;="&amp;DATE(YEAR(A80),MONTH(A80),1),交易记录!$A$6:$A$605,"&lt;"&amp;DATE(YEAR(A80),MONTH(A80)+1,1),交易记录!$B$6:$B$605,"VOO",交易记录!$C$6:$C$605,"买入")</f>
        <v>0</v>
      </c>
      <c r="G80" s="15">
        <f>SUMIFS(交易记录!$D$6:$D$605,交易记录!$A$6:$A$605,"&gt;="&amp;DATE(YEAR(A80),MONTH(A80),1),交易记录!$A$6:$A$605,"&lt;"&amp;DATE(YEAR(A80),MONTH(A80)+1,1),交易记录!$B$6:$B$605,"QQQM",交易记录!$C$6:$C$605,"买入")+SUMIFS(交易记录!$E$6:$E$605,交易记录!$A$6:$A$605,"&gt;="&amp;DATE(YEAR(A80),MONTH(A80),1),交易记录!$A$6:$A$605,"&lt;"&amp;DATE(YEAR(A80),MONTH(A80)+1,1),交易记录!$B$6:$B$605,"QQQM",交易记录!$C$6:$C$605,"买入")</f>
        <v>0</v>
      </c>
      <c r="H80" s="15">
        <f>SUMIFS(交易记录!$D$6:$D$605,交易记录!$A$6:$A$605,"&gt;="&amp;DATE(YEAR(A80),MONTH(A80),1),交易记录!$A$6:$A$605,"&lt;"&amp;DATE(YEAR(A80),MONTH(A80)+1,1),交易记录!$B$6:$B$605,"SMH",交易记录!$C$6:$C$605,"买入")+SUMIFS(交易记录!$E$6:$E$605,交易记录!$A$6:$A$605,"&gt;="&amp;DATE(YEAR(A80),MONTH(A80),1),交易记录!$A$6:$A$605,"&lt;"&amp;DATE(YEAR(A80),MONTH(A80)+1,1),交易记录!$B$6:$B$605,"SMH",交易记录!$C$6:$C$605,"买入")</f>
        <v>0</v>
      </c>
      <c r="I80" s="15">
        <f t="shared" si="6"/>
        <v>0</v>
      </c>
      <c r="J80" s="15" t="str">
        <f t="shared" si="7"/>
        <v/>
      </c>
      <c r="K80" s="19" t="str">
        <f t="shared" si="8"/>
        <v>尚未记录买入</v>
      </c>
    </row>
    <row r="81" spans="1:11" ht="21.75" customHeight="1">
      <c r="A81" s="29">
        <f>DATE(2033,1,总览!$E$4)</f>
        <v>48589</v>
      </c>
      <c r="B81" s="15">
        <f>回撤计划!J84</f>
        <v>500</v>
      </c>
      <c r="C81" s="15">
        <f>B81*总览!$B$8</f>
        <v>450</v>
      </c>
      <c r="D81" s="15">
        <f>B81*总览!$B$9</f>
        <v>50</v>
      </c>
      <c r="E81" s="15">
        <f>B81*总览!$B$10</f>
        <v>0</v>
      </c>
      <c r="F81" s="15">
        <f>SUMIFS(交易记录!$D$6:$D$605,交易记录!$A$6:$A$605,"&gt;="&amp;DATE(YEAR(A81),MONTH(A81),1),交易记录!$A$6:$A$605,"&lt;"&amp;DATE(YEAR(A81),MONTH(A81)+1,1),交易记录!$B$6:$B$605,"VOO",交易记录!$C$6:$C$605,"买入")+SUMIFS(交易记录!$E$6:$E$605,交易记录!$A$6:$A$605,"&gt;="&amp;DATE(YEAR(A81),MONTH(A81),1),交易记录!$A$6:$A$605,"&lt;"&amp;DATE(YEAR(A81),MONTH(A81)+1,1),交易记录!$B$6:$B$605,"VOO",交易记录!$C$6:$C$605,"买入")</f>
        <v>0</v>
      </c>
      <c r="G81" s="15">
        <f>SUMIFS(交易记录!$D$6:$D$605,交易记录!$A$6:$A$605,"&gt;="&amp;DATE(YEAR(A81),MONTH(A81),1),交易记录!$A$6:$A$605,"&lt;"&amp;DATE(YEAR(A81),MONTH(A81)+1,1),交易记录!$B$6:$B$605,"QQQM",交易记录!$C$6:$C$605,"买入")+SUMIFS(交易记录!$E$6:$E$605,交易记录!$A$6:$A$605,"&gt;="&amp;DATE(YEAR(A81),MONTH(A81),1),交易记录!$A$6:$A$605,"&lt;"&amp;DATE(YEAR(A81),MONTH(A81)+1,1),交易记录!$B$6:$B$605,"QQQM",交易记录!$C$6:$C$605,"买入")</f>
        <v>0</v>
      </c>
      <c r="H81" s="15">
        <f>SUMIFS(交易记录!$D$6:$D$605,交易记录!$A$6:$A$605,"&gt;="&amp;DATE(YEAR(A81),MONTH(A81),1),交易记录!$A$6:$A$605,"&lt;"&amp;DATE(YEAR(A81),MONTH(A81)+1,1),交易记录!$B$6:$B$605,"SMH",交易记录!$C$6:$C$605,"买入")+SUMIFS(交易记录!$E$6:$E$605,交易记录!$A$6:$A$605,"&gt;="&amp;DATE(YEAR(A81),MONTH(A81),1),交易记录!$A$6:$A$605,"&lt;"&amp;DATE(YEAR(A81),MONTH(A81)+1,1),交易记录!$B$6:$B$605,"SMH",交易记录!$C$6:$C$605,"买入")</f>
        <v>0</v>
      </c>
      <c r="I81" s="15">
        <f t="shared" si="6"/>
        <v>0</v>
      </c>
      <c r="J81" s="15" t="str">
        <f t="shared" si="7"/>
        <v/>
      </c>
      <c r="K81" s="19" t="str">
        <f t="shared" si="8"/>
        <v>尚未记录买入</v>
      </c>
    </row>
    <row r="82" spans="1:11" ht="21.75" customHeight="1">
      <c r="A82" s="29">
        <f>DATE(2033,2,总览!$E$4)</f>
        <v>48620</v>
      </c>
      <c r="B82" s="15">
        <f>回撤计划!J85</f>
        <v>500</v>
      </c>
      <c r="C82" s="15">
        <f>B82*总览!$B$8</f>
        <v>450</v>
      </c>
      <c r="D82" s="15">
        <f>B82*总览!$B$9</f>
        <v>50</v>
      </c>
      <c r="E82" s="15">
        <f>B82*总览!$B$10</f>
        <v>0</v>
      </c>
      <c r="F82" s="15">
        <f>SUMIFS(交易记录!$D$6:$D$605,交易记录!$A$6:$A$605,"&gt;="&amp;DATE(YEAR(A82),MONTH(A82),1),交易记录!$A$6:$A$605,"&lt;"&amp;DATE(YEAR(A82),MONTH(A82)+1,1),交易记录!$B$6:$B$605,"VOO",交易记录!$C$6:$C$605,"买入")+SUMIFS(交易记录!$E$6:$E$605,交易记录!$A$6:$A$605,"&gt;="&amp;DATE(YEAR(A82),MONTH(A82),1),交易记录!$A$6:$A$605,"&lt;"&amp;DATE(YEAR(A82),MONTH(A82)+1,1),交易记录!$B$6:$B$605,"VOO",交易记录!$C$6:$C$605,"买入")</f>
        <v>0</v>
      </c>
      <c r="G82" s="15">
        <f>SUMIFS(交易记录!$D$6:$D$605,交易记录!$A$6:$A$605,"&gt;="&amp;DATE(YEAR(A82),MONTH(A82),1),交易记录!$A$6:$A$605,"&lt;"&amp;DATE(YEAR(A82),MONTH(A82)+1,1),交易记录!$B$6:$B$605,"QQQM",交易记录!$C$6:$C$605,"买入")+SUMIFS(交易记录!$E$6:$E$605,交易记录!$A$6:$A$605,"&gt;="&amp;DATE(YEAR(A82),MONTH(A82),1),交易记录!$A$6:$A$605,"&lt;"&amp;DATE(YEAR(A82),MONTH(A82)+1,1),交易记录!$B$6:$B$605,"QQQM",交易记录!$C$6:$C$605,"买入")</f>
        <v>0</v>
      </c>
      <c r="H82" s="15">
        <f>SUMIFS(交易记录!$D$6:$D$605,交易记录!$A$6:$A$605,"&gt;="&amp;DATE(YEAR(A82),MONTH(A82),1),交易记录!$A$6:$A$605,"&lt;"&amp;DATE(YEAR(A82),MONTH(A82)+1,1),交易记录!$B$6:$B$605,"SMH",交易记录!$C$6:$C$605,"买入")+SUMIFS(交易记录!$E$6:$E$605,交易记录!$A$6:$A$605,"&gt;="&amp;DATE(YEAR(A82),MONTH(A82),1),交易记录!$A$6:$A$605,"&lt;"&amp;DATE(YEAR(A82),MONTH(A82)+1,1),交易记录!$B$6:$B$605,"SMH",交易记录!$C$6:$C$605,"买入")</f>
        <v>0</v>
      </c>
      <c r="I82" s="15">
        <f t="shared" si="6"/>
        <v>0</v>
      </c>
      <c r="J82" s="15" t="str">
        <f t="shared" si="7"/>
        <v/>
      </c>
      <c r="K82" s="19" t="str">
        <f t="shared" si="8"/>
        <v>尚未记录买入</v>
      </c>
    </row>
    <row r="83" spans="1:11" ht="21.75" customHeight="1">
      <c r="A83" s="29">
        <f>DATE(2033,3,总览!$E$4)</f>
        <v>48648</v>
      </c>
      <c r="B83" s="15">
        <f>回撤计划!J86</f>
        <v>500</v>
      </c>
      <c r="C83" s="15">
        <f>B83*总览!$B$8</f>
        <v>450</v>
      </c>
      <c r="D83" s="15">
        <f>B83*总览!$B$9</f>
        <v>50</v>
      </c>
      <c r="E83" s="15">
        <f>B83*总览!$B$10</f>
        <v>0</v>
      </c>
      <c r="F83" s="15">
        <f>SUMIFS(交易记录!$D$6:$D$605,交易记录!$A$6:$A$605,"&gt;="&amp;DATE(YEAR(A83),MONTH(A83),1),交易记录!$A$6:$A$605,"&lt;"&amp;DATE(YEAR(A83),MONTH(A83)+1,1),交易记录!$B$6:$B$605,"VOO",交易记录!$C$6:$C$605,"买入")+SUMIFS(交易记录!$E$6:$E$605,交易记录!$A$6:$A$605,"&gt;="&amp;DATE(YEAR(A83),MONTH(A83),1),交易记录!$A$6:$A$605,"&lt;"&amp;DATE(YEAR(A83),MONTH(A83)+1,1),交易记录!$B$6:$B$605,"VOO",交易记录!$C$6:$C$605,"买入")</f>
        <v>0</v>
      </c>
      <c r="G83" s="15">
        <f>SUMIFS(交易记录!$D$6:$D$605,交易记录!$A$6:$A$605,"&gt;="&amp;DATE(YEAR(A83),MONTH(A83),1),交易记录!$A$6:$A$605,"&lt;"&amp;DATE(YEAR(A83),MONTH(A83)+1,1),交易记录!$B$6:$B$605,"QQQM",交易记录!$C$6:$C$605,"买入")+SUMIFS(交易记录!$E$6:$E$605,交易记录!$A$6:$A$605,"&gt;="&amp;DATE(YEAR(A83),MONTH(A83),1),交易记录!$A$6:$A$605,"&lt;"&amp;DATE(YEAR(A83),MONTH(A83)+1,1),交易记录!$B$6:$B$605,"QQQM",交易记录!$C$6:$C$605,"买入")</f>
        <v>0</v>
      </c>
      <c r="H83" s="15">
        <f>SUMIFS(交易记录!$D$6:$D$605,交易记录!$A$6:$A$605,"&gt;="&amp;DATE(YEAR(A83),MONTH(A83),1),交易记录!$A$6:$A$605,"&lt;"&amp;DATE(YEAR(A83),MONTH(A83)+1,1),交易记录!$B$6:$B$605,"SMH",交易记录!$C$6:$C$605,"买入")+SUMIFS(交易记录!$E$6:$E$605,交易记录!$A$6:$A$605,"&gt;="&amp;DATE(YEAR(A83),MONTH(A83),1),交易记录!$A$6:$A$605,"&lt;"&amp;DATE(YEAR(A83),MONTH(A83)+1,1),交易记录!$B$6:$B$605,"SMH",交易记录!$C$6:$C$605,"买入")</f>
        <v>0</v>
      </c>
      <c r="I83" s="15">
        <f t="shared" si="6"/>
        <v>0</v>
      </c>
      <c r="J83" s="15" t="str">
        <f t="shared" si="7"/>
        <v/>
      </c>
      <c r="K83" s="19" t="str">
        <f t="shared" si="8"/>
        <v>尚未记录买入</v>
      </c>
    </row>
    <row r="84" spans="1:11" ht="21.75" customHeight="1">
      <c r="A84" s="29">
        <f>DATE(2033,4,总览!$E$4)</f>
        <v>48679</v>
      </c>
      <c r="B84" s="15">
        <f>回撤计划!J87</f>
        <v>500</v>
      </c>
      <c r="C84" s="15">
        <f>B84*总览!$B$8</f>
        <v>450</v>
      </c>
      <c r="D84" s="15">
        <f>B84*总览!$B$9</f>
        <v>50</v>
      </c>
      <c r="E84" s="15">
        <f>B84*总览!$B$10</f>
        <v>0</v>
      </c>
      <c r="F84" s="15">
        <f>SUMIFS(交易记录!$D$6:$D$605,交易记录!$A$6:$A$605,"&gt;="&amp;DATE(YEAR(A84),MONTH(A84),1),交易记录!$A$6:$A$605,"&lt;"&amp;DATE(YEAR(A84),MONTH(A84)+1,1),交易记录!$B$6:$B$605,"VOO",交易记录!$C$6:$C$605,"买入")+SUMIFS(交易记录!$E$6:$E$605,交易记录!$A$6:$A$605,"&gt;="&amp;DATE(YEAR(A84),MONTH(A84),1),交易记录!$A$6:$A$605,"&lt;"&amp;DATE(YEAR(A84),MONTH(A84)+1,1),交易记录!$B$6:$B$605,"VOO",交易记录!$C$6:$C$605,"买入")</f>
        <v>0</v>
      </c>
      <c r="G84" s="15">
        <f>SUMIFS(交易记录!$D$6:$D$605,交易记录!$A$6:$A$605,"&gt;="&amp;DATE(YEAR(A84),MONTH(A84),1),交易记录!$A$6:$A$605,"&lt;"&amp;DATE(YEAR(A84),MONTH(A84)+1,1),交易记录!$B$6:$B$605,"QQQM",交易记录!$C$6:$C$605,"买入")+SUMIFS(交易记录!$E$6:$E$605,交易记录!$A$6:$A$605,"&gt;="&amp;DATE(YEAR(A84),MONTH(A84),1),交易记录!$A$6:$A$605,"&lt;"&amp;DATE(YEAR(A84),MONTH(A84)+1,1),交易记录!$B$6:$B$605,"QQQM",交易记录!$C$6:$C$605,"买入")</f>
        <v>0</v>
      </c>
      <c r="H84" s="15">
        <f>SUMIFS(交易记录!$D$6:$D$605,交易记录!$A$6:$A$605,"&gt;="&amp;DATE(YEAR(A84),MONTH(A84),1),交易记录!$A$6:$A$605,"&lt;"&amp;DATE(YEAR(A84),MONTH(A84)+1,1),交易记录!$B$6:$B$605,"SMH",交易记录!$C$6:$C$605,"买入")+SUMIFS(交易记录!$E$6:$E$605,交易记录!$A$6:$A$605,"&gt;="&amp;DATE(YEAR(A84),MONTH(A84),1),交易记录!$A$6:$A$605,"&lt;"&amp;DATE(YEAR(A84),MONTH(A84)+1,1),交易记录!$B$6:$B$605,"SMH",交易记录!$C$6:$C$605,"买入")</f>
        <v>0</v>
      </c>
      <c r="I84" s="15">
        <f t="shared" si="6"/>
        <v>0</v>
      </c>
      <c r="J84" s="15" t="str">
        <f t="shared" si="7"/>
        <v/>
      </c>
      <c r="K84" s="19" t="str">
        <f t="shared" si="8"/>
        <v>尚未记录买入</v>
      </c>
    </row>
    <row r="85" spans="1:11" ht="21.75" customHeight="1">
      <c r="A85" s="29">
        <f>DATE(2033,5,总览!$E$4)</f>
        <v>48709</v>
      </c>
      <c r="B85" s="15">
        <f>回撤计划!J88</f>
        <v>500</v>
      </c>
      <c r="C85" s="15">
        <f>B85*总览!$B$8</f>
        <v>450</v>
      </c>
      <c r="D85" s="15">
        <f>B85*总览!$B$9</f>
        <v>50</v>
      </c>
      <c r="E85" s="15">
        <f>B85*总览!$B$10</f>
        <v>0</v>
      </c>
      <c r="F85" s="15">
        <f>SUMIFS(交易记录!$D$6:$D$605,交易记录!$A$6:$A$605,"&gt;="&amp;DATE(YEAR(A85),MONTH(A85),1),交易记录!$A$6:$A$605,"&lt;"&amp;DATE(YEAR(A85),MONTH(A85)+1,1),交易记录!$B$6:$B$605,"VOO",交易记录!$C$6:$C$605,"买入")+SUMIFS(交易记录!$E$6:$E$605,交易记录!$A$6:$A$605,"&gt;="&amp;DATE(YEAR(A85),MONTH(A85),1),交易记录!$A$6:$A$605,"&lt;"&amp;DATE(YEAR(A85),MONTH(A85)+1,1),交易记录!$B$6:$B$605,"VOO",交易记录!$C$6:$C$605,"买入")</f>
        <v>0</v>
      </c>
      <c r="G85" s="15">
        <f>SUMIFS(交易记录!$D$6:$D$605,交易记录!$A$6:$A$605,"&gt;="&amp;DATE(YEAR(A85),MONTH(A85),1),交易记录!$A$6:$A$605,"&lt;"&amp;DATE(YEAR(A85),MONTH(A85)+1,1),交易记录!$B$6:$B$605,"QQQM",交易记录!$C$6:$C$605,"买入")+SUMIFS(交易记录!$E$6:$E$605,交易记录!$A$6:$A$605,"&gt;="&amp;DATE(YEAR(A85),MONTH(A85),1),交易记录!$A$6:$A$605,"&lt;"&amp;DATE(YEAR(A85),MONTH(A85)+1,1),交易记录!$B$6:$B$605,"QQQM",交易记录!$C$6:$C$605,"买入")</f>
        <v>0</v>
      </c>
      <c r="H85" s="15">
        <f>SUMIFS(交易记录!$D$6:$D$605,交易记录!$A$6:$A$605,"&gt;="&amp;DATE(YEAR(A85),MONTH(A85),1),交易记录!$A$6:$A$605,"&lt;"&amp;DATE(YEAR(A85),MONTH(A85)+1,1),交易记录!$B$6:$B$605,"SMH",交易记录!$C$6:$C$605,"买入")+SUMIFS(交易记录!$E$6:$E$605,交易记录!$A$6:$A$605,"&gt;="&amp;DATE(YEAR(A85),MONTH(A85),1),交易记录!$A$6:$A$605,"&lt;"&amp;DATE(YEAR(A85),MONTH(A85)+1,1),交易记录!$B$6:$B$605,"SMH",交易记录!$C$6:$C$605,"买入")</f>
        <v>0</v>
      </c>
      <c r="I85" s="15">
        <f t="shared" si="6"/>
        <v>0</v>
      </c>
      <c r="J85" s="15" t="str">
        <f t="shared" si="7"/>
        <v/>
      </c>
      <c r="K85" s="19" t="str">
        <f t="shared" si="8"/>
        <v>尚未记录买入</v>
      </c>
    </row>
    <row r="86" spans="1:11" ht="21.75" customHeight="1">
      <c r="A86" s="29">
        <f>DATE(2033,6,总览!$E$4)</f>
        <v>48740</v>
      </c>
      <c r="B86" s="15">
        <f>回撤计划!J89</f>
        <v>500</v>
      </c>
      <c r="C86" s="15">
        <f>B86*总览!$B$8</f>
        <v>450</v>
      </c>
      <c r="D86" s="15">
        <f>B86*总览!$B$9</f>
        <v>50</v>
      </c>
      <c r="E86" s="15">
        <f>B86*总览!$B$10</f>
        <v>0</v>
      </c>
      <c r="F86" s="15">
        <f>SUMIFS(交易记录!$D$6:$D$605,交易记录!$A$6:$A$605,"&gt;="&amp;DATE(YEAR(A86),MONTH(A86),1),交易记录!$A$6:$A$605,"&lt;"&amp;DATE(YEAR(A86),MONTH(A86)+1,1),交易记录!$B$6:$B$605,"VOO",交易记录!$C$6:$C$605,"买入")+SUMIFS(交易记录!$E$6:$E$605,交易记录!$A$6:$A$605,"&gt;="&amp;DATE(YEAR(A86),MONTH(A86),1),交易记录!$A$6:$A$605,"&lt;"&amp;DATE(YEAR(A86),MONTH(A86)+1,1),交易记录!$B$6:$B$605,"VOO",交易记录!$C$6:$C$605,"买入")</f>
        <v>0</v>
      </c>
      <c r="G86" s="15">
        <f>SUMIFS(交易记录!$D$6:$D$605,交易记录!$A$6:$A$605,"&gt;="&amp;DATE(YEAR(A86),MONTH(A86),1),交易记录!$A$6:$A$605,"&lt;"&amp;DATE(YEAR(A86),MONTH(A86)+1,1),交易记录!$B$6:$B$605,"QQQM",交易记录!$C$6:$C$605,"买入")+SUMIFS(交易记录!$E$6:$E$605,交易记录!$A$6:$A$605,"&gt;="&amp;DATE(YEAR(A86),MONTH(A86),1),交易记录!$A$6:$A$605,"&lt;"&amp;DATE(YEAR(A86),MONTH(A86)+1,1),交易记录!$B$6:$B$605,"QQQM",交易记录!$C$6:$C$605,"买入")</f>
        <v>0</v>
      </c>
      <c r="H86" s="15">
        <f>SUMIFS(交易记录!$D$6:$D$605,交易记录!$A$6:$A$605,"&gt;="&amp;DATE(YEAR(A86),MONTH(A86),1),交易记录!$A$6:$A$605,"&lt;"&amp;DATE(YEAR(A86),MONTH(A86)+1,1),交易记录!$B$6:$B$605,"SMH",交易记录!$C$6:$C$605,"买入")+SUMIFS(交易记录!$E$6:$E$605,交易记录!$A$6:$A$605,"&gt;="&amp;DATE(YEAR(A86),MONTH(A86),1),交易记录!$A$6:$A$605,"&lt;"&amp;DATE(YEAR(A86),MONTH(A86)+1,1),交易记录!$B$6:$B$605,"SMH",交易记录!$C$6:$C$605,"买入")</f>
        <v>0</v>
      </c>
      <c r="I86" s="15">
        <f t="shared" si="6"/>
        <v>0</v>
      </c>
      <c r="J86" s="15" t="str">
        <f t="shared" si="7"/>
        <v/>
      </c>
      <c r="K86" s="19" t="str">
        <f t="shared" si="8"/>
        <v>尚未记录买入</v>
      </c>
    </row>
    <row r="87" spans="1:11" ht="21.75" customHeight="1">
      <c r="A87" s="29">
        <f>DATE(2033,7,总览!$E$4)</f>
        <v>48770</v>
      </c>
      <c r="B87" s="15">
        <f>回撤计划!J90</f>
        <v>500</v>
      </c>
      <c r="C87" s="15">
        <f>B87*总览!$B$8</f>
        <v>450</v>
      </c>
      <c r="D87" s="15">
        <f>B87*总览!$B$9</f>
        <v>50</v>
      </c>
      <c r="E87" s="15">
        <f>B87*总览!$B$10</f>
        <v>0</v>
      </c>
      <c r="F87" s="15">
        <f>SUMIFS(交易记录!$D$6:$D$605,交易记录!$A$6:$A$605,"&gt;="&amp;DATE(YEAR(A87),MONTH(A87),1),交易记录!$A$6:$A$605,"&lt;"&amp;DATE(YEAR(A87),MONTH(A87)+1,1),交易记录!$B$6:$B$605,"VOO",交易记录!$C$6:$C$605,"买入")+SUMIFS(交易记录!$E$6:$E$605,交易记录!$A$6:$A$605,"&gt;="&amp;DATE(YEAR(A87),MONTH(A87),1),交易记录!$A$6:$A$605,"&lt;"&amp;DATE(YEAR(A87),MONTH(A87)+1,1),交易记录!$B$6:$B$605,"VOO",交易记录!$C$6:$C$605,"买入")</f>
        <v>0</v>
      </c>
      <c r="G87" s="15">
        <f>SUMIFS(交易记录!$D$6:$D$605,交易记录!$A$6:$A$605,"&gt;="&amp;DATE(YEAR(A87),MONTH(A87),1),交易记录!$A$6:$A$605,"&lt;"&amp;DATE(YEAR(A87),MONTH(A87)+1,1),交易记录!$B$6:$B$605,"QQQM",交易记录!$C$6:$C$605,"买入")+SUMIFS(交易记录!$E$6:$E$605,交易记录!$A$6:$A$605,"&gt;="&amp;DATE(YEAR(A87),MONTH(A87),1),交易记录!$A$6:$A$605,"&lt;"&amp;DATE(YEAR(A87),MONTH(A87)+1,1),交易记录!$B$6:$B$605,"QQQM",交易记录!$C$6:$C$605,"买入")</f>
        <v>0</v>
      </c>
      <c r="H87" s="15">
        <f>SUMIFS(交易记录!$D$6:$D$605,交易记录!$A$6:$A$605,"&gt;="&amp;DATE(YEAR(A87),MONTH(A87),1),交易记录!$A$6:$A$605,"&lt;"&amp;DATE(YEAR(A87),MONTH(A87)+1,1),交易记录!$B$6:$B$605,"SMH",交易记录!$C$6:$C$605,"买入")+SUMIFS(交易记录!$E$6:$E$605,交易记录!$A$6:$A$605,"&gt;="&amp;DATE(YEAR(A87),MONTH(A87),1),交易记录!$A$6:$A$605,"&lt;"&amp;DATE(YEAR(A87),MONTH(A87)+1,1),交易记录!$B$6:$B$605,"SMH",交易记录!$C$6:$C$605,"买入")</f>
        <v>0</v>
      </c>
      <c r="I87" s="15">
        <f t="shared" si="6"/>
        <v>0</v>
      </c>
      <c r="J87" s="15" t="str">
        <f t="shared" si="7"/>
        <v/>
      </c>
      <c r="K87" s="19" t="str">
        <f t="shared" si="8"/>
        <v>尚未记录买入</v>
      </c>
    </row>
    <row r="88" spans="1:11" ht="21.75" customHeight="1">
      <c r="A88" s="29">
        <f>DATE(2033,8,总览!$E$4)</f>
        <v>48801</v>
      </c>
      <c r="B88" s="15">
        <f>回撤计划!J91</f>
        <v>500</v>
      </c>
      <c r="C88" s="15">
        <f>B88*总览!$B$8</f>
        <v>450</v>
      </c>
      <c r="D88" s="15">
        <f>B88*总览!$B$9</f>
        <v>50</v>
      </c>
      <c r="E88" s="15">
        <f>B88*总览!$B$10</f>
        <v>0</v>
      </c>
      <c r="F88" s="15">
        <f>SUMIFS(交易记录!$D$6:$D$605,交易记录!$A$6:$A$605,"&gt;="&amp;DATE(YEAR(A88),MONTH(A88),1),交易记录!$A$6:$A$605,"&lt;"&amp;DATE(YEAR(A88),MONTH(A88)+1,1),交易记录!$B$6:$B$605,"VOO",交易记录!$C$6:$C$605,"买入")+SUMIFS(交易记录!$E$6:$E$605,交易记录!$A$6:$A$605,"&gt;="&amp;DATE(YEAR(A88),MONTH(A88),1),交易记录!$A$6:$A$605,"&lt;"&amp;DATE(YEAR(A88),MONTH(A88)+1,1),交易记录!$B$6:$B$605,"VOO",交易记录!$C$6:$C$605,"买入")</f>
        <v>0</v>
      </c>
      <c r="G88" s="15">
        <f>SUMIFS(交易记录!$D$6:$D$605,交易记录!$A$6:$A$605,"&gt;="&amp;DATE(YEAR(A88),MONTH(A88),1),交易记录!$A$6:$A$605,"&lt;"&amp;DATE(YEAR(A88),MONTH(A88)+1,1),交易记录!$B$6:$B$605,"QQQM",交易记录!$C$6:$C$605,"买入")+SUMIFS(交易记录!$E$6:$E$605,交易记录!$A$6:$A$605,"&gt;="&amp;DATE(YEAR(A88),MONTH(A88),1),交易记录!$A$6:$A$605,"&lt;"&amp;DATE(YEAR(A88),MONTH(A88)+1,1),交易记录!$B$6:$B$605,"QQQM",交易记录!$C$6:$C$605,"买入")</f>
        <v>0</v>
      </c>
      <c r="H88" s="15">
        <f>SUMIFS(交易记录!$D$6:$D$605,交易记录!$A$6:$A$605,"&gt;="&amp;DATE(YEAR(A88),MONTH(A88),1),交易记录!$A$6:$A$605,"&lt;"&amp;DATE(YEAR(A88),MONTH(A88)+1,1),交易记录!$B$6:$B$605,"SMH",交易记录!$C$6:$C$605,"买入")+SUMIFS(交易记录!$E$6:$E$605,交易记录!$A$6:$A$605,"&gt;="&amp;DATE(YEAR(A88),MONTH(A88),1),交易记录!$A$6:$A$605,"&lt;"&amp;DATE(YEAR(A88),MONTH(A88)+1,1),交易记录!$B$6:$B$605,"SMH",交易记录!$C$6:$C$605,"买入")</f>
        <v>0</v>
      </c>
      <c r="I88" s="15">
        <f t="shared" si="6"/>
        <v>0</v>
      </c>
      <c r="J88" s="15" t="str">
        <f t="shared" si="7"/>
        <v/>
      </c>
      <c r="K88" s="19" t="str">
        <f t="shared" si="8"/>
        <v>尚未记录买入</v>
      </c>
    </row>
    <row r="89" spans="1:11" ht="21.75" customHeight="1">
      <c r="A89" s="29">
        <f>DATE(2033,9,总览!$E$4)</f>
        <v>48832</v>
      </c>
      <c r="B89" s="15">
        <f>回撤计划!J92</f>
        <v>500</v>
      </c>
      <c r="C89" s="15">
        <f>B89*总览!$B$8</f>
        <v>450</v>
      </c>
      <c r="D89" s="15">
        <f>B89*总览!$B$9</f>
        <v>50</v>
      </c>
      <c r="E89" s="15">
        <f>B89*总览!$B$10</f>
        <v>0</v>
      </c>
      <c r="F89" s="15">
        <f>SUMIFS(交易记录!$D$6:$D$605,交易记录!$A$6:$A$605,"&gt;="&amp;DATE(YEAR(A89),MONTH(A89),1),交易记录!$A$6:$A$605,"&lt;"&amp;DATE(YEAR(A89),MONTH(A89)+1,1),交易记录!$B$6:$B$605,"VOO",交易记录!$C$6:$C$605,"买入")+SUMIFS(交易记录!$E$6:$E$605,交易记录!$A$6:$A$605,"&gt;="&amp;DATE(YEAR(A89),MONTH(A89),1),交易记录!$A$6:$A$605,"&lt;"&amp;DATE(YEAR(A89),MONTH(A89)+1,1),交易记录!$B$6:$B$605,"VOO",交易记录!$C$6:$C$605,"买入")</f>
        <v>0</v>
      </c>
      <c r="G89" s="15">
        <f>SUMIFS(交易记录!$D$6:$D$605,交易记录!$A$6:$A$605,"&gt;="&amp;DATE(YEAR(A89),MONTH(A89),1),交易记录!$A$6:$A$605,"&lt;"&amp;DATE(YEAR(A89),MONTH(A89)+1,1),交易记录!$B$6:$B$605,"QQQM",交易记录!$C$6:$C$605,"买入")+SUMIFS(交易记录!$E$6:$E$605,交易记录!$A$6:$A$605,"&gt;="&amp;DATE(YEAR(A89),MONTH(A89),1),交易记录!$A$6:$A$605,"&lt;"&amp;DATE(YEAR(A89),MONTH(A89)+1,1),交易记录!$B$6:$B$605,"QQQM",交易记录!$C$6:$C$605,"买入")</f>
        <v>0</v>
      </c>
      <c r="H89" s="15">
        <f>SUMIFS(交易记录!$D$6:$D$605,交易记录!$A$6:$A$605,"&gt;="&amp;DATE(YEAR(A89),MONTH(A89),1),交易记录!$A$6:$A$605,"&lt;"&amp;DATE(YEAR(A89),MONTH(A89)+1,1),交易记录!$B$6:$B$605,"SMH",交易记录!$C$6:$C$605,"买入")+SUMIFS(交易记录!$E$6:$E$605,交易记录!$A$6:$A$605,"&gt;="&amp;DATE(YEAR(A89),MONTH(A89),1),交易记录!$A$6:$A$605,"&lt;"&amp;DATE(YEAR(A89),MONTH(A89)+1,1),交易记录!$B$6:$B$605,"SMH",交易记录!$C$6:$C$605,"买入")</f>
        <v>0</v>
      </c>
      <c r="I89" s="15">
        <f t="shared" si="6"/>
        <v>0</v>
      </c>
      <c r="J89" s="15" t="str">
        <f t="shared" si="7"/>
        <v/>
      </c>
      <c r="K89" s="19" t="str">
        <f t="shared" si="8"/>
        <v>尚未记录买入</v>
      </c>
    </row>
    <row r="90" spans="1:11" ht="21.75" customHeight="1">
      <c r="A90" s="29">
        <f>DATE(2033,10,总览!$E$4)</f>
        <v>48862</v>
      </c>
      <c r="B90" s="15">
        <f>回撤计划!J93</f>
        <v>500</v>
      </c>
      <c r="C90" s="15">
        <f>B90*总览!$B$8</f>
        <v>450</v>
      </c>
      <c r="D90" s="15">
        <f>B90*总览!$B$9</f>
        <v>50</v>
      </c>
      <c r="E90" s="15">
        <f>B90*总览!$B$10</f>
        <v>0</v>
      </c>
      <c r="F90" s="15">
        <f>SUMIFS(交易记录!$D$6:$D$605,交易记录!$A$6:$A$605,"&gt;="&amp;DATE(YEAR(A90),MONTH(A90),1),交易记录!$A$6:$A$605,"&lt;"&amp;DATE(YEAR(A90),MONTH(A90)+1,1),交易记录!$B$6:$B$605,"VOO",交易记录!$C$6:$C$605,"买入")+SUMIFS(交易记录!$E$6:$E$605,交易记录!$A$6:$A$605,"&gt;="&amp;DATE(YEAR(A90),MONTH(A90),1),交易记录!$A$6:$A$605,"&lt;"&amp;DATE(YEAR(A90),MONTH(A90)+1,1),交易记录!$B$6:$B$605,"VOO",交易记录!$C$6:$C$605,"买入")</f>
        <v>0</v>
      </c>
      <c r="G90" s="15">
        <f>SUMIFS(交易记录!$D$6:$D$605,交易记录!$A$6:$A$605,"&gt;="&amp;DATE(YEAR(A90),MONTH(A90),1),交易记录!$A$6:$A$605,"&lt;"&amp;DATE(YEAR(A90),MONTH(A90)+1,1),交易记录!$B$6:$B$605,"QQQM",交易记录!$C$6:$C$605,"买入")+SUMIFS(交易记录!$E$6:$E$605,交易记录!$A$6:$A$605,"&gt;="&amp;DATE(YEAR(A90),MONTH(A90),1),交易记录!$A$6:$A$605,"&lt;"&amp;DATE(YEAR(A90),MONTH(A90)+1,1),交易记录!$B$6:$B$605,"QQQM",交易记录!$C$6:$C$605,"买入")</f>
        <v>0</v>
      </c>
      <c r="H90" s="15">
        <f>SUMIFS(交易记录!$D$6:$D$605,交易记录!$A$6:$A$605,"&gt;="&amp;DATE(YEAR(A90),MONTH(A90),1),交易记录!$A$6:$A$605,"&lt;"&amp;DATE(YEAR(A90),MONTH(A90)+1,1),交易记录!$B$6:$B$605,"SMH",交易记录!$C$6:$C$605,"买入")+SUMIFS(交易记录!$E$6:$E$605,交易记录!$A$6:$A$605,"&gt;="&amp;DATE(YEAR(A90),MONTH(A90),1),交易记录!$A$6:$A$605,"&lt;"&amp;DATE(YEAR(A90),MONTH(A90)+1,1),交易记录!$B$6:$B$605,"SMH",交易记录!$C$6:$C$605,"买入")</f>
        <v>0</v>
      </c>
      <c r="I90" s="15">
        <f t="shared" si="6"/>
        <v>0</v>
      </c>
      <c r="J90" s="15" t="str">
        <f t="shared" si="7"/>
        <v/>
      </c>
      <c r="K90" s="19" t="str">
        <f t="shared" si="8"/>
        <v>尚未记录买入</v>
      </c>
    </row>
    <row r="91" spans="1:11" ht="21.75" customHeight="1">
      <c r="A91" s="29">
        <f>DATE(2033,11,总览!$E$4)</f>
        <v>48893</v>
      </c>
      <c r="B91" s="15">
        <f>回撤计划!J94</f>
        <v>500</v>
      </c>
      <c r="C91" s="15">
        <f>B91*总览!$B$8</f>
        <v>450</v>
      </c>
      <c r="D91" s="15">
        <f>B91*总览!$B$9</f>
        <v>50</v>
      </c>
      <c r="E91" s="15">
        <f>B91*总览!$B$10</f>
        <v>0</v>
      </c>
      <c r="F91" s="15">
        <f>SUMIFS(交易记录!$D$6:$D$605,交易记录!$A$6:$A$605,"&gt;="&amp;DATE(YEAR(A91),MONTH(A91),1),交易记录!$A$6:$A$605,"&lt;"&amp;DATE(YEAR(A91),MONTH(A91)+1,1),交易记录!$B$6:$B$605,"VOO",交易记录!$C$6:$C$605,"买入")+SUMIFS(交易记录!$E$6:$E$605,交易记录!$A$6:$A$605,"&gt;="&amp;DATE(YEAR(A91),MONTH(A91),1),交易记录!$A$6:$A$605,"&lt;"&amp;DATE(YEAR(A91),MONTH(A91)+1,1),交易记录!$B$6:$B$605,"VOO",交易记录!$C$6:$C$605,"买入")</f>
        <v>0</v>
      </c>
      <c r="G91" s="15">
        <f>SUMIFS(交易记录!$D$6:$D$605,交易记录!$A$6:$A$605,"&gt;="&amp;DATE(YEAR(A91),MONTH(A91),1),交易记录!$A$6:$A$605,"&lt;"&amp;DATE(YEAR(A91),MONTH(A91)+1,1),交易记录!$B$6:$B$605,"QQQM",交易记录!$C$6:$C$605,"买入")+SUMIFS(交易记录!$E$6:$E$605,交易记录!$A$6:$A$605,"&gt;="&amp;DATE(YEAR(A91),MONTH(A91),1),交易记录!$A$6:$A$605,"&lt;"&amp;DATE(YEAR(A91),MONTH(A91)+1,1),交易记录!$B$6:$B$605,"QQQM",交易记录!$C$6:$C$605,"买入")</f>
        <v>0</v>
      </c>
      <c r="H91" s="15">
        <f>SUMIFS(交易记录!$D$6:$D$605,交易记录!$A$6:$A$605,"&gt;="&amp;DATE(YEAR(A91),MONTH(A91),1),交易记录!$A$6:$A$605,"&lt;"&amp;DATE(YEAR(A91),MONTH(A91)+1,1),交易记录!$B$6:$B$605,"SMH",交易记录!$C$6:$C$605,"买入")+SUMIFS(交易记录!$E$6:$E$605,交易记录!$A$6:$A$605,"&gt;="&amp;DATE(YEAR(A91),MONTH(A91),1),交易记录!$A$6:$A$605,"&lt;"&amp;DATE(YEAR(A91),MONTH(A91)+1,1),交易记录!$B$6:$B$605,"SMH",交易记录!$C$6:$C$605,"买入")</f>
        <v>0</v>
      </c>
      <c r="I91" s="15">
        <f t="shared" si="6"/>
        <v>0</v>
      </c>
      <c r="J91" s="15" t="str">
        <f t="shared" si="7"/>
        <v/>
      </c>
      <c r="K91" s="19" t="str">
        <f t="shared" si="8"/>
        <v>尚未记录买入</v>
      </c>
    </row>
    <row r="92" spans="1:11" ht="21.75" customHeight="1">
      <c r="A92" s="29">
        <f>DATE(2033,12,总览!$E$4)</f>
        <v>48923</v>
      </c>
      <c r="B92" s="15">
        <f>回撤计划!J95</f>
        <v>500</v>
      </c>
      <c r="C92" s="15">
        <f>B92*总览!$B$8</f>
        <v>450</v>
      </c>
      <c r="D92" s="15">
        <f>B92*总览!$B$9</f>
        <v>50</v>
      </c>
      <c r="E92" s="15">
        <f>B92*总览!$B$10</f>
        <v>0</v>
      </c>
      <c r="F92" s="15">
        <f>SUMIFS(交易记录!$D$6:$D$605,交易记录!$A$6:$A$605,"&gt;="&amp;DATE(YEAR(A92),MONTH(A92),1),交易记录!$A$6:$A$605,"&lt;"&amp;DATE(YEAR(A92),MONTH(A92)+1,1),交易记录!$B$6:$B$605,"VOO",交易记录!$C$6:$C$605,"买入")+SUMIFS(交易记录!$E$6:$E$605,交易记录!$A$6:$A$605,"&gt;="&amp;DATE(YEAR(A92),MONTH(A92),1),交易记录!$A$6:$A$605,"&lt;"&amp;DATE(YEAR(A92),MONTH(A92)+1,1),交易记录!$B$6:$B$605,"VOO",交易记录!$C$6:$C$605,"买入")</f>
        <v>0</v>
      </c>
      <c r="G92" s="15">
        <f>SUMIFS(交易记录!$D$6:$D$605,交易记录!$A$6:$A$605,"&gt;="&amp;DATE(YEAR(A92),MONTH(A92),1),交易记录!$A$6:$A$605,"&lt;"&amp;DATE(YEAR(A92),MONTH(A92)+1,1),交易记录!$B$6:$B$605,"QQQM",交易记录!$C$6:$C$605,"买入")+SUMIFS(交易记录!$E$6:$E$605,交易记录!$A$6:$A$605,"&gt;="&amp;DATE(YEAR(A92),MONTH(A92),1),交易记录!$A$6:$A$605,"&lt;"&amp;DATE(YEAR(A92),MONTH(A92)+1,1),交易记录!$B$6:$B$605,"QQQM",交易记录!$C$6:$C$605,"买入")</f>
        <v>0</v>
      </c>
      <c r="H92" s="15">
        <f>SUMIFS(交易记录!$D$6:$D$605,交易记录!$A$6:$A$605,"&gt;="&amp;DATE(YEAR(A92),MONTH(A92),1),交易记录!$A$6:$A$605,"&lt;"&amp;DATE(YEAR(A92),MONTH(A92)+1,1),交易记录!$B$6:$B$605,"SMH",交易记录!$C$6:$C$605,"买入")+SUMIFS(交易记录!$E$6:$E$605,交易记录!$A$6:$A$605,"&gt;="&amp;DATE(YEAR(A92),MONTH(A92),1),交易记录!$A$6:$A$605,"&lt;"&amp;DATE(YEAR(A92),MONTH(A92)+1,1),交易记录!$B$6:$B$605,"SMH",交易记录!$C$6:$C$605,"买入")</f>
        <v>0</v>
      </c>
      <c r="I92" s="15">
        <f t="shared" si="6"/>
        <v>0</v>
      </c>
      <c r="J92" s="15" t="str">
        <f t="shared" si="7"/>
        <v/>
      </c>
      <c r="K92" s="19" t="str">
        <f t="shared" si="8"/>
        <v>尚未记录买入</v>
      </c>
    </row>
    <row r="93" spans="1:11" ht="21.75" customHeight="1">
      <c r="A93" s="29">
        <f>DATE(2034,1,总览!$E$4)</f>
        <v>48954</v>
      </c>
      <c r="B93" s="15">
        <f>回撤计划!J96</f>
        <v>500</v>
      </c>
      <c r="C93" s="15">
        <f>B93*总览!$B$8</f>
        <v>450</v>
      </c>
      <c r="D93" s="15">
        <f>B93*总览!$B$9</f>
        <v>50</v>
      </c>
      <c r="E93" s="15">
        <f>B93*总览!$B$10</f>
        <v>0</v>
      </c>
      <c r="F93" s="15">
        <f>SUMIFS(交易记录!$D$6:$D$605,交易记录!$A$6:$A$605,"&gt;="&amp;DATE(YEAR(A93),MONTH(A93),1),交易记录!$A$6:$A$605,"&lt;"&amp;DATE(YEAR(A93),MONTH(A93)+1,1),交易记录!$B$6:$B$605,"VOO",交易记录!$C$6:$C$605,"买入")+SUMIFS(交易记录!$E$6:$E$605,交易记录!$A$6:$A$605,"&gt;="&amp;DATE(YEAR(A93),MONTH(A93),1),交易记录!$A$6:$A$605,"&lt;"&amp;DATE(YEAR(A93),MONTH(A93)+1,1),交易记录!$B$6:$B$605,"VOO",交易记录!$C$6:$C$605,"买入")</f>
        <v>0</v>
      </c>
      <c r="G93" s="15">
        <f>SUMIFS(交易记录!$D$6:$D$605,交易记录!$A$6:$A$605,"&gt;="&amp;DATE(YEAR(A93),MONTH(A93),1),交易记录!$A$6:$A$605,"&lt;"&amp;DATE(YEAR(A93),MONTH(A93)+1,1),交易记录!$B$6:$B$605,"QQQM",交易记录!$C$6:$C$605,"买入")+SUMIFS(交易记录!$E$6:$E$605,交易记录!$A$6:$A$605,"&gt;="&amp;DATE(YEAR(A93),MONTH(A93),1),交易记录!$A$6:$A$605,"&lt;"&amp;DATE(YEAR(A93),MONTH(A93)+1,1),交易记录!$B$6:$B$605,"QQQM",交易记录!$C$6:$C$605,"买入")</f>
        <v>0</v>
      </c>
      <c r="H93" s="15">
        <f>SUMIFS(交易记录!$D$6:$D$605,交易记录!$A$6:$A$605,"&gt;="&amp;DATE(YEAR(A93),MONTH(A93),1),交易记录!$A$6:$A$605,"&lt;"&amp;DATE(YEAR(A93),MONTH(A93)+1,1),交易记录!$B$6:$B$605,"SMH",交易记录!$C$6:$C$605,"买入")+SUMIFS(交易记录!$E$6:$E$605,交易记录!$A$6:$A$605,"&gt;="&amp;DATE(YEAR(A93),MONTH(A93),1),交易记录!$A$6:$A$605,"&lt;"&amp;DATE(YEAR(A93),MONTH(A93)+1,1),交易记录!$B$6:$B$605,"SMH",交易记录!$C$6:$C$605,"买入")</f>
        <v>0</v>
      </c>
      <c r="I93" s="15">
        <f t="shared" si="6"/>
        <v>0</v>
      </c>
      <c r="J93" s="15" t="str">
        <f t="shared" si="7"/>
        <v/>
      </c>
      <c r="K93" s="19" t="str">
        <f t="shared" si="8"/>
        <v>尚未记录买入</v>
      </c>
    </row>
    <row r="94" spans="1:11" ht="21.75" customHeight="1">
      <c r="A94" s="29">
        <f>DATE(2034,2,总览!$E$4)</f>
        <v>48985</v>
      </c>
      <c r="B94" s="15">
        <f>回撤计划!J97</f>
        <v>500</v>
      </c>
      <c r="C94" s="15">
        <f>B94*总览!$B$8</f>
        <v>450</v>
      </c>
      <c r="D94" s="15">
        <f>B94*总览!$B$9</f>
        <v>50</v>
      </c>
      <c r="E94" s="15">
        <f>B94*总览!$B$10</f>
        <v>0</v>
      </c>
      <c r="F94" s="15">
        <f>SUMIFS(交易记录!$D$6:$D$605,交易记录!$A$6:$A$605,"&gt;="&amp;DATE(YEAR(A94),MONTH(A94),1),交易记录!$A$6:$A$605,"&lt;"&amp;DATE(YEAR(A94),MONTH(A94)+1,1),交易记录!$B$6:$B$605,"VOO",交易记录!$C$6:$C$605,"买入")+SUMIFS(交易记录!$E$6:$E$605,交易记录!$A$6:$A$605,"&gt;="&amp;DATE(YEAR(A94),MONTH(A94),1),交易记录!$A$6:$A$605,"&lt;"&amp;DATE(YEAR(A94),MONTH(A94)+1,1),交易记录!$B$6:$B$605,"VOO",交易记录!$C$6:$C$605,"买入")</f>
        <v>0</v>
      </c>
      <c r="G94" s="15">
        <f>SUMIFS(交易记录!$D$6:$D$605,交易记录!$A$6:$A$605,"&gt;="&amp;DATE(YEAR(A94),MONTH(A94),1),交易记录!$A$6:$A$605,"&lt;"&amp;DATE(YEAR(A94),MONTH(A94)+1,1),交易记录!$B$6:$B$605,"QQQM",交易记录!$C$6:$C$605,"买入")+SUMIFS(交易记录!$E$6:$E$605,交易记录!$A$6:$A$605,"&gt;="&amp;DATE(YEAR(A94),MONTH(A94),1),交易记录!$A$6:$A$605,"&lt;"&amp;DATE(YEAR(A94),MONTH(A94)+1,1),交易记录!$B$6:$B$605,"QQQM",交易记录!$C$6:$C$605,"买入")</f>
        <v>0</v>
      </c>
      <c r="H94" s="15">
        <f>SUMIFS(交易记录!$D$6:$D$605,交易记录!$A$6:$A$605,"&gt;="&amp;DATE(YEAR(A94),MONTH(A94),1),交易记录!$A$6:$A$605,"&lt;"&amp;DATE(YEAR(A94),MONTH(A94)+1,1),交易记录!$B$6:$B$605,"SMH",交易记录!$C$6:$C$605,"买入")+SUMIFS(交易记录!$E$6:$E$605,交易记录!$A$6:$A$605,"&gt;="&amp;DATE(YEAR(A94),MONTH(A94),1),交易记录!$A$6:$A$605,"&lt;"&amp;DATE(YEAR(A94),MONTH(A94)+1,1),交易记录!$B$6:$B$605,"SMH",交易记录!$C$6:$C$605,"买入")</f>
        <v>0</v>
      </c>
      <c r="I94" s="15">
        <f t="shared" si="6"/>
        <v>0</v>
      </c>
      <c r="J94" s="15" t="str">
        <f t="shared" si="7"/>
        <v/>
      </c>
      <c r="K94" s="19" t="str">
        <f t="shared" si="8"/>
        <v>尚未记录买入</v>
      </c>
    </row>
    <row r="95" spans="1:11" ht="21.75" customHeight="1">
      <c r="A95" s="29">
        <f>DATE(2034,3,总览!$E$4)</f>
        <v>49013</v>
      </c>
      <c r="B95" s="15">
        <f>回撤计划!J98</f>
        <v>500</v>
      </c>
      <c r="C95" s="15">
        <f>B95*总览!$B$8</f>
        <v>450</v>
      </c>
      <c r="D95" s="15">
        <f>B95*总览!$B$9</f>
        <v>50</v>
      </c>
      <c r="E95" s="15">
        <f>B95*总览!$B$10</f>
        <v>0</v>
      </c>
      <c r="F95" s="15">
        <f>SUMIFS(交易记录!$D$6:$D$605,交易记录!$A$6:$A$605,"&gt;="&amp;DATE(YEAR(A95),MONTH(A95),1),交易记录!$A$6:$A$605,"&lt;"&amp;DATE(YEAR(A95),MONTH(A95)+1,1),交易记录!$B$6:$B$605,"VOO",交易记录!$C$6:$C$605,"买入")+SUMIFS(交易记录!$E$6:$E$605,交易记录!$A$6:$A$605,"&gt;="&amp;DATE(YEAR(A95),MONTH(A95),1),交易记录!$A$6:$A$605,"&lt;"&amp;DATE(YEAR(A95),MONTH(A95)+1,1),交易记录!$B$6:$B$605,"VOO",交易记录!$C$6:$C$605,"买入")</f>
        <v>0</v>
      </c>
      <c r="G95" s="15">
        <f>SUMIFS(交易记录!$D$6:$D$605,交易记录!$A$6:$A$605,"&gt;="&amp;DATE(YEAR(A95),MONTH(A95),1),交易记录!$A$6:$A$605,"&lt;"&amp;DATE(YEAR(A95),MONTH(A95)+1,1),交易记录!$B$6:$B$605,"QQQM",交易记录!$C$6:$C$605,"买入")+SUMIFS(交易记录!$E$6:$E$605,交易记录!$A$6:$A$605,"&gt;="&amp;DATE(YEAR(A95),MONTH(A95),1),交易记录!$A$6:$A$605,"&lt;"&amp;DATE(YEAR(A95),MONTH(A95)+1,1),交易记录!$B$6:$B$605,"QQQM",交易记录!$C$6:$C$605,"买入")</f>
        <v>0</v>
      </c>
      <c r="H95" s="15">
        <f>SUMIFS(交易记录!$D$6:$D$605,交易记录!$A$6:$A$605,"&gt;="&amp;DATE(YEAR(A95),MONTH(A95),1),交易记录!$A$6:$A$605,"&lt;"&amp;DATE(YEAR(A95),MONTH(A95)+1,1),交易记录!$B$6:$B$605,"SMH",交易记录!$C$6:$C$605,"买入")+SUMIFS(交易记录!$E$6:$E$605,交易记录!$A$6:$A$605,"&gt;="&amp;DATE(YEAR(A95),MONTH(A95),1),交易记录!$A$6:$A$605,"&lt;"&amp;DATE(YEAR(A95),MONTH(A95)+1,1),交易记录!$B$6:$B$605,"SMH",交易记录!$C$6:$C$605,"买入")</f>
        <v>0</v>
      </c>
      <c r="I95" s="15">
        <f t="shared" si="6"/>
        <v>0</v>
      </c>
      <c r="J95" s="15" t="str">
        <f t="shared" si="7"/>
        <v/>
      </c>
      <c r="K95" s="19" t="str">
        <f t="shared" si="8"/>
        <v>尚未记录买入</v>
      </c>
    </row>
    <row r="96" spans="1:11" ht="21.75" customHeight="1">
      <c r="A96" s="29">
        <f>DATE(2034,4,总览!$E$4)</f>
        <v>49044</v>
      </c>
      <c r="B96" s="15">
        <f>回撤计划!J99</f>
        <v>500</v>
      </c>
      <c r="C96" s="15">
        <f>B96*总览!$B$8</f>
        <v>450</v>
      </c>
      <c r="D96" s="15">
        <f>B96*总览!$B$9</f>
        <v>50</v>
      </c>
      <c r="E96" s="15">
        <f>B96*总览!$B$10</f>
        <v>0</v>
      </c>
      <c r="F96" s="15">
        <f>SUMIFS(交易记录!$D$6:$D$605,交易记录!$A$6:$A$605,"&gt;="&amp;DATE(YEAR(A96),MONTH(A96),1),交易记录!$A$6:$A$605,"&lt;"&amp;DATE(YEAR(A96),MONTH(A96)+1,1),交易记录!$B$6:$B$605,"VOO",交易记录!$C$6:$C$605,"买入")+SUMIFS(交易记录!$E$6:$E$605,交易记录!$A$6:$A$605,"&gt;="&amp;DATE(YEAR(A96),MONTH(A96),1),交易记录!$A$6:$A$605,"&lt;"&amp;DATE(YEAR(A96),MONTH(A96)+1,1),交易记录!$B$6:$B$605,"VOO",交易记录!$C$6:$C$605,"买入")</f>
        <v>0</v>
      </c>
      <c r="G96" s="15">
        <f>SUMIFS(交易记录!$D$6:$D$605,交易记录!$A$6:$A$605,"&gt;="&amp;DATE(YEAR(A96),MONTH(A96),1),交易记录!$A$6:$A$605,"&lt;"&amp;DATE(YEAR(A96),MONTH(A96)+1,1),交易记录!$B$6:$B$605,"QQQM",交易记录!$C$6:$C$605,"买入")+SUMIFS(交易记录!$E$6:$E$605,交易记录!$A$6:$A$605,"&gt;="&amp;DATE(YEAR(A96),MONTH(A96),1),交易记录!$A$6:$A$605,"&lt;"&amp;DATE(YEAR(A96),MONTH(A96)+1,1),交易记录!$B$6:$B$605,"QQQM",交易记录!$C$6:$C$605,"买入")</f>
        <v>0</v>
      </c>
      <c r="H96" s="15">
        <f>SUMIFS(交易记录!$D$6:$D$605,交易记录!$A$6:$A$605,"&gt;="&amp;DATE(YEAR(A96),MONTH(A96),1),交易记录!$A$6:$A$605,"&lt;"&amp;DATE(YEAR(A96),MONTH(A96)+1,1),交易记录!$B$6:$B$605,"SMH",交易记录!$C$6:$C$605,"买入")+SUMIFS(交易记录!$E$6:$E$605,交易记录!$A$6:$A$605,"&gt;="&amp;DATE(YEAR(A96),MONTH(A96),1),交易记录!$A$6:$A$605,"&lt;"&amp;DATE(YEAR(A96),MONTH(A96)+1,1),交易记录!$B$6:$B$605,"SMH",交易记录!$C$6:$C$605,"买入")</f>
        <v>0</v>
      </c>
      <c r="I96" s="15">
        <f t="shared" si="6"/>
        <v>0</v>
      </c>
      <c r="J96" s="15" t="str">
        <f t="shared" si="7"/>
        <v/>
      </c>
      <c r="K96" s="19" t="str">
        <f t="shared" si="8"/>
        <v>尚未记录买入</v>
      </c>
    </row>
    <row r="97" spans="1:11" ht="21.75" customHeight="1">
      <c r="A97" s="29">
        <f>DATE(2034,5,总览!$E$4)</f>
        <v>49074</v>
      </c>
      <c r="B97" s="15">
        <f>回撤计划!J100</f>
        <v>500</v>
      </c>
      <c r="C97" s="15">
        <f>B97*总览!$B$8</f>
        <v>450</v>
      </c>
      <c r="D97" s="15">
        <f>B97*总览!$B$9</f>
        <v>50</v>
      </c>
      <c r="E97" s="15">
        <f>B97*总览!$B$10</f>
        <v>0</v>
      </c>
      <c r="F97" s="15">
        <f>SUMIFS(交易记录!$D$6:$D$605,交易记录!$A$6:$A$605,"&gt;="&amp;DATE(YEAR(A97),MONTH(A97),1),交易记录!$A$6:$A$605,"&lt;"&amp;DATE(YEAR(A97),MONTH(A97)+1,1),交易记录!$B$6:$B$605,"VOO",交易记录!$C$6:$C$605,"买入")+SUMIFS(交易记录!$E$6:$E$605,交易记录!$A$6:$A$605,"&gt;="&amp;DATE(YEAR(A97),MONTH(A97),1),交易记录!$A$6:$A$605,"&lt;"&amp;DATE(YEAR(A97),MONTH(A97)+1,1),交易记录!$B$6:$B$605,"VOO",交易记录!$C$6:$C$605,"买入")</f>
        <v>0</v>
      </c>
      <c r="G97" s="15">
        <f>SUMIFS(交易记录!$D$6:$D$605,交易记录!$A$6:$A$605,"&gt;="&amp;DATE(YEAR(A97),MONTH(A97),1),交易记录!$A$6:$A$605,"&lt;"&amp;DATE(YEAR(A97),MONTH(A97)+1,1),交易记录!$B$6:$B$605,"QQQM",交易记录!$C$6:$C$605,"买入")+SUMIFS(交易记录!$E$6:$E$605,交易记录!$A$6:$A$605,"&gt;="&amp;DATE(YEAR(A97),MONTH(A97),1),交易记录!$A$6:$A$605,"&lt;"&amp;DATE(YEAR(A97),MONTH(A97)+1,1),交易记录!$B$6:$B$605,"QQQM",交易记录!$C$6:$C$605,"买入")</f>
        <v>0</v>
      </c>
      <c r="H97" s="15">
        <f>SUMIFS(交易记录!$D$6:$D$605,交易记录!$A$6:$A$605,"&gt;="&amp;DATE(YEAR(A97),MONTH(A97),1),交易记录!$A$6:$A$605,"&lt;"&amp;DATE(YEAR(A97),MONTH(A97)+1,1),交易记录!$B$6:$B$605,"SMH",交易记录!$C$6:$C$605,"买入")+SUMIFS(交易记录!$E$6:$E$605,交易记录!$A$6:$A$605,"&gt;="&amp;DATE(YEAR(A97),MONTH(A97),1),交易记录!$A$6:$A$605,"&lt;"&amp;DATE(YEAR(A97),MONTH(A97)+1,1),交易记录!$B$6:$B$605,"SMH",交易记录!$C$6:$C$605,"买入")</f>
        <v>0</v>
      </c>
      <c r="I97" s="15">
        <f t="shared" si="6"/>
        <v>0</v>
      </c>
      <c r="J97" s="15" t="str">
        <f t="shared" si="7"/>
        <v/>
      </c>
      <c r="K97" s="19" t="str">
        <f t="shared" si="8"/>
        <v>尚未记录买入</v>
      </c>
    </row>
    <row r="98" spans="1:11" ht="21.75" customHeight="1">
      <c r="A98" s="29">
        <f>DATE(2034,6,总览!$E$4)</f>
        <v>49105</v>
      </c>
      <c r="B98" s="15">
        <f>回撤计划!J101</f>
        <v>500</v>
      </c>
      <c r="C98" s="15">
        <f>B98*总览!$B$8</f>
        <v>450</v>
      </c>
      <c r="D98" s="15">
        <f>B98*总览!$B$9</f>
        <v>50</v>
      </c>
      <c r="E98" s="15">
        <f>B98*总览!$B$10</f>
        <v>0</v>
      </c>
      <c r="F98" s="15">
        <f>SUMIFS(交易记录!$D$6:$D$605,交易记录!$A$6:$A$605,"&gt;="&amp;DATE(YEAR(A98),MONTH(A98),1),交易记录!$A$6:$A$605,"&lt;"&amp;DATE(YEAR(A98),MONTH(A98)+1,1),交易记录!$B$6:$B$605,"VOO",交易记录!$C$6:$C$605,"买入")+SUMIFS(交易记录!$E$6:$E$605,交易记录!$A$6:$A$605,"&gt;="&amp;DATE(YEAR(A98),MONTH(A98),1),交易记录!$A$6:$A$605,"&lt;"&amp;DATE(YEAR(A98),MONTH(A98)+1,1),交易记录!$B$6:$B$605,"VOO",交易记录!$C$6:$C$605,"买入")</f>
        <v>0</v>
      </c>
      <c r="G98" s="15">
        <f>SUMIFS(交易记录!$D$6:$D$605,交易记录!$A$6:$A$605,"&gt;="&amp;DATE(YEAR(A98),MONTH(A98),1),交易记录!$A$6:$A$605,"&lt;"&amp;DATE(YEAR(A98),MONTH(A98)+1,1),交易记录!$B$6:$B$605,"QQQM",交易记录!$C$6:$C$605,"买入")+SUMIFS(交易记录!$E$6:$E$605,交易记录!$A$6:$A$605,"&gt;="&amp;DATE(YEAR(A98),MONTH(A98),1),交易记录!$A$6:$A$605,"&lt;"&amp;DATE(YEAR(A98),MONTH(A98)+1,1),交易记录!$B$6:$B$605,"QQQM",交易记录!$C$6:$C$605,"买入")</f>
        <v>0</v>
      </c>
      <c r="H98" s="15">
        <f>SUMIFS(交易记录!$D$6:$D$605,交易记录!$A$6:$A$605,"&gt;="&amp;DATE(YEAR(A98),MONTH(A98),1),交易记录!$A$6:$A$605,"&lt;"&amp;DATE(YEAR(A98),MONTH(A98)+1,1),交易记录!$B$6:$B$605,"SMH",交易记录!$C$6:$C$605,"买入")+SUMIFS(交易记录!$E$6:$E$605,交易记录!$A$6:$A$605,"&gt;="&amp;DATE(YEAR(A98),MONTH(A98),1),交易记录!$A$6:$A$605,"&lt;"&amp;DATE(YEAR(A98),MONTH(A98)+1,1),交易记录!$B$6:$B$605,"SMH",交易记录!$C$6:$C$605,"买入")</f>
        <v>0</v>
      </c>
      <c r="I98" s="15">
        <f t="shared" si="6"/>
        <v>0</v>
      </c>
      <c r="J98" s="15" t="str">
        <f t="shared" si="7"/>
        <v/>
      </c>
      <c r="K98" s="19" t="str">
        <f t="shared" si="8"/>
        <v>尚未记录买入</v>
      </c>
    </row>
    <row r="99" spans="1:11" ht="21.75" customHeight="1">
      <c r="A99" s="29">
        <f>DATE(2034,7,总览!$E$4)</f>
        <v>49135</v>
      </c>
      <c r="B99" s="15">
        <f>回撤计划!J102</f>
        <v>500</v>
      </c>
      <c r="C99" s="15">
        <f>B99*总览!$B$8</f>
        <v>450</v>
      </c>
      <c r="D99" s="15">
        <f>B99*总览!$B$9</f>
        <v>50</v>
      </c>
      <c r="E99" s="15">
        <f>B99*总览!$B$10</f>
        <v>0</v>
      </c>
      <c r="F99" s="15">
        <f>SUMIFS(交易记录!$D$6:$D$605,交易记录!$A$6:$A$605,"&gt;="&amp;DATE(YEAR(A99),MONTH(A99),1),交易记录!$A$6:$A$605,"&lt;"&amp;DATE(YEAR(A99),MONTH(A99)+1,1),交易记录!$B$6:$B$605,"VOO",交易记录!$C$6:$C$605,"买入")+SUMIFS(交易记录!$E$6:$E$605,交易记录!$A$6:$A$605,"&gt;="&amp;DATE(YEAR(A99),MONTH(A99),1),交易记录!$A$6:$A$605,"&lt;"&amp;DATE(YEAR(A99),MONTH(A99)+1,1),交易记录!$B$6:$B$605,"VOO",交易记录!$C$6:$C$605,"买入")</f>
        <v>0</v>
      </c>
      <c r="G99" s="15">
        <f>SUMIFS(交易记录!$D$6:$D$605,交易记录!$A$6:$A$605,"&gt;="&amp;DATE(YEAR(A99),MONTH(A99),1),交易记录!$A$6:$A$605,"&lt;"&amp;DATE(YEAR(A99),MONTH(A99)+1,1),交易记录!$B$6:$B$605,"QQQM",交易记录!$C$6:$C$605,"买入")+SUMIFS(交易记录!$E$6:$E$605,交易记录!$A$6:$A$605,"&gt;="&amp;DATE(YEAR(A99),MONTH(A99),1),交易记录!$A$6:$A$605,"&lt;"&amp;DATE(YEAR(A99),MONTH(A99)+1,1),交易记录!$B$6:$B$605,"QQQM",交易记录!$C$6:$C$605,"买入")</f>
        <v>0</v>
      </c>
      <c r="H99" s="15">
        <f>SUMIFS(交易记录!$D$6:$D$605,交易记录!$A$6:$A$605,"&gt;="&amp;DATE(YEAR(A99),MONTH(A99),1),交易记录!$A$6:$A$605,"&lt;"&amp;DATE(YEAR(A99),MONTH(A99)+1,1),交易记录!$B$6:$B$605,"SMH",交易记录!$C$6:$C$605,"买入")+SUMIFS(交易记录!$E$6:$E$605,交易记录!$A$6:$A$605,"&gt;="&amp;DATE(YEAR(A99),MONTH(A99),1),交易记录!$A$6:$A$605,"&lt;"&amp;DATE(YEAR(A99),MONTH(A99)+1,1),交易记录!$B$6:$B$605,"SMH",交易记录!$C$6:$C$605,"买入")</f>
        <v>0</v>
      </c>
      <c r="I99" s="15">
        <f t="shared" si="6"/>
        <v>0</v>
      </c>
      <c r="J99" s="15" t="str">
        <f t="shared" si="7"/>
        <v/>
      </c>
      <c r="K99" s="19" t="str">
        <f t="shared" si="8"/>
        <v>尚未记录买入</v>
      </c>
    </row>
    <row r="100" spans="1:11" ht="21.75" customHeight="1">
      <c r="A100" s="29">
        <f>DATE(2034,8,总览!$E$4)</f>
        <v>49166</v>
      </c>
      <c r="B100" s="15">
        <f>回撤计划!J103</f>
        <v>500</v>
      </c>
      <c r="C100" s="15">
        <f>B100*总览!$B$8</f>
        <v>450</v>
      </c>
      <c r="D100" s="15">
        <f>B100*总览!$B$9</f>
        <v>50</v>
      </c>
      <c r="E100" s="15">
        <f>B100*总览!$B$10</f>
        <v>0</v>
      </c>
      <c r="F100" s="15">
        <f>SUMIFS(交易记录!$D$6:$D$605,交易记录!$A$6:$A$605,"&gt;="&amp;DATE(YEAR(A100),MONTH(A100),1),交易记录!$A$6:$A$605,"&lt;"&amp;DATE(YEAR(A100),MONTH(A100)+1,1),交易记录!$B$6:$B$605,"VOO",交易记录!$C$6:$C$605,"买入")+SUMIFS(交易记录!$E$6:$E$605,交易记录!$A$6:$A$605,"&gt;="&amp;DATE(YEAR(A100),MONTH(A100),1),交易记录!$A$6:$A$605,"&lt;"&amp;DATE(YEAR(A100),MONTH(A100)+1,1),交易记录!$B$6:$B$605,"VOO",交易记录!$C$6:$C$605,"买入")</f>
        <v>0</v>
      </c>
      <c r="G100" s="15">
        <f>SUMIFS(交易记录!$D$6:$D$605,交易记录!$A$6:$A$605,"&gt;="&amp;DATE(YEAR(A100),MONTH(A100),1),交易记录!$A$6:$A$605,"&lt;"&amp;DATE(YEAR(A100),MONTH(A100)+1,1),交易记录!$B$6:$B$605,"QQQM",交易记录!$C$6:$C$605,"买入")+SUMIFS(交易记录!$E$6:$E$605,交易记录!$A$6:$A$605,"&gt;="&amp;DATE(YEAR(A100),MONTH(A100),1),交易记录!$A$6:$A$605,"&lt;"&amp;DATE(YEAR(A100),MONTH(A100)+1,1),交易记录!$B$6:$B$605,"QQQM",交易记录!$C$6:$C$605,"买入")</f>
        <v>0</v>
      </c>
      <c r="H100" s="15">
        <f>SUMIFS(交易记录!$D$6:$D$605,交易记录!$A$6:$A$605,"&gt;="&amp;DATE(YEAR(A100),MONTH(A100),1),交易记录!$A$6:$A$605,"&lt;"&amp;DATE(YEAR(A100),MONTH(A100)+1,1),交易记录!$B$6:$B$605,"SMH",交易记录!$C$6:$C$605,"买入")+SUMIFS(交易记录!$E$6:$E$605,交易记录!$A$6:$A$605,"&gt;="&amp;DATE(YEAR(A100),MONTH(A100),1),交易记录!$A$6:$A$605,"&lt;"&amp;DATE(YEAR(A100),MONTH(A100)+1,1),交易记录!$B$6:$B$605,"SMH",交易记录!$C$6:$C$605,"买入")</f>
        <v>0</v>
      </c>
      <c r="I100" s="15">
        <f t="shared" si="6"/>
        <v>0</v>
      </c>
      <c r="J100" s="15" t="str">
        <f t="shared" si="7"/>
        <v/>
      </c>
      <c r="K100" s="19" t="str">
        <f t="shared" si="8"/>
        <v>尚未记录买入</v>
      </c>
    </row>
    <row r="101" spans="1:11" ht="21.75" customHeight="1">
      <c r="A101" s="29">
        <f>DATE(2034,9,总览!$E$4)</f>
        <v>49197</v>
      </c>
      <c r="B101" s="15">
        <f>回撤计划!J104</f>
        <v>500</v>
      </c>
      <c r="C101" s="15">
        <f>B101*总览!$B$8</f>
        <v>450</v>
      </c>
      <c r="D101" s="15">
        <f>B101*总览!$B$9</f>
        <v>50</v>
      </c>
      <c r="E101" s="15">
        <f>B101*总览!$B$10</f>
        <v>0</v>
      </c>
      <c r="F101" s="15">
        <f>SUMIFS(交易记录!$D$6:$D$605,交易记录!$A$6:$A$605,"&gt;="&amp;DATE(YEAR(A101),MONTH(A101),1),交易记录!$A$6:$A$605,"&lt;"&amp;DATE(YEAR(A101),MONTH(A101)+1,1),交易记录!$B$6:$B$605,"VOO",交易记录!$C$6:$C$605,"买入")+SUMIFS(交易记录!$E$6:$E$605,交易记录!$A$6:$A$605,"&gt;="&amp;DATE(YEAR(A101),MONTH(A101),1),交易记录!$A$6:$A$605,"&lt;"&amp;DATE(YEAR(A101),MONTH(A101)+1,1),交易记录!$B$6:$B$605,"VOO",交易记录!$C$6:$C$605,"买入")</f>
        <v>0</v>
      </c>
      <c r="G101" s="15">
        <f>SUMIFS(交易记录!$D$6:$D$605,交易记录!$A$6:$A$605,"&gt;="&amp;DATE(YEAR(A101),MONTH(A101),1),交易记录!$A$6:$A$605,"&lt;"&amp;DATE(YEAR(A101),MONTH(A101)+1,1),交易记录!$B$6:$B$605,"QQQM",交易记录!$C$6:$C$605,"买入")+SUMIFS(交易记录!$E$6:$E$605,交易记录!$A$6:$A$605,"&gt;="&amp;DATE(YEAR(A101),MONTH(A101),1),交易记录!$A$6:$A$605,"&lt;"&amp;DATE(YEAR(A101),MONTH(A101)+1,1),交易记录!$B$6:$B$605,"QQQM",交易记录!$C$6:$C$605,"买入")</f>
        <v>0</v>
      </c>
      <c r="H101" s="15">
        <f>SUMIFS(交易记录!$D$6:$D$605,交易记录!$A$6:$A$605,"&gt;="&amp;DATE(YEAR(A101),MONTH(A101),1),交易记录!$A$6:$A$605,"&lt;"&amp;DATE(YEAR(A101),MONTH(A101)+1,1),交易记录!$B$6:$B$605,"SMH",交易记录!$C$6:$C$605,"买入")+SUMIFS(交易记录!$E$6:$E$605,交易记录!$A$6:$A$605,"&gt;="&amp;DATE(YEAR(A101),MONTH(A101),1),交易记录!$A$6:$A$605,"&lt;"&amp;DATE(YEAR(A101),MONTH(A101)+1,1),交易记录!$B$6:$B$605,"SMH",交易记录!$C$6:$C$605,"买入")</f>
        <v>0</v>
      </c>
      <c r="I101" s="15">
        <f t="shared" si="6"/>
        <v>0</v>
      </c>
      <c r="J101" s="15" t="str">
        <f t="shared" si="7"/>
        <v/>
      </c>
      <c r="K101" s="19" t="str">
        <f t="shared" si="8"/>
        <v>尚未记录买入</v>
      </c>
    </row>
    <row r="102" spans="1:11" ht="21.75" customHeight="1">
      <c r="A102" s="29">
        <f>DATE(2034,10,总览!$E$4)</f>
        <v>49227</v>
      </c>
      <c r="B102" s="15">
        <f>回撤计划!J105</f>
        <v>500</v>
      </c>
      <c r="C102" s="15">
        <f>B102*总览!$B$8</f>
        <v>450</v>
      </c>
      <c r="D102" s="15">
        <f>B102*总览!$B$9</f>
        <v>50</v>
      </c>
      <c r="E102" s="15">
        <f>B102*总览!$B$10</f>
        <v>0</v>
      </c>
      <c r="F102" s="15">
        <f>SUMIFS(交易记录!$D$6:$D$605,交易记录!$A$6:$A$605,"&gt;="&amp;DATE(YEAR(A102),MONTH(A102),1),交易记录!$A$6:$A$605,"&lt;"&amp;DATE(YEAR(A102),MONTH(A102)+1,1),交易记录!$B$6:$B$605,"VOO",交易记录!$C$6:$C$605,"买入")+SUMIFS(交易记录!$E$6:$E$605,交易记录!$A$6:$A$605,"&gt;="&amp;DATE(YEAR(A102),MONTH(A102),1),交易记录!$A$6:$A$605,"&lt;"&amp;DATE(YEAR(A102),MONTH(A102)+1,1),交易记录!$B$6:$B$605,"VOO",交易记录!$C$6:$C$605,"买入")</f>
        <v>0</v>
      </c>
      <c r="G102" s="15">
        <f>SUMIFS(交易记录!$D$6:$D$605,交易记录!$A$6:$A$605,"&gt;="&amp;DATE(YEAR(A102),MONTH(A102),1),交易记录!$A$6:$A$605,"&lt;"&amp;DATE(YEAR(A102),MONTH(A102)+1,1),交易记录!$B$6:$B$605,"QQQM",交易记录!$C$6:$C$605,"买入")+SUMIFS(交易记录!$E$6:$E$605,交易记录!$A$6:$A$605,"&gt;="&amp;DATE(YEAR(A102),MONTH(A102),1),交易记录!$A$6:$A$605,"&lt;"&amp;DATE(YEAR(A102),MONTH(A102)+1,1),交易记录!$B$6:$B$605,"QQQM",交易记录!$C$6:$C$605,"买入")</f>
        <v>0</v>
      </c>
      <c r="H102" s="15">
        <f>SUMIFS(交易记录!$D$6:$D$605,交易记录!$A$6:$A$605,"&gt;="&amp;DATE(YEAR(A102),MONTH(A102),1),交易记录!$A$6:$A$605,"&lt;"&amp;DATE(YEAR(A102),MONTH(A102)+1,1),交易记录!$B$6:$B$605,"SMH",交易记录!$C$6:$C$605,"买入")+SUMIFS(交易记录!$E$6:$E$605,交易记录!$A$6:$A$605,"&gt;="&amp;DATE(YEAR(A102),MONTH(A102),1),交易记录!$A$6:$A$605,"&lt;"&amp;DATE(YEAR(A102),MONTH(A102)+1,1),交易记录!$B$6:$B$605,"SMH",交易记录!$C$6:$C$605,"买入")</f>
        <v>0</v>
      </c>
      <c r="I102" s="15">
        <f t="shared" ref="I102:I133" si="9">SUM(F102:H102)</f>
        <v>0</v>
      </c>
      <c r="J102" s="15" t="str">
        <f t="shared" ref="J102:J133" si="10">IF(I102=0,"",I102-B102)</f>
        <v/>
      </c>
      <c r="K102" s="19" t="str">
        <f t="shared" ref="K102:K133" si="11">IF(I102=0,"尚未记录买入",IF(ABS(J102)&lt;0.01,"已记录预算金额","已记录，金额有差额"))</f>
        <v>尚未记录买入</v>
      </c>
    </row>
    <row r="103" spans="1:11" ht="21.75" customHeight="1">
      <c r="A103" s="29">
        <f>DATE(2034,11,总览!$E$4)</f>
        <v>49258</v>
      </c>
      <c r="B103" s="15">
        <f>回撤计划!J106</f>
        <v>500</v>
      </c>
      <c r="C103" s="15">
        <f>B103*总览!$B$8</f>
        <v>450</v>
      </c>
      <c r="D103" s="15">
        <f>B103*总览!$B$9</f>
        <v>50</v>
      </c>
      <c r="E103" s="15">
        <f>B103*总览!$B$10</f>
        <v>0</v>
      </c>
      <c r="F103" s="15">
        <f>SUMIFS(交易记录!$D$6:$D$605,交易记录!$A$6:$A$605,"&gt;="&amp;DATE(YEAR(A103),MONTH(A103),1),交易记录!$A$6:$A$605,"&lt;"&amp;DATE(YEAR(A103),MONTH(A103)+1,1),交易记录!$B$6:$B$605,"VOO",交易记录!$C$6:$C$605,"买入")+SUMIFS(交易记录!$E$6:$E$605,交易记录!$A$6:$A$605,"&gt;="&amp;DATE(YEAR(A103),MONTH(A103),1),交易记录!$A$6:$A$605,"&lt;"&amp;DATE(YEAR(A103),MONTH(A103)+1,1),交易记录!$B$6:$B$605,"VOO",交易记录!$C$6:$C$605,"买入")</f>
        <v>0</v>
      </c>
      <c r="G103" s="15">
        <f>SUMIFS(交易记录!$D$6:$D$605,交易记录!$A$6:$A$605,"&gt;="&amp;DATE(YEAR(A103),MONTH(A103),1),交易记录!$A$6:$A$605,"&lt;"&amp;DATE(YEAR(A103),MONTH(A103)+1,1),交易记录!$B$6:$B$605,"QQQM",交易记录!$C$6:$C$605,"买入")+SUMIFS(交易记录!$E$6:$E$605,交易记录!$A$6:$A$605,"&gt;="&amp;DATE(YEAR(A103),MONTH(A103),1),交易记录!$A$6:$A$605,"&lt;"&amp;DATE(YEAR(A103),MONTH(A103)+1,1),交易记录!$B$6:$B$605,"QQQM",交易记录!$C$6:$C$605,"买入")</f>
        <v>0</v>
      </c>
      <c r="H103" s="15">
        <f>SUMIFS(交易记录!$D$6:$D$605,交易记录!$A$6:$A$605,"&gt;="&amp;DATE(YEAR(A103),MONTH(A103),1),交易记录!$A$6:$A$605,"&lt;"&amp;DATE(YEAR(A103),MONTH(A103)+1,1),交易记录!$B$6:$B$605,"SMH",交易记录!$C$6:$C$605,"买入")+SUMIFS(交易记录!$E$6:$E$605,交易记录!$A$6:$A$605,"&gt;="&amp;DATE(YEAR(A103),MONTH(A103),1),交易记录!$A$6:$A$605,"&lt;"&amp;DATE(YEAR(A103),MONTH(A103)+1,1),交易记录!$B$6:$B$605,"SMH",交易记录!$C$6:$C$605,"买入")</f>
        <v>0</v>
      </c>
      <c r="I103" s="15">
        <f t="shared" si="9"/>
        <v>0</v>
      </c>
      <c r="J103" s="15" t="str">
        <f t="shared" si="10"/>
        <v/>
      </c>
      <c r="K103" s="19" t="str">
        <f t="shared" si="11"/>
        <v>尚未记录买入</v>
      </c>
    </row>
    <row r="104" spans="1:11" ht="21.75" customHeight="1">
      <c r="A104" s="29">
        <f>DATE(2034,12,总览!$E$4)</f>
        <v>49288</v>
      </c>
      <c r="B104" s="15">
        <f>回撤计划!J107</f>
        <v>500</v>
      </c>
      <c r="C104" s="15">
        <f>B104*总览!$B$8</f>
        <v>450</v>
      </c>
      <c r="D104" s="15">
        <f>B104*总览!$B$9</f>
        <v>50</v>
      </c>
      <c r="E104" s="15">
        <f>B104*总览!$B$10</f>
        <v>0</v>
      </c>
      <c r="F104" s="15">
        <f>SUMIFS(交易记录!$D$6:$D$605,交易记录!$A$6:$A$605,"&gt;="&amp;DATE(YEAR(A104),MONTH(A104),1),交易记录!$A$6:$A$605,"&lt;"&amp;DATE(YEAR(A104),MONTH(A104)+1,1),交易记录!$B$6:$B$605,"VOO",交易记录!$C$6:$C$605,"买入")+SUMIFS(交易记录!$E$6:$E$605,交易记录!$A$6:$A$605,"&gt;="&amp;DATE(YEAR(A104),MONTH(A104),1),交易记录!$A$6:$A$605,"&lt;"&amp;DATE(YEAR(A104),MONTH(A104)+1,1),交易记录!$B$6:$B$605,"VOO",交易记录!$C$6:$C$605,"买入")</f>
        <v>0</v>
      </c>
      <c r="G104" s="15">
        <f>SUMIFS(交易记录!$D$6:$D$605,交易记录!$A$6:$A$605,"&gt;="&amp;DATE(YEAR(A104),MONTH(A104),1),交易记录!$A$6:$A$605,"&lt;"&amp;DATE(YEAR(A104),MONTH(A104)+1,1),交易记录!$B$6:$B$605,"QQQM",交易记录!$C$6:$C$605,"买入")+SUMIFS(交易记录!$E$6:$E$605,交易记录!$A$6:$A$605,"&gt;="&amp;DATE(YEAR(A104),MONTH(A104),1),交易记录!$A$6:$A$605,"&lt;"&amp;DATE(YEAR(A104),MONTH(A104)+1,1),交易记录!$B$6:$B$605,"QQQM",交易记录!$C$6:$C$605,"买入")</f>
        <v>0</v>
      </c>
      <c r="H104" s="15">
        <f>SUMIFS(交易记录!$D$6:$D$605,交易记录!$A$6:$A$605,"&gt;="&amp;DATE(YEAR(A104),MONTH(A104),1),交易记录!$A$6:$A$605,"&lt;"&amp;DATE(YEAR(A104),MONTH(A104)+1,1),交易记录!$B$6:$B$605,"SMH",交易记录!$C$6:$C$605,"买入")+SUMIFS(交易记录!$E$6:$E$605,交易记录!$A$6:$A$605,"&gt;="&amp;DATE(YEAR(A104),MONTH(A104),1),交易记录!$A$6:$A$605,"&lt;"&amp;DATE(YEAR(A104),MONTH(A104)+1,1),交易记录!$B$6:$B$605,"SMH",交易记录!$C$6:$C$605,"买入")</f>
        <v>0</v>
      </c>
      <c r="I104" s="15">
        <f t="shared" si="9"/>
        <v>0</v>
      </c>
      <c r="J104" s="15" t="str">
        <f t="shared" si="10"/>
        <v/>
      </c>
      <c r="K104" s="19" t="str">
        <f t="shared" si="11"/>
        <v>尚未记录买入</v>
      </c>
    </row>
    <row r="105" spans="1:11" ht="21.75" customHeight="1">
      <c r="A105" s="29">
        <f>DATE(2035,1,总览!$E$4)</f>
        <v>49319</v>
      </c>
      <c r="B105" s="15">
        <f>回撤计划!J108</f>
        <v>500</v>
      </c>
      <c r="C105" s="15">
        <f>B105*总览!$B$8</f>
        <v>450</v>
      </c>
      <c r="D105" s="15">
        <f>B105*总览!$B$9</f>
        <v>50</v>
      </c>
      <c r="E105" s="15">
        <f>B105*总览!$B$10</f>
        <v>0</v>
      </c>
      <c r="F105" s="15">
        <f>SUMIFS(交易记录!$D$6:$D$605,交易记录!$A$6:$A$605,"&gt;="&amp;DATE(YEAR(A105),MONTH(A105),1),交易记录!$A$6:$A$605,"&lt;"&amp;DATE(YEAR(A105),MONTH(A105)+1,1),交易记录!$B$6:$B$605,"VOO",交易记录!$C$6:$C$605,"买入")+SUMIFS(交易记录!$E$6:$E$605,交易记录!$A$6:$A$605,"&gt;="&amp;DATE(YEAR(A105),MONTH(A105),1),交易记录!$A$6:$A$605,"&lt;"&amp;DATE(YEAR(A105),MONTH(A105)+1,1),交易记录!$B$6:$B$605,"VOO",交易记录!$C$6:$C$605,"买入")</f>
        <v>0</v>
      </c>
      <c r="G105" s="15">
        <f>SUMIFS(交易记录!$D$6:$D$605,交易记录!$A$6:$A$605,"&gt;="&amp;DATE(YEAR(A105),MONTH(A105),1),交易记录!$A$6:$A$605,"&lt;"&amp;DATE(YEAR(A105),MONTH(A105)+1,1),交易记录!$B$6:$B$605,"QQQM",交易记录!$C$6:$C$605,"买入")+SUMIFS(交易记录!$E$6:$E$605,交易记录!$A$6:$A$605,"&gt;="&amp;DATE(YEAR(A105),MONTH(A105),1),交易记录!$A$6:$A$605,"&lt;"&amp;DATE(YEAR(A105),MONTH(A105)+1,1),交易记录!$B$6:$B$605,"QQQM",交易记录!$C$6:$C$605,"买入")</f>
        <v>0</v>
      </c>
      <c r="H105" s="15">
        <f>SUMIFS(交易记录!$D$6:$D$605,交易记录!$A$6:$A$605,"&gt;="&amp;DATE(YEAR(A105),MONTH(A105),1),交易记录!$A$6:$A$605,"&lt;"&amp;DATE(YEAR(A105),MONTH(A105)+1,1),交易记录!$B$6:$B$605,"SMH",交易记录!$C$6:$C$605,"买入")+SUMIFS(交易记录!$E$6:$E$605,交易记录!$A$6:$A$605,"&gt;="&amp;DATE(YEAR(A105),MONTH(A105),1),交易记录!$A$6:$A$605,"&lt;"&amp;DATE(YEAR(A105),MONTH(A105)+1,1),交易记录!$B$6:$B$605,"SMH",交易记录!$C$6:$C$605,"买入")</f>
        <v>0</v>
      </c>
      <c r="I105" s="15">
        <f t="shared" si="9"/>
        <v>0</v>
      </c>
      <c r="J105" s="15" t="str">
        <f t="shared" si="10"/>
        <v/>
      </c>
      <c r="K105" s="19" t="str">
        <f t="shared" si="11"/>
        <v>尚未记录买入</v>
      </c>
    </row>
    <row r="106" spans="1:11" ht="21.75" customHeight="1">
      <c r="A106" s="29">
        <f>DATE(2035,2,总览!$E$4)</f>
        <v>49350</v>
      </c>
      <c r="B106" s="15">
        <f>回撤计划!J109</f>
        <v>500</v>
      </c>
      <c r="C106" s="15">
        <f>B106*总览!$B$8</f>
        <v>450</v>
      </c>
      <c r="D106" s="15">
        <f>B106*总览!$B$9</f>
        <v>50</v>
      </c>
      <c r="E106" s="15">
        <f>B106*总览!$B$10</f>
        <v>0</v>
      </c>
      <c r="F106" s="15">
        <f>SUMIFS(交易记录!$D$6:$D$605,交易记录!$A$6:$A$605,"&gt;="&amp;DATE(YEAR(A106),MONTH(A106),1),交易记录!$A$6:$A$605,"&lt;"&amp;DATE(YEAR(A106),MONTH(A106)+1,1),交易记录!$B$6:$B$605,"VOO",交易记录!$C$6:$C$605,"买入")+SUMIFS(交易记录!$E$6:$E$605,交易记录!$A$6:$A$605,"&gt;="&amp;DATE(YEAR(A106),MONTH(A106),1),交易记录!$A$6:$A$605,"&lt;"&amp;DATE(YEAR(A106),MONTH(A106)+1,1),交易记录!$B$6:$B$605,"VOO",交易记录!$C$6:$C$605,"买入")</f>
        <v>0</v>
      </c>
      <c r="G106" s="15">
        <f>SUMIFS(交易记录!$D$6:$D$605,交易记录!$A$6:$A$605,"&gt;="&amp;DATE(YEAR(A106),MONTH(A106),1),交易记录!$A$6:$A$605,"&lt;"&amp;DATE(YEAR(A106),MONTH(A106)+1,1),交易记录!$B$6:$B$605,"QQQM",交易记录!$C$6:$C$605,"买入")+SUMIFS(交易记录!$E$6:$E$605,交易记录!$A$6:$A$605,"&gt;="&amp;DATE(YEAR(A106),MONTH(A106),1),交易记录!$A$6:$A$605,"&lt;"&amp;DATE(YEAR(A106),MONTH(A106)+1,1),交易记录!$B$6:$B$605,"QQQM",交易记录!$C$6:$C$605,"买入")</f>
        <v>0</v>
      </c>
      <c r="H106" s="15">
        <f>SUMIFS(交易记录!$D$6:$D$605,交易记录!$A$6:$A$605,"&gt;="&amp;DATE(YEAR(A106),MONTH(A106),1),交易记录!$A$6:$A$605,"&lt;"&amp;DATE(YEAR(A106),MONTH(A106)+1,1),交易记录!$B$6:$B$605,"SMH",交易记录!$C$6:$C$605,"买入")+SUMIFS(交易记录!$E$6:$E$605,交易记录!$A$6:$A$605,"&gt;="&amp;DATE(YEAR(A106),MONTH(A106),1),交易记录!$A$6:$A$605,"&lt;"&amp;DATE(YEAR(A106),MONTH(A106)+1,1),交易记录!$B$6:$B$605,"SMH",交易记录!$C$6:$C$605,"买入")</f>
        <v>0</v>
      </c>
      <c r="I106" s="15">
        <f t="shared" si="9"/>
        <v>0</v>
      </c>
      <c r="J106" s="15" t="str">
        <f t="shared" si="10"/>
        <v/>
      </c>
      <c r="K106" s="19" t="str">
        <f t="shared" si="11"/>
        <v>尚未记录买入</v>
      </c>
    </row>
    <row r="107" spans="1:11" ht="21.75" customHeight="1">
      <c r="A107" s="29">
        <f>DATE(2035,3,总览!$E$4)</f>
        <v>49378</v>
      </c>
      <c r="B107" s="15">
        <f>回撤计划!J110</f>
        <v>500</v>
      </c>
      <c r="C107" s="15">
        <f>B107*总览!$B$8</f>
        <v>450</v>
      </c>
      <c r="D107" s="15">
        <f>B107*总览!$B$9</f>
        <v>50</v>
      </c>
      <c r="E107" s="15">
        <f>B107*总览!$B$10</f>
        <v>0</v>
      </c>
      <c r="F107" s="15">
        <f>SUMIFS(交易记录!$D$6:$D$605,交易记录!$A$6:$A$605,"&gt;="&amp;DATE(YEAR(A107),MONTH(A107),1),交易记录!$A$6:$A$605,"&lt;"&amp;DATE(YEAR(A107),MONTH(A107)+1,1),交易记录!$B$6:$B$605,"VOO",交易记录!$C$6:$C$605,"买入")+SUMIFS(交易记录!$E$6:$E$605,交易记录!$A$6:$A$605,"&gt;="&amp;DATE(YEAR(A107),MONTH(A107),1),交易记录!$A$6:$A$605,"&lt;"&amp;DATE(YEAR(A107),MONTH(A107)+1,1),交易记录!$B$6:$B$605,"VOO",交易记录!$C$6:$C$605,"买入")</f>
        <v>0</v>
      </c>
      <c r="G107" s="15">
        <f>SUMIFS(交易记录!$D$6:$D$605,交易记录!$A$6:$A$605,"&gt;="&amp;DATE(YEAR(A107),MONTH(A107),1),交易记录!$A$6:$A$605,"&lt;"&amp;DATE(YEAR(A107),MONTH(A107)+1,1),交易记录!$B$6:$B$605,"QQQM",交易记录!$C$6:$C$605,"买入")+SUMIFS(交易记录!$E$6:$E$605,交易记录!$A$6:$A$605,"&gt;="&amp;DATE(YEAR(A107),MONTH(A107),1),交易记录!$A$6:$A$605,"&lt;"&amp;DATE(YEAR(A107),MONTH(A107)+1,1),交易记录!$B$6:$B$605,"QQQM",交易记录!$C$6:$C$605,"买入")</f>
        <v>0</v>
      </c>
      <c r="H107" s="15">
        <f>SUMIFS(交易记录!$D$6:$D$605,交易记录!$A$6:$A$605,"&gt;="&amp;DATE(YEAR(A107),MONTH(A107),1),交易记录!$A$6:$A$605,"&lt;"&amp;DATE(YEAR(A107),MONTH(A107)+1,1),交易记录!$B$6:$B$605,"SMH",交易记录!$C$6:$C$605,"买入")+SUMIFS(交易记录!$E$6:$E$605,交易记录!$A$6:$A$605,"&gt;="&amp;DATE(YEAR(A107),MONTH(A107),1),交易记录!$A$6:$A$605,"&lt;"&amp;DATE(YEAR(A107),MONTH(A107)+1,1),交易记录!$B$6:$B$605,"SMH",交易记录!$C$6:$C$605,"买入")</f>
        <v>0</v>
      </c>
      <c r="I107" s="15">
        <f t="shared" si="9"/>
        <v>0</v>
      </c>
      <c r="J107" s="15" t="str">
        <f t="shared" si="10"/>
        <v/>
      </c>
      <c r="K107" s="19" t="str">
        <f t="shared" si="11"/>
        <v>尚未记录买入</v>
      </c>
    </row>
    <row r="108" spans="1:11" ht="21.75" customHeight="1">
      <c r="A108" s="29">
        <f>DATE(2035,4,总览!$E$4)</f>
        <v>49409</v>
      </c>
      <c r="B108" s="15">
        <f>回撤计划!J111</f>
        <v>500</v>
      </c>
      <c r="C108" s="15">
        <f>B108*总览!$B$8</f>
        <v>450</v>
      </c>
      <c r="D108" s="15">
        <f>B108*总览!$B$9</f>
        <v>50</v>
      </c>
      <c r="E108" s="15">
        <f>B108*总览!$B$10</f>
        <v>0</v>
      </c>
      <c r="F108" s="15">
        <f>SUMIFS(交易记录!$D$6:$D$605,交易记录!$A$6:$A$605,"&gt;="&amp;DATE(YEAR(A108),MONTH(A108),1),交易记录!$A$6:$A$605,"&lt;"&amp;DATE(YEAR(A108),MONTH(A108)+1,1),交易记录!$B$6:$B$605,"VOO",交易记录!$C$6:$C$605,"买入")+SUMIFS(交易记录!$E$6:$E$605,交易记录!$A$6:$A$605,"&gt;="&amp;DATE(YEAR(A108),MONTH(A108),1),交易记录!$A$6:$A$605,"&lt;"&amp;DATE(YEAR(A108),MONTH(A108)+1,1),交易记录!$B$6:$B$605,"VOO",交易记录!$C$6:$C$605,"买入")</f>
        <v>0</v>
      </c>
      <c r="G108" s="15">
        <f>SUMIFS(交易记录!$D$6:$D$605,交易记录!$A$6:$A$605,"&gt;="&amp;DATE(YEAR(A108),MONTH(A108),1),交易记录!$A$6:$A$605,"&lt;"&amp;DATE(YEAR(A108),MONTH(A108)+1,1),交易记录!$B$6:$B$605,"QQQM",交易记录!$C$6:$C$605,"买入")+SUMIFS(交易记录!$E$6:$E$605,交易记录!$A$6:$A$605,"&gt;="&amp;DATE(YEAR(A108),MONTH(A108),1),交易记录!$A$6:$A$605,"&lt;"&amp;DATE(YEAR(A108),MONTH(A108)+1,1),交易记录!$B$6:$B$605,"QQQM",交易记录!$C$6:$C$605,"买入")</f>
        <v>0</v>
      </c>
      <c r="H108" s="15">
        <f>SUMIFS(交易记录!$D$6:$D$605,交易记录!$A$6:$A$605,"&gt;="&amp;DATE(YEAR(A108),MONTH(A108),1),交易记录!$A$6:$A$605,"&lt;"&amp;DATE(YEAR(A108),MONTH(A108)+1,1),交易记录!$B$6:$B$605,"SMH",交易记录!$C$6:$C$605,"买入")+SUMIFS(交易记录!$E$6:$E$605,交易记录!$A$6:$A$605,"&gt;="&amp;DATE(YEAR(A108),MONTH(A108),1),交易记录!$A$6:$A$605,"&lt;"&amp;DATE(YEAR(A108),MONTH(A108)+1,1),交易记录!$B$6:$B$605,"SMH",交易记录!$C$6:$C$605,"买入")</f>
        <v>0</v>
      </c>
      <c r="I108" s="15">
        <f t="shared" si="9"/>
        <v>0</v>
      </c>
      <c r="J108" s="15" t="str">
        <f t="shared" si="10"/>
        <v/>
      </c>
      <c r="K108" s="19" t="str">
        <f t="shared" si="11"/>
        <v>尚未记录买入</v>
      </c>
    </row>
    <row r="109" spans="1:11" ht="21.75" customHeight="1">
      <c r="A109" s="29">
        <f>DATE(2035,5,总览!$E$4)</f>
        <v>49439</v>
      </c>
      <c r="B109" s="15">
        <f>回撤计划!J112</f>
        <v>500</v>
      </c>
      <c r="C109" s="15">
        <f>B109*总览!$B$8</f>
        <v>450</v>
      </c>
      <c r="D109" s="15">
        <f>B109*总览!$B$9</f>
        <v>50</v>
      </c>
      <c r="E109" s="15">
        <f>B109*总览!$B$10</f>
        <v>0</v>
      </c>
      <c r="F109" s="15">
        <f>SUMIFS(交易记录!$D$6:$D$605,交易记录!$A$6:$A$605,"&gt;="&amp;DATE(YEAR(A109),MONTH(A109),1),交易记录!$A$6:$A$605,"&lt;"&amp;DATE(YEAR(A109),MONTH(A109)+1,1),交易记录!$B$6:$B$605,"VOO",交易记录!$C$6:$C$605,"买入")+SUMIFS(交易记录!$E$6:$E$605,交易记录!$A$6:$A$605,"&gt;="&amp;DATE(YEAR(A109),MONTH(A109),1),交易记录!$A$6:$A$605,"&lt;"&amp;DATE(YEAR(A109),MONTH(A109)+1,1),交易记录!$B$6:$B$605,"VOO",交易记录!$C$6:$C$605,"买入")</f>
        <v>0</v>
      </c>
      <c r="G109" s="15">
        <f>SUMIFS(交易记录!$D$6:$D$605,交易记录!$A$6:$A$605,"&gt;="&amp;DATE(YEAR(A109),MONTH(A109),1),交易记录!$A$6:$A$605,"&lt;"&amp;DATE(YEAR(A109),MONTH(A109)+1,1),交易记录!$B$6:$B$605,"QQQM",交易记录!$C$6:$C$605,"买入")+SUMIFS(交易记录!$E$6:$E$605,交易记录!$A$6:$A$605,"&gt;="&amp;DATE(YEAR(A109),MONTH(A109),1),交易记录!$A$6:$A$605,"&lt;"&amp;DATE(YEAR(A109),MONTH(A109)+1,1),交易记录!$B$6:$B$605,"QQQM",交易记录!$C$6:$C$605,"买入")</f>
        <v>0</v>
      </c>
      <c r="H109" s="15">
        <f>SUMIFS(交易记录!$D$6:$D$605,交易记录!$A$6:$A$605,"&gt;="&amp;DATE(YEAR(A109),MONTH(A109),1),交易记录!$A$6:$A$605,"&lt;"&amp;DATE(YEAR(A109),MONTH(A109)+1,1),交易记录!$B$6:$B$605,"SMH",交易记录!$C$6:$C$605,"买入")+SUMIFS(交易记录!$E$6:$E$605,交易记录!$A$6:$A$605,"&gt;="&amp;DATE(YEAR(A109),MONTH(A109),1),交易记录!$A$6:$A$605,"&lt;"&amp;DATE(YEAR(A109),MONTH(A109)+1,1),交易记录!$B$6:$B$605,"SMH",交易记录!$C$6:$C$605,"买入")</f>
        <v>0</v>
      </c>
      <c r="I109" s="15">
        <f t="shared" si="9"/>
        <v>0</v>
      </c>
      <c r="J109" s="15" t="str">
        <f t="shared" si="10"/>
        <v/>
      </c>
      <c r="K109" s="19" t="str">
        <f t="shared" si="11"/>
        <v>尚未记录买入</v>
      </c>
    </row>
    <row r="110" spans="1:11" ht="21.75" customHeight="1">
      <c r="A110" s="29">
        <f>DATE(2035,6,总览!$E$4)</f>
        <v>49470</v>
      </c>
      <c r="B110" s="15">
        <f>回撤计划!J113</f>
        <v>500</v>
      </c>
      <c r="C110" s="15">
        <f>B110*总览!$B$8</f>
        <v>450</v>
      </c>
      <c r="D110" s="15">
        <f>B110*总览!$B$9</f>
        <v>50</v>
      </c>
      <c r="E110" s="15">
        <f>B110*总览!$B$10</f>
        <v>0</v>
      </c>
      <c r="F110" s="15">
        <f>SUMIFS(交易记录!$D$6:$D$605,交易记录!$A$6:$A$605,"&gt;="&amp;DATE(YEAR(A110),MONTH(A110),1),交易记录!$A$6:$A$605,"&lt;"&amp;DATE(YEAR(A110),MONTH(A110)+1,1),交易记录!$B$6:$B$605,"VOO",交易记录!$C$6:$C$605,"买入")+SUMIFS(交易记录!$E$6:$E$605,交易记录!$A$6:$A$605,"&gt;="&amp;DATE(YEAR(A110),MONTH(A110),1),交易记录!$A$6:$A$605,"&lt;"&amp;DATE(YEAR(A110),MONTH(A110)+1,1),交易记录!$B$6:$B$605,"VOO",交易记录!$C$6:$C$605,"买入")</f>
        <v>0</v>
      </c>
      <c r="G110" s="15">
        <f>SUMIFS(交易记录!$D$6:$D$605,交易记录!$A$6:$A$605,"&gt;="&amp;DATE(YEAR(A110),MONTH(A110),1),交易记录!$A$6:$A$605,"&lt;"&amp;DATE(YEAR(A110),MONTH(A110)+1,1),交易记录!$B$6:$B$605,"QQQM",交易记录!$C$6:$C$605,"买入")+SUMIFS(交易记录!$E$6:$E$605,交易记录!$A$6:$A$605,"&gt;="&amp;DATE(YEAR(A110),MONTH(A110),1),交易记录!$A$6:$A$605,"&lt;"&amp;DATE(YEAR(A110),MONTH(A110)+1,1),交易记录!$B$6:$B$605,"QQQM",交易记录!$C$6:$C$605,"买入")</f>
        <v>0</v>
      </c>
      <c r="H110" s="15">
        <f>SUMIFS(交易记录!$D$6:$D$605,交易记录!$A$6:$A$605,"&gt;="&amp;DATE(YEAR(A110),MONTH(A110),1),交易记录!$A$6:$A$605,"&lt;"&amp;DATE(YEAR(A110),MONTH(A110)+1,1),交易记录!$B$6:$B$605,"SMH",交易记录!$C$6:$C$605,"买入")+SUMIFS(交易记录!$E$6:$E$605,交易记录!$A$6:$A$605,"&gt;="&amp;DATE(YEAR(A110),MONTH(A110),1),交易记录!$A$6:$A$605,"&lt;"&amp;DATE(YEAR(A110),MONTH(A110)+1,1),交易记录!$B$6:$B$605,"SMH",交易记录!$C$6:$C$605,"买入")</f>
        <v>0</v>
      </c>
      <c r="I110" s="15">
        <f t="shared" si="9"/>
        <v>0</v>
      </c>
      <c r="J110" s="15" t="str">
        <f t="shared" si="10"/>
        <v/>
      </c>
      <c r="K110" s="19" t="str">
        <f t="shared" si="11"/>
        <v>尚未记录买入</v>
      </c>
    </row>
    <row r="111" spans="1:11" ht="21.75" customHeight="1">
      <c r="A111" s="29">
        <f>DATE(2035,7,总览!$E$4)</f>
        <v>49500</v>
      </c>
      <c r="B111" s="15">
        <f>回撤计划!J114</f>
        <v>500</v>
      </c>
      <c r="C111" s="15">
        <f>B111*总览!$B$8</f>
        <v>450</v>
      </c>
      <c r="D111" s="15">
        <f>B111*总览!$B$9</f>
        <v>50</v>
      </c>
      <c r="E111" s="15">
        <f>B111*总览!$B$10</f>
        <v>0</v>
      </c>
      <c r="F111" s="15">
        <f>SUMIFS(交易记录!$D$6:$D$605,交易记录!$A$6:$A$605,"&gt;="&amp;DATE(YEAR(A111),MONTH(A111),1),交易记录!$A$6:$A$605,"&lt;"&amp;DATE(YEAR(A111),MONTH(A111)+1,1),交易记录!$B$6:$B$605,"VOO",交易记录!$C$6:$C$605,"买入")+SUMIFS(交易记录!$E$6:$E$605,交易记录!$A$6:$A$605,"&gt;="&amp;DATE(YEAR(A111),MONTH(A111),1),交易记录!$A$6:$A$605,"&lt;"&amp;DATE(YEAR(A111),MONTH(A111)+1,1),交易记录!$B$6:$B$605,"VOO",交易记录!$C$6:$C$605,"买入")</f>
        <v>0</v>
      </c>
      <c r="G111" s="15">
        <f>SUMIFS(交易记录!$D$6:$D$605,交易记录!$A$6:$A$605,"&gt;="&amp;DATE(YEAR(A111),MONTH(A111),1),交易记录!$A$6:$A$605,"&lt;"&amp;DATE(YEAR(A111),MONTH(A111)+1,1),交易记录!$B$6:$B$605,"QQQM",交易记录!$C$6:$C$605,"买入")+SUMIFS(交易记录!$E$6:$E$605,交易记录!$A$6:$A$605,"&gt;="&amp;DATE(YEAR(A111),MONTH(A111),1),交易记录!$A$6:$A$605,"&lt;"&amp;DATE(YEAR(A111),MONTH(A111)+1,1),交易记录!$B$6:$B$605,"QQQM",交易记录!$C$6:$C$605,"买入")</f>
        <v>0</v>
      </c>
      <c r="H111" s="15">
        <f>SUMIFS(交易记录!$D$6:$D$605,交易记录!$A$6:$A$605,"&gt;="&amp;DATE(YEAR(A111),MONTH(A111),1),交易记录!$A$6:$A$605,"&lt;"&amp;DATE(YEAR(A111),MONTH(A111)+1,1),交易记录!$B$6:$B$605,"SMH",交易记录!$C$6:$C$605,"买入")+SUMIFS(交易记录!$E$6:$E$605,交易记录!$A$6:$A$605,"&gt;="&amp;DATE(YEAR(A111),MONTH(A111),1),交易记录!$A$6:$A$605,"&lt;"&amp;DATE(YEAR(A111),MONTH(A111)+1,1),交易记录!$B$6:$B$605,"SMH",交易记录!$C$6:$C$605,"买入")</f>
        <v>0</v>
      </c>
      <c r="I111" s="15">
        <f t="shared" si="9"/>
        <v>0</v>
      </c>
      <c r="J111" s="15" t="str">
        <f t="shared" si="10"/>
        <v/>
      </c>
      <c r="K111" s="19" t="str">
        <f t="shared" si="11"/>
        <v>尚未记录买入</v>
      </c>
    </row>
    <row r="112" spans="1:11" ht="21.75" customHeight="1">
      <c r="A112" s="29">
        <f>DATE(2035,8,总览!$E$4)</f>
        <v>49531</v>
      </c>
      <c r="B112" s="15">
        <f>回撤计划!J115</f>
        <v>500</v>
      </c>
      <c r="C112" s="15">
        <f>B112*总览!$B$8</f>
        <v>450</v>
      </c>
      <c r="D112" s="15">
        <f>B112*总览!$B$9</f>
        <v>50</v>
      </c>
      <c r="E112" s="15">
        <f>B112*总览!$B$10</f>
        <v>0</v>
      </c>
      <c r="F112" s="15">
        <f>SUMIFS(交易记录!$D$6:$D$605,交易记录!$A$6:$A$605,"&gt;="&amp;DATE(YEAR(A112),MONTH(A112),1),交易记录!$A$6:$A$605,"&lt;"&amp;DATE(YEAR(A112),MONTH(A112)+1,1),交易记录!$B$6:$B$605,"VOO",交易记录!$C$6:$C$605,"买入")+SUMIFS(交易记录!$E$6:$E$605,交易记录!$A$6:$A$605,"&gt;="&amp;DATE(YEAR(A112),MONTH(A112),1),交易记录!$A$6:$A$605,"&lt;"&amp;DATE(YEAR(A112),MONTH(A112)+1,1),交易记录!$B$6:$B$605,"VOO",交易记录!$C$6:$C$605,"买入")</f>
        <v>0</v>
      </c>
      <c r="G112" s="15">
        <f>SUMIFS(交易记录!$D$6:$D$605,交易记录!$A$6:$A$605,"&gt;="&amp;DATE(YEAR(A112),MONTH(A112),1),交易记录!$A$6:$A$605,"&lt;"&amp;DATE(YEAR(A112),MONTH(A112)+1,1),交易记录!$B$6:$B$605,"QQQM",交易记录!$C$6:$C$605,"买入")+SUMIFS(交易记录!$E$6:$E$605,交易记录!$A$6:$A$605,"&gt;="&amp;DATE(YEAR(A112),MONTH(A112),1),交易记录!$A$6:$A$605,"&lt;"&amp;DATE(YEAR(A112),MONTH(A112)+1,1),交易记录!$B$6:$B$605,"QQQM",交易记录!$C$6:$C$605,"买入")</f>
        <v>0</v>
      </c>
      <c r="H112" s="15">
        <f>SUMIFS(交易记录!$D$6:$D$605,交易记录!$A$6:$A$605,"&gt;="&amp;DATE(YEAR(A112),MONTH(A112),1),交易记录!$A$6:$A$605,"&lt;"&amp;DATE(YEAR(A112),MONTH(A112)+1,1),交易记录!$B$6:$B$605,"SMH",交易记录!$C$6:$C$605,"买入")+SUMIFS(交易记录!$E$6:$E$605,交易记录!$A$6:$A$605,"&gt;="&amp;DATE(YEAR(A112),MONTH(A112),1),交易记录!$A$6:$A$605,"&lt;"&amp;DATE(YEAR(A112),MONTH(A112)+1,1),交易记录!$B$6:$B$605,"SMH",交易记录!$C$6:$C$605,"买入")</f>
        <v>0</v>
      </c>
      <c r="I112" s="15">
        <f t="shared" si="9"/>
        <v>0</v>
      </c>
      <c r="J112" s="15" t="str">
        <f t="shared" si="10"/>
        <v/>
      </c>
      <c r="K112" s="19" t="str">
        <f t="shared" si="11"/>
        <v>尚未记录买入</v>
      </c>
    </row>
    <row r="113" spans="1:11" ht="21.75" customHeight="1">
      <c r="A113" s="29">
        <f>DATE(2035,9,总览!$E$4)</f>
        <v>49562</v>
      </c>
      <c r="B113" s="15">
        <f>回撤计划!J116</f>
        <v>500</v>
      </c>
      <c r="C113" s="15">
        <f>B113*总览!$B$8</f>
        <v>450</v>
      </c>
      <c r="D113" s="15">
        <f>B113*总览!$B$9</f>
        <v>50</v>
      </c>
      <c r="E113" s="15">
        <f>B113*总览!$B$10</f>
        <v>0</v>
      </c>
      <c r="F113" s="15">
        <f>SUMIFS(交易记录!$D$6:$D$605,交易记录!$A$6:$A$605,"&gt;="&amp;DATE(YEAR(A113),MONTH(A113),1),交易记录!$A$6:$A$605,"&lt;"&amp;DATE(YEAR(A113),MONTH(A113)+1,1),交易记录!$B$6:$B$605,"VOO",交易记录!$C$6:$C$605,"买入")+SUMIFS(交易记录!$E$6:$E$605,交易记录!$A$6:$A$605,"&gt;="&amp;DATE(YEAR(A113),MONTH(A113),1),交易记录!$A$6:$A$605,"&lt;"&amp;DATE(YEAR(A113),MONTH(A113)+1,1),交易记录!$B$6:$B$605,"VOO",交易记录!$C$6:$C$605,"买入")</f>
        <v>0</v>
      </c>
      <c r="G113" s="15">
        <f>SUMIFS(交易记录!$D$6:$D$605,交易记录!$A$6:$A$605,"&gt;="&amp;DATE(YEAR(A113),MONTH(A113),1),交易记录!$A$6:$A$605,"&lt;"&amp;DATE(YEAR(A113),MONTH(A113)+1,1),交易记录!$B$6:$B$605,"QQQM",交易记录!$C$6:$C$605,"买入")+SUMIFS(交易记录!$E$6:$E$605,交易记录!$A$6:$A$605,"&gt;="&amp;DATE(YEAR(A113),MONTH(A113),1),交易记录!$A$6:$A$605,"&lt;"&amp;DATE(YEAR(A113),MONTH(A113)+1,1),交易记录!$B$6:$B$605,"QQQM",交易记录!$C$6:$C$605,"买入")</f>
        <v>0</v>
      </c>
      <c r="H113" s="15">
        <f>SUMIFS(交易记录!$D$6:$D$605,交易记录!$A$6:$A$605,"&gt;="&amp;DATE(YEAR(A113),MONTH(A113),1),交易记录!$A$6:$A$605,"&lt;"&amp;DATE(YEAR(A113),MONTH(A113)+1,1),交易记录!$B$6:$B$605,"SMH",交易记录!$C$6:$C$605,"买入")+SUMIFS(交易记录!$E$6:$E$605,交易记录!$A$6:$A$605,"&gt;="&amp;DATE(YEAR(A113),MONTH(A113),1),交易记录!$A$6:$A$605,"&lt;"&amp;DATE(YEAR(A113),MONTH(A113)+1,1),交易记录!$B$6:$B$605,"SMH",交易记录!$C$6:$C$605,"买入")</f>
        <v>0</v>
      </c>
      <c r="I113" s="15">
        <f t="shared" si="9"/>
        <v>0</v>
      </c>
      <c r="J113" s="15" t="str">
        <f t="shared" si="10"/>
        <v/>
      </c>
      <c r="K113" s="19" t="str">
        <f t="shared" si="11"/>
        <v>尚未记录买入</v>
      </c>
    </row>
    <row r="114" spans="1:11" ht="21.75" customHeight="1">
      <c r="A114" s="29">
        <f>DATE(2035,10,总览!$E$4)</f>
        <v>49592</v>
      </c>
      <c r="B114" s="15">
        <f>回撤计划!J117</f>
        <v>500</v>
      </c>
      <c r="C114" s="15">
        <f>B114*总览!$B$8</f>
        <v>450</v>
      </c>
      <c r="D114" s="15">
        <f>B114*总览!$B$9</f>
        <v>50</v>
      </c>
      <c r="E114" s="15">
        <f>B114*总览!$B$10</f>
        <v>0</v>
      </c>
      <c r="F114" s="15">
        <f>SUMIFS(交易记录!$D$6:$D$605,交易记录!$A$6:$A$605,"&gt;="&amp;DATE(YEAR(A114),MONTH(A114),1),交易记录!$A$6:$A$605,"&lt;"&amp;DATE(YEAR(A114),MONTH(A114)+1,1),交易记录!$B$6:$B$605,"VOO",交易记录!$C$6:$C$605,"买入")+SUMIFS(交易记录!$E$6:$E$605,交易记录!$A$6:$A$605,"&gt;="&amp;DATE(YEAR(A114),MONTH(A114),1),交易记录!$A$6:$A$605,"&lt;"&amp;DATE(YEAR(A114),MONTH(A114)+1,1),交易记录!$B$6:$B$605,"VOO",交易记录!$C$6:$C$605,"买入")</f>
        <v>0</v>
      </c>
      <c r="G114" s="15">
        <f>SUMIFS(交易记录!$D$6:$D$605,交易记录!$A$6:$A$605,"&gt;="&amp;DATE(YEAR(A114),MONTH(A114),1),交易记录!$A$6:$A$605,"&lt;"&amp;DATE(YEAR(A114),MONTH(A114)+1,1),交易记录!$B$6:$B$605,"QQQM",交易记录!$C$6:$C$605,"买入")+SUMIFS(交易记录!$E$6:$E$605,交易记录!$A$6:$A$605,"&gt;="&amp;DATE(YEAR(A114),MONTH(A114),1),交易记录!$A$6:$A$605,"&lt;"&amp;DATE(YEAR(A114),MONTH(A114)+1,1),交易记录!$B$6:$B$605,"QQQM",交易记录!$C$6:$C$605,"买入")</f>
        <v>0</v>
      </c>
      <c r="H114" s="15">
        <f>SUMIFS(交易记录!$D$6:$D$605,交易记录!$A$6:$A$605,"&gt;="&amp;DATE(YEAR(A114),MONTH(A114),1),交易记录!$A$6:$A$605,"&lt;"&amp;DATE(YEAR(A114),MONTH(A114)+1,1),交易记录!$B$6:$B$605,"SMH",交易记录!$C$6:$C$605,"买入")+SUMIFS(交易记录!$E$6:$E$605,交易记录!$A$6:$A$605,"&gt;="&amp;DATE(YEAR(A114),MONTH(A114),1),交易记录!$A$6:$A$605,"&lt;"&amp;DATE(YEAR(A114),MONTH(A114)+1,1),交易记录!$B$6:$B$605,"SMH",交易记录!$C$6:$C$605,"买入")</f>
        <v>0</v>
      </c>
      <c r="I114" s="15">
        <f t="shared" si="9"/>
        <v>0</v>
      </c>
      <c r="J114" s="15" t="str">
        <f t="shared" si="10"/>
        <v/>
      </c>
      <c r="K114" s="19" t="str">
        <f t="shared" si="11"/>
        <v>尚未记录买入</v>
      </c>
    </row>
    <row r="115" spans="1:11" ht="21.75" customHeight="1">
      <c r="A115" s="29">
        <f>DATE(2035,11,总览!$E$4)</f>
        <v>49623</v>
      </c>
      <c r="B115" s="15">
        <f>回撤计划!J118</f>
        <v>500</v>
      </c>
      <c r="C115" s="15">
        <f>B115*总览!$B$8</f>
        <v>450</v>
      </c>
      <c r="D115" s="15">
        <f>B115*总览!$B$9</f>
        <v>50</v>
      </c>
      <c r="E115" s="15">
        <f>B115*总览!$B$10</f>
        <v>0</v>
      </c>
      <c r="F115" s="15">
        <f>SUMIFS(交易记录!$D$6:$D$605,交易记录!$A$6:$A$605,"&gt;="&amp;DATE(YEAR(A115),MONTH(A115),1),交易记录!$A$6:$A$605,"&lt;"&amp;DATE(YEAR(A115),MONTH(A115)+1,1),交易记录!$B$6:$B$605,"VOO",交易记录!$C$6:$C$605,"买入")+SUMIFS(交易记录!$E$6:$E$605,交易记录!$A$6:$A$605,"&gt;="&amp;DATE(YEAR(A115),MONTH(A115),1),交易记录!$A$6:$A$605,"&lt;"&amp;DATE(YEAR(A115),MONTH(A115)+1,1),交易记录!$B$6:$B$605,"VOO",交易记录!$C$6:$C$605,"买入")</f>
        <v>0</v>
      </c>
      <c r="G115" s="15">
        <f>SUMIFS(交易记录!$D$6:$D$605,交易记录!$A$6:$A$605,"&gt;="&amp;DATE(YEAR(A115),MONTH(A115),1),交易记录!$A$6:$A$605,"&lt;"&amp;DATE(YEAR(A115),MONTH(A115)+1,1),交易记录!$B$6:$B$605,"QQQM",交易记录!$C$6:$C$605,"买入")+SUMIFS(交易记录!$E$6:$E$605,交易记录!$A$6:$A$605,"&gt;="&amp;DATE(YEAR(A115),MONTH(A115),1),交易记录!$A$6:$A$605,"&lt;"&amp;DATE(YEAR(A115),MONTH(A115)+1,1),交易记录!$B$6:$B$605,"QQQM",交易记录!$C$6:$C$605,"买入")</f>
        <v>0</v>
      </c>
      <c r="H115" s="15">
        <f>SUMIFS(交易记录!$D$6:$D$605,交易记录!$A$6:$A$605,"&gt;="&amp;DATE(YEAR(A115),MONTH(A115),1),交易记录!$A$6:$A$605,"&lt;"&amp;DATE(YEAR(A115),MONTH(A115)+1,1),交易记录!$B$6:$B$605,"SMH",交易记录!$C$6:$C$605,"买入")+SUMIFS(交易记录!$E$6:$E$605,交易记录!$A$6:$A$605,"&gt;="&amp;DATE(YEAR(A115),MONTH(A115),1),交易记录!$A$6:$A$605,"&lt;"&amp;DATE(YEAR(A115),MONTH(A115)+1,1),交易记录!$B$6:$B$605,"SMH",交易记录!$C$6:$C$605,"买入")</f>
        <v>0</v>
      </c>
      <c r="I115" s="15">
        <f t="shared" si="9"/>
        <v>0</v>
      </c>
      <c r="J115" s="15" t="str">
        <f t="shared" si="10"/>
        <v/>
      </c>
      <c r="K115" s="19" t="str">
        <f t="shared" si="11"/>
        <v>尚未记录买入</v>
      </c>
    </row>
    <row r="116" spans="1:11" ht="21.75" customHeight="1">
      <c r="A116" s="29">
        <f>DATE(2035,12,总览!$E$4)</f>
        <v>49653</v>
      </c>
      <c r="B116" s="15">
        <f>回撤计划!J119</f>
        <v>500</v>
      </c>
      <c r="C116" s="15">
        <f>B116*总览!$B$8</f>
        <v>450</v>
      </c>
      <c r="D116" s="15">
        <f>B116*总览!$B$9</f>
        <v>50</v>
      </c>
      <c r="E116" s="15">
        <f>B116*总览!$B$10</f>
        <v>0</v>
      </c>
      <c r="F116" s="15">
        <f>SUMIFS(交易记录!$D$6:$D$605,交易记录!$A$6:$A$605,"&gt;="&amp;DATE(YEAR(A116),MONTH(A116),1),交易记录!$A$6:$A$605,"&lt;"&amp;DATE(YEAR(A116),MONTH(A116)+1,1),交易记录!$B$6:$B$605,"VOO",交易记录!$C$6:$C$605,"买入")+SUMIFS(交易记录!$E$6:$E$605,交易记录!$A$6:$A$605,"&gt;="&amp;DATE(YEAR(A116),MONTH(A116),1),交易记录!$A$6:$A$605,"&lt;"&amp;DATE(YEAR(A116),MONTH(A116)+1,1),交易记录!$B$6:$B$605,"VOO",交易记录!$C$6:$C$605,"买入")</f>
        <v>0</v>
      </c>
      <c r="G116" s="15">
        <f>SUMIFS(交易记录!$D$6:$D$605,交易记录!$A$6:$A$605,"&gt;="&amp;DATE(YEAR(A116),MONTH(A116),1),交易记录!$A$6:$A$605,"&lt;"&amp;DATE(YEAR(A116),MONTH(A116)+1,1),交易记录!$B$6:$B$605,"QQQM",交易记录!$C$6:$C$605,"买入")+SUMIFS(交易记录!$E$6:$E$605,交易记录!$A$6:$A$605,"&gt;="&amp;DATE(YEAR(A116),MONTH(A116),1),交易记录!$A$6:$A$605,"&lt;"&amp;DATE(YEAR(A116),MONTH(A116)+1,1),交易记录!$B$6:$B$605,"QQQM",交易记录!$C$6:$C$605,"买入")</f>
        <v>0</v>
      </c>
      <c r="H116" s="15">
        <f>SUMIFS(交易记录!$D$6:$D$605,交易记录!$A$6:$A$605,"&gt;="&amp;DATE(YEAR(A116),MONTH(A116),1),交易记录!$A$6:$A$605,"&lt;"&amp;DATE(YEAR(A116),MONTH(A116)+1,1),交易记录!$B$6:$B$605,"SMH",交易记录!$C$6:$C$605,"买入")+SUMIFS(交易记录!$E$6:$E$605,交易记录!$A$6:$A$605,"&gt;="&amp;DATE(YEAR(A116),MONTH(A116),1),交易记录!$A$6:$A$605,"&lt;"&amp;DATE(YEAR(A116),MONTH(A116)+1,1),交易记录!$B$6:$B$605,"SMH",交易记录!$C$6:$C$605,"买入")</f>
        <v>0</v>
      </c>
      <c r="I116" s="15">
        <f t="shared" si="9"/>
        <v>0</v>
      </c>
      <c r="J116" s="15" t="str">
        <f t="shared" si="10"/>
        <v/>
      </c>
      <c r="K116" s="19" t="str">
        <f t="shared" si="11"/>
        <v>尚未记录买入</v>
      </c>
    </row>
    <row r="117" spans="1:11" ht="21.75" customHeight="1">
      <c r="A117" s="29">
        <f>DATE(2036,1,总览!$E$4)</f>
        <v>49684</v>
      </c>
      <c r="B117" s="15">
        <f>回撤计划!J120</f>
        <v>500</v>
      </c>
      <c r="C117" s="15">
        <f>B117*总览!$B$8</f>
        <v>450</v>
      </c>
      <c r="D117" s="15">
        <f>B117*总览!$B$9</f>
        <v>50</v>
      </c>
      <c r="E117" s="15">
        <f>B117*总览!$B$10</f>
        <v>0</v>
      </c>
      <c r="F117" s="15">
        <f>SUMIFS(交易记录!$D$6:$D$605,交易记录!$A$6:$A$605,"&gt;="&amp;DATE(YEAR(A117),MONTH(A117),1),交易记录!$A$6:$A$605,"&lt;"&amp;DATE(YEAR(A117),MONTH(A117)+1,1),交易记录!$B$6:$B$605,"VOO",交易记录!$C$6:$C$605,"买入")+SUMIFS(交易记录!$E$6:$E$605,交易记录!$A$6:$A$605,"&gt;="&amp;DATE(YEAR(A117),MONTH(A117),1),交易记录!$A$6:$A$605,"&lt;"&amp;DATE(YEAR(A117),MONTH(A117)+1,1),交易记录!$B$6:$B$605,"VOO",交易记录!$C$6:$C$605,"买入")</f>
        <v>0</v>
      </c>
      <c r="G117" s="15">
        <f>SUMIFS(交易记录!$D$6:$D$605,交易记录!$A$6:$A$605,"&gt;="&amp;DATE(YEAR(A117),MONTH(A117),1),交易记录!$A$6:$A$605,"&lt;"&amp;DATE(YEAR(A117),MONTH(A117)+1,1),交易记录!$B$6:$B$605,"QQQM",交易记录!$C$6:$C$605,"买入")+SUMIFS(交易记录!$E$6:$E$605,交易记录!$A$6:$A$605,"&gt;="&amp;DATE(YEAR(A117),MONTH(A117),1),交易记录!$A$6:$A$605,"&lt;"&amp;DATE(YEAR(A117),MONTH(A117)+1,1),交易记录!$B$6:$B$605,"QQQM",交易记录!$C$6:$C$605,"买入")</f>
        <v>0</v>
      </c>
      <c r="H117" s="15">
        <f>SUMIFS(交易记录!$D$6:$D$605,交易记录!$A$6:$A$605,"&gt;="&amp;DATE(YEAR(A117),MONTH(A117),1),交易记录!$A$6:$A$605,"&lt;"&amp;DATE(YEAR(A117),MONTH(A117)+1,1),交易记录!$B$6:$B$605,"SMH",交易记录!$C$6:$C$605,"买入")+SUMIFS(交易记录!$E$6:$E$605,交易记录!$A$6:$A$605,"&gt;="&amp;DATE(YEAR(A117),MONTH(A117),1),交易记录!$A$6:$A$605,"&lt;"&amp;DATE(YEAR(A117),MONTH(A117)+1,1),交易记录!$B$6:$B$605,"SMH",交易记录!$C$6:$C$605,"买入")</f>
        <v>0</v>
      </c>
      <c r="I117" s="15">
        <f t="shared" si="9"/>
        <v>0</v>
      </c>
      <c r="J117" s="15" t="str">
        <f t="shared" si="10"/>
        <v/>
      </c>
      <c r="K117" s="19" t="str">
        <f t="shared" si="11"/>
        <v>尚未记录买入</v>
      </c>
    </row>
    <row r="118" spans="1:11" ht="21.75" customHeight="1">
      <c r="A118" s="29">
        <f>DATE(2036,2,总览!$E$4)</f>
        <v>49715</v>
      </c>
      <c r="B118" s="15">
        <f>回撤计划!J121</f>
        <v>500</v>
      </c>
      <c r="C118" s="15">
        <f>B118*总览!$B$8</f>
        <v>450</v>
      </c>
      <c r="D118" s="15">
        <f>B118*总览!$B$9</f>
        <v>50</v>
      </c>
      <c r="E118" s="15">
        <f>B118*总览!$B$10</f>
        <v>0</v>
      </c>
      <c r="F118" s="15">
        <f>SUMIFS(交易记录!$D$6:$D$605,交易记录!$A$6:$A$605,"&gt;="&amp;DATE(YEAR(A118),MONTH(A118),1),交易记录!$A$6:$A$605,"&lt;"&amp;DATE(YEAR(A118),MONTH(A118)+1,1),交易记录!$B$6:$B$605,"VOO",交易记录!$C$6:$C$605,"买入")+SUMIFS(交易记录!$E$6:$E$605,交易记录!$A$6:$A$605,"&gt;="&amp;DATE(YEAR(A118),MONTH(A118),1),交易记录!$A$6:$A$605,"&lt;"&amp;DATE(YEAR(A118),MONTH(A118)+1,1),交易记录!$B$6:$B$605,"VOO",交易记录!$C$6:$C$605,"买入")</f>
        <v>0</v>
      </c>
      <c r="G118" s="15">
        <f>SUMIFS(交易记录!$D$6:$D$605,交易记录!$A$6:$A$605,"&gt;="&amp;DATE(YEAR(A118),MONTH(A118),1),交易记录!$A$6:$A$605,"&lt;"&amp;DATE(YEAR(A118),MONTH(A118)+1,1),交易记录!$B$6:$B$605,"QQQM",交易记录!$C$6:$C$605,"买入")+SUMIFS(交易记录!$E$6:$E$605,交易记录!$A$6:$A$605,"&gt;="&amp;DATE(YEAR(A118),MONTH(A118),1),交易记录!$A$6:$A$605,"&lt;"&amp;DATE(YEAR(A118),MONTH(A118)+1,1),交易记录!$B$6:$B$605,"QQQM",交易记录!$C$6:$C$605,"买入")</f>
        <v>0</v>
      </c>
      <c r="H118" s="15">
        <f>SUMIFS(交易记录!$D$6:$D$605,交易记录!$A$6:$A$605,"&gt;="&amp;DATE(YEAR(A118),MONTH(A118),1),交易记录!$A$6:$A$605,"&lt;"&amp;DATE(YEAR(A118),MONTH(A118)+1,1),交易记录!$B$6:$B$605,"SMH",交易记录!$C$6:$C$605,"买入")+SUMIFS(交易记录!$E$6:$E$605,交易记录!$A$6:$A$605,"&gt;="&amp;DATE(YEAR(A118),MONTH(A118),1),交易记录!$A$6:$A$605,"&lt;"&amp;DATE(YEAR(A118),MONTH(A118)+1,1),交易记录!$B$6:$B$605,"SMH",交易记录!$C$6:$C$605,"买入")</f>
        <v>0</v>
      </c>
      <c r="I118" s="15">
        <f t="shared" si="9"/>
        <v>0</v>
      </c>
      <c r="J118" s="15" t="str">
        <f t="shared" si="10"/>
        <v/>
      </c>
      <c r="K118" s="19" t="str">
        <f t="shared" si="11"/>
        <v>尚未记录买入</v>
      </c>
    </row>
    <row r="119" spans="1:11" ht="21.75" customHeight="1">
      <c r="A119" s="29">
        <f>DATE(2036,3,总览!$E$4)</f>
        <v>49744</v>
      </c>
      <c r="B119" s="15">
        <f>回撤计划!J122</f>
        <v>500</v>
      </c>
      <c r="C119" s="15">
        <f>B119*总览!$B$8</f>
        <v>450</v>
      </c>
      <c r="D119" s="15">
        <f>B119*总览!$B$9</f>
        <v>50</v>
      </c>
      <c r="E119" s="15">
        <f>B119*总览!$B$10</f>
        <v>0</v>
      </c>
      <c r="F119" s="15">
        <f>SUMIFS(交易记录!$D$6:$D$605,交易记录!$A$6:$A$605,"&gt;="&amp;DATE(YEAR(A119),MONTH(A119),1),交易记录!$A$6:$A$605,"&lt;"&amp;DATE(YEAR(A119),MONTH(A119)+1,1),交易记录!$B$6:$B$605,"VOO",交易记录!$C$6:$C$605,"买入")+SUMIFS(交易记录!$E$6:$E$605,交易记录!$A$6:$A$605,"&gt;="&amp;DATE(YEAR(A119),MONTH(A119),1),交易记录!$A$6:$A$605,"&lt;"&amp;DATE(YEAR(A119),MONTH(A119)+1,1),交易记录!$B$6:$B$605,"VOO",交易记录!$C$6:$C$605,"买入")</f>
        <v>0</v>
      </c>
      <c r="G119" s="15">
        <f>SUMIFS(交易记录!$D$6:$D$605,交易记录!$A$6:$A$605,"&gt;="&amp;DATE(YEAR(A119),MONTH(A119),1),交易记录!$A$6:$A$605,"&lt;"&amp;DATE(YEAR(A119),MONTH(A119)+1,1),交易记录!$B$6:$B$605,"QQQM",交易记录!$C$6:$C$605,"买入")+SUMIFS(交易记录!$E$6:$E$605,交易记录!$A$6:$A$605,"&gt;="&amp;DATE(YEAR(A119),MONTH(A119),1),交易记录!$A$6:$A$605,"&lt;"&amp;DATE(YEAR(A119),MONTH(A119)+1,1),交易记录!$B$6:$B$605,"QQQM",交易记录!$C$6:$C$605,"买入")</f>
        <v>0</v>
      </c>
      <c r="H119" s="15">
        <f>SUMIFS(交易记录!$D$6:$D$605,交易记录!$A$6:$A$605,"&gt;="&amp;DATE(YEAR(A119),MONTH(A119),1),交易记录!$A$6:$A$605,"&lt;"&amp;DATE(YEAR(A119),MONTH(A119)+1,1),交易记录!$B$6:$B$605,"SMH",交易记录!$C$6:$C$605,"买入")+SUMIFS(交易记录!$E$6:$E$605,交易记录!$A$6:$A$605,"&gt;="&amp;DATE(YEAR(A119),MONTH(A119),1),交易记录!$A$6:$A$605,"&lt;"&amp;DATE(YEAR(A119),MONTH(A119)+1,1),交易记录!$B$6:$B$605,"SMH",交易记录!$C$6:$C$605,"买入")</f>
        <v>0</v>
      </c>
      <c r="I119" s="15">
        <f t="shared" si="9"/>
        <v>0</v>
      </c>
      <c r="J119" s="15" t="str">
        <f t="shared" si="10"/>
        <v/>
      </c>
      <c r="K119" s="19" t="str">
        <f t="shared" si="11"/>
        <v>尚未记录买入</v>
      </c>
    </row>
    <row r="120" spans="1:11" ht="21.75" customHeight="1">
      <c r="A120" s="29">
        <f>DATE(2036,4,总览!$E$4)</f>
        <v>49775</v>
      </c>
      <c r="B120" s="15">
        <f>回撤计划!J123</f>
        <v>500</v>
      </c>
      <c r="C120" s="15">
        <f>B120*总览!$B$8</f>
        <v>450</v>
      </c>
      <c r="D120" s="15">
        <f>B120*总览!$B$9</f>
        <v>50</v>
      </c>
      <c r="E120" s="15">
        <f>B120*总览!$B$10</f>
        <v>0</v>
      </c>
      <c r="F120" s="15">
        <f>SUMIFS(交易记录!$D$6:$D$605,交易记录!$A$6:$A$605,"&gt;="&amp;DATE(YEAR(A120),MONTH(A120),1),交易记录!$A$6:$A$605,"&lt;"&amp;DATE(YEAR(A120),MONTH(A120)+1,1),交易记录!$B$6:$B$605,"VOO",交易记录!$C$6:$C$605,"买入")+SUMIFS(交易记录!$E$6:$E$605,交易记录!$A$6:$A$605,"&gt;="&amp;DATE(YEAR(A120),MONTH(A120),1),交易记录!$A$6:$A$605,"&lt;"&amp;DATE(YEAR(A120),MONTH(A120)+1,1),交易记录!$B$6:$B$605,"VOO",交易记录!$C$6:$C$605,"买入")</f>
        <v>0</v>
      </c>
      <c r="G120" s="15">
        <f>SUMIFS(交易记录!$D$6:$D$605,交易记录!$A$6:$A$605,"&gt;="&amp;DATE(YEAR(A120),MONTH(A120),1),交易记录!$A$6:$A$605,"&lt;"&amp;DATE(YEAR(A120),MONTH(A120)+1,1),交易记录!$B$6:$B$605,"QQQM",交易记录!$C$6:$C$605,"买入")+SUMIFS(交易记录!$E$6:$E$605,交易记录!$A$6:$A$605,"&gt;="&amp;DATE(YEAR(A120),MONTH(A120),1),交易记录!$A$6:$A$605,"&lt;"&amp;DATE(YEAR(A120),MONTH(A120)+1,1),交易记录!$B$6:$B$605,"QQQM",交易记录!$C$6:$C$605,"买入")</f>
        <v>0</v>
      </c>
      <c r="H120" s="15">
        <f>SUMIFS(交易记录!$D$6:$D$605,交易记录!$A$6:$A$605,"&gt;="&amp;DATE(YEAR(A120),MONTH(A120),1),交易记录!$A$6:$A$605,"&lt;"&amp;DATE(YEAR(A120),MONTH(A120)+1,1),交易记录!$B$6:$B$605,"SMH",交易记录!$C$6:$C$605,"买入")+SUMIFS(交易记录!$E$6:$E$605,交易记录!$A$6:$A$605,"&gt;="&amp;DATE(YEAR(A120),MONTH(A120),1),交易记录!$A$6:$A$605,"&lt;"&amp;DATE(YEAR(A120),MONTH(A120)+1,1),交易记录!$B$6:$B$605,"SMH",交易记录!$C$6:$C$605,"买入")</f>
        <v>0</v>
      </c>
      <c r="I120" s="15">
        <f t="shared" si="9"/>
        <v>0</v>
      </c>
      <c r="J120" s="15" t="str">
        <f t="shared" si="10"/>
        <v/>
      </c>
      <c r="K120" s="19" t="str">
        <f t="shared" si="11"/>
        <v>尚未记录买入</v>
      </c>
    </row>
    <row r="121" spans="1:11" ht="21.75" customHeight="1">
      <c r="A121" s="29">
        <f>DATE(2036,5,总览!$E$4)</f>
        <v>49805</v>
      </c>
      <c r="B121" s="15">
        <f>回撤计划!J124</f>
        <v>500</v>
      </c>
      <c r="C121" s="15">
        <f>B121*总览!$B$8</f>
        <v>450</v>
      </c>
      <c r="D121" s="15">
        <f>B121*总览!$B$9</f>
        <v>50</v>
      </c>
      <c r="E121" s="15">
        <f>B121*总览!$B$10</f>
        <v>0</v>
      </c>
      <c r="F121" s="15">
        <f>SUMIFS(交易记录!$D$6:$D$605,交易记录!$A$6:$A$605,"&gt;="&amp;DATE(YEAR(A121),MONTH(A121),1),交易记录!$A$6:$A$605,"&lt;"&amp;DATE(YEAR(A121),MONTH(A121)+1,1),交易记录!$B$6:$B$605,"VOO",交易记录!$C$6:$C$605,"买入")+SUMIFS(交易记录!$E$6:$E$605,交易记录!$A$6:$A$605,"&gt;="&amp;DATE(YEAR(A121),MONTH(A121),1),交易记录!$A$6:$A$605,"&lt;"&amp;DATE(YEAR(A121),MONTH(A121)+1,1),交易记录!$B$6:$B$605,"VOO",交易记录!$C$6:$C$605,"买入")</f>
        <v>0</v>
      </c>
      <c r="G121" s="15">
        <f>SUMIFS(交易记录!$D$6:$D$605,交易记录!$A$6:$A$605,"&gt;="&amp;DATE(YEAR(A121),MONTH(A121),1),交易记录!$A$6:$A$605,"&lt;"&amp;DATE(YEAR(A121),MONTH(A121)+1,1),交易记录!$B$6:$B$605,"QQQM",交易记录!$C$6:$C$605,"买入")+SUMIFS(交易记录!$E$6:$E$605,交易记录!$A$6:$A$605,"&gt;="&amp;DATE(YEAR(A121),MONTH(A121),1),交易记录!$A$6:$A$605,"&lt;"&amp;DATE(YEAR(A121),MONTH(A121)+1,1),交易记录!$B$6:$B$605,"QQQM",交易记录!$C$6:$C$605,"买入")</f>
        <v>0</v>
      </c>
      <c r="H121" s="15">
        <f>SUMIFS(交易记录!$D$6:$D$605,交易记录!$A$6:$A$605,"&gt;="&amp;DATE(YEAR(A121),MONTH(A121),1),交易记录!$A$6:$A$605,"&lt;"&amp;DATE(YEAR(A121),MONTH(A121)+1,1),交易记录!$B$6:$B$605,"SMH",交易记录!$C$6:$C$605,"买入")+SUMIFS(交易记录!$E$6:$E$605,交易记录!$A$6:$A$605,"&gt;="&amp;DATE(YEAR(A121),MONTH(A121),1),交易记录!$A$6:$A$605,"&lt;"&amp;DATE(YEAR(A121),MONTH(A121)+1,1),交易记录!$B$6:$B$605,"SMH",交易记录!$C$6:$C$605,"买入")</f>
        <v>0</v>
      </c>
      <c r="I121" s="15">
        <f t="shared" si="9"/>
        <v>0</v>
      </c>
      <c r="J121" s="15" t="str">
        <f t="shared" si="10"/>
        <v/>
      </c>
      <c r="K121" s="19" t="str">
        <f t="shared" si="11"/>
        <v>尚未记录买入</v>
      </c>
    </row>
    <row r="122" spans="1:11" ht="21.75" customHeight="1">
      <c r="A122" s="29">
        <f>DATE(2036,6,总览!$E$4)</f>
        <v>49836</v>
      </c>
      <c r="B122" s="15">
        <f>回撤计划!J125</f>
        <v>500</v>
      </c>
      <c r="C122" s="15">
        <f>B122*总览!$B$8</f>
        <v>450</v>
      </c>
      <c r="D122" s="15">
        <f>B122*总览!$B$9</f>
        <v>50</v>
      </c>
      <c r="E122" s="15">
        <f>B122*总览!$B$10</f>
        <v>0</v>
      </c>
      <c r="F122" s="15">
        <f>SUMIFS(交易记录!$D$6:$D$605,交易记录!$A$6:$A$605,"&gt;="&amp;DATE(YEAR(A122),MONTH(A122),1),交易记录!$A$6:$A$605,"&lt;"&amp;DATE(YEAR(A122),MONTH(A122)+1,1),交易记录!$B$6:$B$605,"VOO",交易记录!$C$6:$C$605,"买入")+SUMIFS(交易记录!$E$6:$E$605,交易记录!$A$6:$A$605,"&gt;="&amp;DATE(YEAR(A122),MONTH(A122),1),交易记录!$A$6:$A$605,"&lt;"&amp;DATE(YEAR(A122),MONTH(A122)+1,1),交易记录!$B$6:$B$605,"VOO",交易记录!$C$6:$C$605,"买入")</f>
        <v>0</v>
      </c>
      <c r="G122" s="15">
        <f>SUMIFS(交易记录!$D$6:$D$605,交易记录!$A$6:$A$605,"&gt;="&amp;DATE(YEAR(A122),MONTH(A122),1),交易记录!$A$6:$A$605,"&lt;"&amp;DATE(YEAR(A122),MONTH(A122)+1,1),交易记录!$B$6:$B$605,"QQQM",交易记录!$C$6:$C$605,"买入")+SUMIFS(交易记录!$E$6:$E$605,交易记录!$A$6:$A$605,"&gt;="&amp;DATE(YEAR(A122),MONTH(A122),1),交易记录!$A$6:$A$605,"&lt;"&amp;DATE(YEAR(A122),MONTH(A122)+1,1),交易记录!$B$6:$B$605,"QQQM",交易记录!$C$6:$C$605,"买入")</f>
        <v>0</v>
      </c>
      <c r="H122" s="15">
        <f>SUMIFS(交易记录!$D$6:$D$605,交易记录!$A$6:$A$605,"&gt;="&amp;DATE(YEAR(A122),MONTH(A122),1),交易记录!$A$6:$A$605,"&lt;"&amp;DATE(YEAR(A122),MONTH(A122)+1,1),交易记录!$B$6:$B$605,"SMH",交易记录!$C$6:$C$605,"买入")+SUMIFS(交易记录!$E$6:$E$605,交易记录!$A$6:$A$605,"&gt;="&amp;DATE(YEAR(A122),MONTH(A122),1),交易记录!$A$6:$A$605,"&lt;"&amp;DATE(YEAR(A122),MONTH(A122)+1,1),交易记录!$B$6:$B$605,"SMH",交易记录!$C$6:$C$605,"买入")</f>
        <v>0</v>
      </c>
      <c r="I122" s="15">
        <f t="shared" si="9"/>
        <v>0</v>
      </c>
      <c r="J122" s="15" t="str">
        <f t="shared" si="10"/>
        <v/>
      </c>
      <c r="K122" s="19" t="str">
        <f t="shared" si="11"/>
        <v>尚未记录买入</v>
      </c>
    </row>
    <row r="123" spans="1:11" ht="21.75" customHeight="1">
      <c r="A123" s="29">
        <f>DATE(2036,7,总览!$E$4)</f>
        <v>49866</v>
      </c>
      <c r="B123" s="15">
        <f>回撤计划!J126</f>
        <v>500</v>
      </c>
      <c r="C123" s="15">
        <f>B123*总览!$B$8</f>
        <v>450</v>
      </c>
      <c r="D123" s="15">
        <f>B123*总览!$B$9</f>
        <v>50</v>
      </c>
      <c r="E123" s="15">
        <f>B123*总览!$B$10</f>
        <v>0</v>
      </c>
      <c r="F123" s="15">
        <f>SUMIFS(交易记录!$D$6:$D$605,交易记录!$A$6:$A$605,"&gt;="&amp;DATE(YEAR(A123),MONTH(A123),1),交易记录!$A$6:$A$605,"&lt;"&amp;DATE(YEAR(A123),MONTH(A123)+1,1),交易记录!$B$6:$B$605,"VOO",交易记录!$C$6:$C$605,"买入")+SUMIFS(交易记录!$E$6:$E$605,交易记录!$A$6:$A$605,"&gt;="&amp;DATE(YEAR(A123),MONTH(A123),1),交易记录!$A$6:$A$605,"&lt;"&amp;DATE(YEAR(A123),MONTH(A123)+1,1),交易记录!$B$6:$B$605,"VOO",交易记录!$C$6:$C$605,"买入")</f>
        <v>0</v>
      </c>
      <c r="G123" s="15">
        <f>SUMIFS(交易记录!$D$6:$D$605,交易记录!$A$6:$A$605,"&gt;="&amp;DATE(YEAR(A123),MONTH(A123),1),交易记录!$A$6:$A$605,"&lt;"&amp;DATE(YEAR(A123),MONTH(A123)+1,1),交易记录!$B$6:$B$605,"QQQM",交易记录!$C$6:$C$605,"买入")+SUMIFS(交易记录!$E$6:$E$605,交易记录!$A$6:$A$605,"&gt;="&amp;DATE(YEAR(A123),MONTH(A123),1),交易记录!$A$6:$A$605,"&lt;"&amp;DATE(YEAR(A123),MONTH(A123)+1,1),交易记录!$B$6:$B$605,"QQQM",交易记录!$C$6:$C$605,"买入")</f>
        <v>0</v>
      </c>
      <c r="H123" s="15">
        <f>SUMIFS(交易记录!$D$6:$D$605,交易记录!$A$6:$A$605,"&gt;="&amp;DATE(YEAR(A123),MONTH(A123),1),交易记录!$A$6:$A$605,"&lt;"&amp;DATE(YEAR(A123),MONTH(A123)+1,1),交易记录!$B$6:$B$605,"SMH",交易记录!$C$6:$C$605,"买入")+SUMIFS(交易记录!$E$6:$E$605,交易记录!$A$6:$A$605,"&gt;="&amp;DATE(YEAR(A123),MONTH(A123),1),交易记录!$A$6:$A$605,"&lt;"&amp;DATE(YEAR(A123),MONTH(A123)+1,1),交易记录!$B$6:$B$605,"SMH",交易记录!$C$6:$C$605,"买入")</f>
        <v>0</v>
      </c>
      <c r="I123" s="15">
        <f t="shared" si="9"/>
        <v>0</v>
      </c>
      <c r="J123" s="15" t="str">
        <f t="shared" si="10"/>
        <v/>
      </c>
      <c r="K123" s="19" t="str">
        <f t="shared" si="11"/>
        <v>尚未记录买入</v>
      </c>
    </row>
    <row r="124" spans="1:11" ht="21.75" customHeight="1">
      <c r="A124" s="29">
        <f>DATE(2036,8,总览!$E$4)</f>
        <v>49897</v>
      </c>
      <c r="B124" s="15">
        <f>回撤计划!J127</f>
        <v>500</v>
      </c>
      <c r="C124" s="15">
        <f>B124*总览!$B$8</f>
        <v>450</v>
      </c>
      <c r="D124" s="15">
        <f>B124*总览!$B$9</f>
        <v>50</v>
      </c>
      <c r="E124" s="15">
        <f>B124*总览!$B$10</f>
        <v>0</v>
      </c>
      <c r="F124" s="15">
        <f>SUMIFS(交易记录!$D$6:$D$605,交易记录!$A$6:$A$605,"&gt;="&amp;DATE(YEAR(A124),MONTH(A124),1),交易记录!$A$6:$A$605,"&lt;"&amp;DATE(YEAR(A124),MONTH(A124)+1,1),交易记录!$B$6:$B$605,"VOO",交易记录!$C$6:$C$605,"买入")+SUMIFS(交易记录!$E$6:$E$605,交易记录!$A$6:$A$605,"&gt;="&amp;DATE(YEAR(A124),MONTH(A124),1),交易记录!$A$6:$A$605,"&lt;"&amp;DATE(YEAR(A124),MONTH(A124)+1,1),交易记录!$B$6:$B$605,"VOO",交易记录!$C$6:$C$605,"买入")</f>
        <v>0</v>
      </c>
      <c r="G124" s="15">
        <f>SUMIFS(交易记录!$D$6:$D$605,交易记录!$A$6:$A$605,"&gt;="&amp;DATE(YEAR(A124),MONTH(A124),1),交易记录!$A$6:$A$605,"&lt;"&amp;DATE(YEAR(A124),MONTH(A124)+1,1),交易记录!$B$6:$B$605,"QQQM",交易记录!$C$6:$C$605,"买入")+SUMIFS(交易记录!$E$6:$E$605,交易记录!$A$6:$A$605,"&gt;="&amp;DATE(YEAR(A124),MONTH(A124),1),交易记录!$A$6:$A$605,"&lt;"&amp;DATE(YEAR(A124),MONTH(A124)+1,1),交易记录!$B$6:$B$605,"QQQM",交易记录!$C$6:$C$605,"买入")</f>
        <v>0</v>
      </c>
      <c r="H124" s="15">
        <f>SUMIFS(交易记录!$D$6:$D$605,交易记录!$A$6:$A$605,"&gt;="&amp;DATE(YEAR(A124),MONTH(A124),1),交易记录!$A$6:$A$605,"&lt;"&amp;DATE(YEAR(A124),MONTH(A124)+1,1),交易记录!$B$6:$B$605,"SMH",交易记录!$C$6:$C$605,"买入")+SUMIFS(交易记录!$E$6:$E$605,交易记录!$A$6:$A$605,"&gt;="&amp;DATE(YEAR(A124),MONTH(A124),1),交易记录!$A$6:$A$605,"&lt;"&amp;DATE(YEAR(A124),MONTH(A124)+1,1),交易记录!$B$6:$B$605,"SMH",交易记录!$C$6:$C$605,"买入")</f>
        <v>0</v>
      </c>
      <c r="I124" s="15">
        <f t="shared" si="9"/>
        <v>0</v>
      </c>
      <c r="J124" s="15" t="str">
        <f t="shared" si="10"/>
        <v/>
      </c>
      <c r="K124" s="19" t="str">
        <f t="shared" si="11"/>
        <v>尚未记录买入</v>
      </c>
    </row>
    <row r="125" spans="1:11" ht="21.75" customHeight="1">
      <c r="A125" s="29">
        <f>DATE(2036,9,总览!$E$4)</f>
        <v>49928</v>
      </c>
      <c r="B125" s="15">
        <f>回撤计划!J128</f>
        <v>500</v>
      </c>
      <c r="C125" s="15">
        <f>B125*总览!$B$8</f>
        <v>450</v>
      </c>
      <c r="D125" s="15">
        <f>B125*总览!$B$9</f>
        <v>50</v>
      </c>
      <c r="E125" s="15">
        <f>B125*总览!$B$10</f>
        <v>0</v>
      </c>
      <c r="F125" s="15">
        <f>SUMIFS(交易记录!$D$6:$D$605,交易记录!$A$6:$A$605,"&gt;="&amp;DATE(YEAR(A125),MONTH(A125),1),交易记录!$A$6:$A$605,"&lt;"&amp;DATE(YEAR(A125),MONTH(A125)+1,1),交易记录!$B$6:$B$605,"VOO",交易记录!$C$6:$C$605,"买入")+SUMIFS(交易记录!$E$6:$E$605,交易记录!$A$6:$A$605,"&gt;="&amp;DATE(YEAR(A125),MONTH(A125),1),交易记录!$A$6:$A$605,"&lt;"&amp;DATE(YEAR(A125),MONTH(A125)+1,1),交易记录!$B$6:$B$605,"VOO",交易记录!$C$6:$C$605,"买入")</f>
        <v>0</v>
      </c>
      <c r="G125" s="15">
        <f>SUMIFS(交易记录!$D$6:$D$605,交易记录!$A$6:$A$605,"&gt;="&amp;DATE(YEAR(A125),MONTH(A125),1),交易记录!$A$6:$A$605,"&lt;"&amp;DATE(YEAR(A125),MONTH(A125)+1,1),交易记录!$B$6:$B$605,"QQQM",交易记录!$C$6:$C$605,"买入")+SUMIFS(交易记录!$E$6:$E$605,交易记录!$A$6:$A$605,"&gt;="&amp;DATE(YEAR(A125),MONTH(A125),1),交易记录!$A$6:$A$605,"&lt;"&amp;DATE(YEAR(A125),MONTH(A125)+1,1),交易记录!$B$6:$B$605,"QQQM",交易记录!$C$6:$C$605,"买入")</f>
        <v>0</v>
      </c>
      <c r="H125" s="15">
        <f>SUMIFS(交易记录!$D$6:$D$605,交易记录!$A$6:$A$605,"&gt;="&amp;DATE(YEAR(A125),MONTH(A125),1),交易记录!$A$6:$A$605,"&lt;"&amp;DATE(YEAR(A125),MONTH(A125)+1,1),交易记录!$B$6:$B$605,"SMH",交易记录!$C$6:$C$605,"买入")+SUMIFS(交易记录!$E$6:$E$605,交易记录!$A$6:$A$605,"&gt;="&amp;DATE(YEAR(A125),MONTH(A125),1),交易记录!$A$6:$A$605,"&lt;"&amp;DATE(YEAR(A125),MONTH(A125)+1,1),交易记录!$B$6:$B$605,"SMH",交易记录!$C$6:$C$605,"买入")</f>
        <v>0</v>
      </c>
      <c r="I125" s="15">
        <f t="shared" si="9"/>
        <v>0</v>
      </c>
      <c r="J125" s="15" t="str">
        <f t="shared" si="10"/>
        <v/>
      </c>
      <c r="K125" s="19" t="str">
        <f t="shared" si="11"/>
        <v>尚未记录买入</v>
      </c>
    </row>
  </sheetData>
  <autoFilter ref="A5:K125" xr:uid="{00000000-0009-0000-0000-000002000000}"/>
  <mergeCells count="2">
    <mergeCell ref="A1:K2"/>
    <mergeCell ref="A3:K3"/>
  </mergeCells>
  <phoneticPr fontId="29" type="noConversion"/>
  <conditionalFormatting sqref="J6:J125">
    <cfRule type="cellIs" dxfId="8" priority="2" operator="lessThan">
      <formula>0</formula>
    </cfRule>
    <cfRule type="cellIs" dxfId="7" priority="3" operator="greaterThan">
      <formula>0</formula>
    </cfRule>
  </conditionalFormatting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7E8B"/>
    <pageSetUpPr fitToPage="1"/>
  </sheetPr>
  <dimension ref="A1:P60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L6" sqref="L6"/>
    </sheetView>
  </sheetViews>
  <sheetFormatPr defaultColWidth="8.59765625" defaultRowHeight="21.75" customHeight="1"/>
  <cols>
    <col min="1" max="1" width="15.73046875" customWidth="1"/>
    <col min="2" max="3" width="12.73046875" customWidth="1"/>
    <col min="4" max="4" width="18.73046875" customWidth="1"/>
    <col min="5" max="5" width="16.73046875" customWidth="1"/>
    <col min="6" max="6" width="18.73046875" customWidth="1"/>
    <col min="7" max="7" width="19.73046875" customWidth="1"/>
    <col min="8" max="9" width="19.73046875" style="15" hidden="1" customWidth="1"/>
    <col min="10" max="10" width="20.73046875" customWidth="1"/>
    <col min="11" max="11" width="25.73046875" customWidth="1"/>
    <col min="12" max="12" width="36.73046875" customWidth="1"/>
    <col min="13" max="15" width="16.73046875" style="15" hidden="1" customWidth="1"/>
    <col min="16" max="16" width="19" customWidth="1"/>
  </cols>
  <sheetData>
    <row r="1" spans="1:16" ht="21.75" customHeight="1">
      <c r="A1" s="8" t="s">
        <v>73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6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6" ht="33.75" customHeight="1">
      <c r="A3" s="7" t="s">
        <v>74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5" spans="1:16" ht="42" customHeight="1">
      <c r="A5" s="12" t="s">
        <v>75</v>
      </c>
      <c r="B5" s="11" t="s">
        <v>5</v>
      </c>
      <c r="C5" s="12" t="s">
        <v>76</v>
      </c>
      <c r="D5" s="12" t="s">
        <v>77</v>
      </c>
      <c r="E5" s="12" t="s">
        <v>78</v>
      </c>
      <c r="F5" s="12" t="s">
        <v>79</v>
      </c>
      <c r="G5" s="12" t="s">
        <v>80</v>
      </c>
      <c r="H5" s="12" t="s">
        <v>81</v>
      </c>
      <c r="I5" s="12" t="s">
        <v>82</v>
      </c>
      <c r="J5" s="12" t="s">
        <v>83</v>
      </c>
      <c r="K5" s="12" t="s">
        <v>84</v>
      </c>
      <c r="L5" s="12" t="s">
        <v>60</v>
      </c>
      <c r="M5" s="12" t="s">
        <v>85</v>
      </c>
      <c r="N5" s="12" t="s">
        <v>86</v>
      </c>
      <c r="O5" s="12" t="s">
        <v>87</v>
      </c>
      <c r="P5" s="23" t="s">
        <v>88</v>
      </c>
    </row>
    <row r="6" spans="1:16" ht="21.75" customHeight="1">
      <c r="A6" s="16">
        <v>46275</v>
      </c>
      <c r="B6" s="30" t="s">
        <v>19</v>
      </c>
      <c r="C6" s="31" t="s">
        <v>89</v>
      </c>
      <c r="D6" s="10">
        <v>375</v>
      </c>
      <c r="E6" s="10">
        <v>0</v>
      </c>
      <c r="F6" s="32">
        <v>0.5373</v>
      </c>
      <c r="G6" s="15">
        <f t="shared" ref="G6:G69" si="0">IF(OR(B6="",D6="",C6=""),"",IF(C6="买入",-(D6+E6),IF(C6="卖出",D6-E6,"")))</f>
        <v>-375</v>
      </c>
      <c r="H6" s="15">
        <f t="shared" ref="H6:H69" si="1">IF(K6&lt;&gt;"已记录","",IF(C6="买入",D6+E6,-IF(M6=0,0,N6/M6*F6)))</f>
        <v>375</v>
      </c>
      <c r="I6" s="17">
        <f t="shared" ref="I6:I69" si="2">IF(K6&lt;&gt;"已记录","",IF(C6="买入",F6,-F6))</f>
        <v>0.5373</v>
      </c>
      <c r="J6" s="15">
        <f t="shared" ref="J6:J69" si="3">IF(K6&lt;&gt;"已记录","",IF(C6="卖出",D6-E6+H6,0))</f>
        <v>0</v>
      </c>
      <c r="K6" s="19" t="str">
        <f t="shared" ref="K6:K69" si="4">IF(B6="","",IF(OR(A6="",D6="",F6="",C6=""),"待补日期／金额／份额",IF(OR(D6&lt;=0,F6&lt;=0,E6&lt;0,AND(C6&lt;&gt;"买入",C6&lt;&gt;"卖出"),AND(C6="卖出",E6&gt;D6)),"请检查输入",IF(O6&gt;0,"待补前序记录",IF(AND(C6="卖出",F6&gt;M6+0.00000001),"卖出超过持仓","已记录")))))</f>
        <v>已记录</v>
      </c>
      <c r="L6" s="33"/>
      <c r="M6" s="15">
        <f>0</f>
        <v>0</v>
      </c>
      <c r="N6" s="15">
        <f>0</f>
        <v>0</v>
      </c>
      <c r="O6" s="15">
        <f>0</f>
        <v>0</v>
      </c>
      <c r="P6" s="34" t="s">
        <v>90</v>
      </c>
    </row>
    <row r="7" spans="1:16" ht="21.75" customHeight="1">
      <c r="A7" s="16">
        <v>46275</v>
      </c>
      <c r="B7" s="30" t="s">
        <v>20</v>
      </c>
      <c r="C7" s="31" t="s">
        <v>89</v>
      </c>
      <c r="D7" s="10">
        <v>75</v>
      </c>
      <c r="E7" s="10">
        <v>0</v>
      </c>
      <c r="F7" s="32">
        <v>0.25600000000000001</v>
      </c>
      <c r="G7" s="15">
        <f t="shared" si="0"/>
        <v>-75</v>
      </c>
      <c r="H7" s="15">
        <f t="shared" si="1"/>
        <v>75</v>
      </c>
      <c r="I7" s="17">
        <f t="shared" si="2"/>
        <v>0.25600000000000001</v>
      </c>
      <c r="J7" s="15">
        <f t="shared" si="3"/>
        <v>0</v>
      </c>
      <c r="K7" s="19" t="str">
        <f t="shared" si="4"/>
        <v>已记录</v>
      </c>
      <c r="L7" s="33"/>
      <c r="M7" s="15">
        <f>IF(B7="","",SUMIF($B$6:B6,B7,$I$6:I6))</f>
        <v>0</v>
      </c>
      <c r="N7" s="15">
        <f>IF(B7="","",SUMIF($B$6:B6,B7,$H$6:H6))</f>
        <v>0</v>
      </c>
      <c r="O7" s="15">
        <f>IF(B7="","",COUNTIFS($B$6:B6,B7,$K$6:K6,"&lt;&gt;已记录"))</f>
        <v>0</v>
      </c>
      <c r="P7" s="34" t="s">
        <v>90</v>
      </c>
    </row>
    <row r="8" spans="1:16" ht="21.75" customHeight="1">
      <c r="A8" s="16">
        <v>46275</v>
      </c>
      <c r="B8" s="30" t="s">
        <v>21</v>
      </c>
      <c r="C8" s="31" t="s">
        <v>89</v>
      </c>
      <c r="D8" s="10">
        <v>50</v>
      </c>
      <c r="E8" s="10">
        <v>0</v>
      </c>
      <c r="F8" s="32">
        <v>8.8499999999999995E-2</v>
      </c>
      <c r="G8" s="15">
        <f t="shared" si="0"/>
        <v>-50</v>
      </c>
      <c r="H8" s="15">
        <f t="shared" si="1"/>
        <v>50</v>
      </c>
      <c r="I8" s="17">
        <f t="shared" si="2"/>
        <v>8.8499999999999995E-2</v>
      </c>
      <c r="J8" s="15">
        <f t="shared" si="3"/>
        <v>0</v>
      </c>
      <c r="K8" s="19" t="str">
        <f t="shared" si="4"/>
        <v>已记录</v>
      </c>
      <c r="L8" s="33"/>
      <c r="M8" s="15">
        <f>IF(B8="","",SUMIF($B$6:B7,B8,$I$6:I7))</f>
        <v>0</v>
      </c>
      <c r="N8" s="15">
        <f>IF(B8="","",SUMIF($B$6:B7,B8,$H$6:H7))</f>
        <v>0</v>
      </c>
      <c r="O8" s="15">
        <f>IF(B8="","",COUNTIFS($B$6:B7,B8,$K$6:K7,"&lt;&gt;已记录"))</f>
        <v>0</v>
      </c>
      <c r="P8" s="34" t="s">
        <v>90</v>
      </c>
    </row>
    <row r="9" spans="1:16" ht="21.75" customHeight="1">
      <c r="A9" s="16"/>
      <c r="B9" s="30"/>
      <c r="C9" s="31"/>
      <c r="D9" s="10"/>
      <c r="E9" s="10"/>
      <c r="F9" s="32"/>
      <c r="G9" s="15" t="str">
        <f t="shared" si="0"/>
        <v/>
      </c>
      <c r="H9" s="15" t="str">
        <f t="shared" si="1"/>
        <v/>
      </c>
      <c r="I9" s="17" t="str">
        <f t="shared" si="2"/>
        <v/>
      </c>
      <c r="J9" s="15" t="str">
        <f t="shared" si="3"/>
        <v/>
      </c>
      <c r="K9" s="19" t="str">
        <f t="shared" si="4"/>
        <v/>
      </c>
      <c r="L9" s="33"/>
      <c r="M9" s="15" t="str">
        <f>IF(B9="","",SUMIF($B$6:B8,B9,$I$6:I8))</f>
        <v/>
      </c>
      <c r="N9" s="15" t="str">
        <f>IF(B9="","",SUMIF($B$6:B8,B9,$H$6:H8))</f>
        <v/>
      </c>
      <c r="O9" s="15" t="str">
        <f>IF(B9="","",COUNTIFS($B$6:B8,B9,$K$6:K8,"&lt;&gt;已记录"))</f>
        <v/>
      </c>
      <c r="P9" s="34"/>
    </row>
    <row r="10" spans="1:16" ht="21.75" customHeight="1">
      <c r="A10" s="16"/>
      <c r="B10" s="30"/>
      <c r="C10" s="31"/>
      <c r="D10" s="10"/>
      <c r="E10" s="10"/>
      <c r="F10" s="32"/>
      <c r="G10" s="15" t="str">
        <f t="shared" si="0"/>
        <v/>
      </c>
      <c r="H10" s="15" t="str">
        <f t="shared" si="1"/>
        <v/>
      </c>
      <c r="I10" s="17" t="str">
        <f t="shared" si="2"/>
        <v/>
      </c>
      <c r="J10" s="15" t="str">
        <f t="shared" si="3"/>
        <v/>
      </c>
      <c r="K10" s="19" t="str">
        <f t="shared" si="4"/>
        <v/>
      </c>
      <c r="L10" s="33"/>
      <c r="M10" s="15" t="str">
        <f>IF(B10="","",SUMIF($B$6:B9,B10,$I$6:I9))</f>
        <v/>
      </c>
      <c r="N10" s="15" t="str">
        <f>IF(B10="","",SUMIF($B$6:B9,B10,$H$6:H9))</f>
        <v/>
      </c>
      <c r="O10" s="15" t="str">
        <f>IF(B10="","",COUNTIFS($B$6:B9,B10,$K$6:K9,"&lt;&gt;已记录"))</f>
        <v/>
      </c>
      <c r="P10" s="34"/>
    </row>
    <row r="11" spans="1:16" ht="21.75" customHeight="1">
      <c r="A11" s="16"/>
      <c r="B11" s="30"/>
      <c r="C11" s="31"/>
      <c r="D11" s="10"/>
      <c r="E11" s="10"/>
      <c r="F11" s="32"/>
      <c r="G11" s="15" t="str">
        <f t="shared" si="0"/>
        <v/>
      </c>
      <c r="H11" s="15" t="str">
        <f t="shared" si="1"/>
        <v/>
      </c>
      <c r="I11" s="17" t="str">
        <f t="shared" si="2"/>
        <v/>
      </c>
      <c r="J11" s="15" t="str">
        <f t="shared" si="3"/>
        <v/>
      </c>
      <c r="K11" s="19" t="str">
        <f t="shared" si="4"/>
        <v/>
      </c>
      <c r="L11" s="33"/>
      <c r="M11" s="15" t="str">
        <f>IF(B11="","",SUMIF($B$6:B10,B11,$I$6:I10))</f>
        <v/>
      </c>
      <c r="N11" s="15" t="str">
        <f>IF(B11="","",SUMIF($B$6:B10,B11,$H$6:H10))</f>
        <v/>
      </c>
      <c r="O11" s="15" t="str">
        <f>IF(B11="","",COUNTIFS($B$6:B10,B11,$K$6:K10,"&lt;&gt;已记录"))</f>
        <v/>
      </c>
      <c r="P11" s="34"/>
    </row>
    <row r="12" spans="1:16" ht="21.75" customHeight="1">
      <c r="A12" s="16"/>
      <c r="B12" s="30"/>
      <c r="C12" s="31"/>
      <c r="D12" s="10"/>
      <c r="E12" s="10"/>
      <c r="F12" s="32"/>
      <c r="G12" s="15" t="str">
        <f t="shared" si="0"/>
        <v/>
      </c>
      <c r="H12" s="15" t="str">
        <f t="shared" si="1"/>
        <v/>
      </c>
      <c r="I12" s="17" t="str">
        <f t="shared" si="2"/>
        <v/>
      </c>
      <c r="J12" s="15" t="str">
        <f t="shared" si="3"/>
        <v/>
      </c>
      <c r="K12" s="19" t="str">
        <f t="shared" si="4"/>
        <v/>
      </c>
      <c r="L12" s="33"/>
      <c r="M12" s="15" t="str">
        <f>IF(B12="","",SUMIF($B$6:B11,B12,$I$6:I11))</f>
        <v/>
      </c>
      <c r="N12" s="15" t="str">
        <f>IF(B12="","",SUMIF($B$6:B11,B12,$H$6:H11))</f>
        <v/>
      </c>
      <c r="O12" s="15" t="str">
        <f>IF(B12="","",COUNTIFS($B$6:B11,B12,$K$6:K11,"&lt;&gt;已记录"))</f>
        <v/>
      </c>
      <c r="P12" s="34"/>
    </row>
    <row r="13" spans="1:16" ht="21.75" customHeight="1">
      <c r="A13" s="16"/>
      <c r="B13" s="30"/>
      <c r="C13" s="31"/>
      <c r="D13" s="10"/>
      <c r="E13" s="10"/>
      <c r="F13" s="32"/>
      <c r="G13" s="15" t="str">
        <f t="shared" si="0"/>
        <v/>
      </c>
      <c r="H13" s="15" t="str">
        <f t="shared" si="1"/>
        <v/>
      </c>
      <c r="I13" s="17" t="str">
        <f t="shared" si="2"/>
        <v/>
      </c>
      <c r="J13" s="15" t="str">
        <f t="shared" si="3"/>
        <v/>
      </c>
      <c r="K13" s="19" t="str">
        <f t="shared" si="4"/>
        <v/>
      </c>
      <c r="L13" s="33"/>
      <c r="M13" s="15" t="str">
        <f>IF(B13="","",SUMIF($B$6:B12,B13,$I$6:I12))</f>
        <v/>
      </c>
      <c r="N13" s="15" t="str">
        <f>IF(B13="","",SUMIF($B$6:B12,B13,$H$6:H12))</f>
        <v/>
      </c>
      <c r="O13" s="15" t="str">
        <f>IF(B13="","",COUNTIFS($B$6:B12,B13,$K$6:K12,"&lt;&gt;已记录"))</f>
        <v/>
      </c>
      <c r="P13" s="34"/>
    </row>
    <row r="14" spans="1:16" ht="21.75" customHeight="1">
      <c r="A14" s="16"/>
      <c r="B14" s="30"/>
      <c r="C14" s="31"/>
      <c r="D14" s="10"/>
      <c r="E14" s="10"/>
      <c r="F14" s="32"/>
      <c r="G14" s="15" t="str">
        <f t="shared" si="0"/>
        <v/>
      </c>
      <c r="H14" s="15" t="str">
        <f t="shared" si="1"/>
        <v/>
      </c>
      <c r="I14" s="17" t="str">
        <f t="shared" si="2"/>
        <v/>
      </c>
      <c r="J14" s="15" t="str">
        <f t="shared" si="3"/>
        <v/>
      </c>
      <c r="K14" s="19" t="str">
        <f t="shared" si="4"/>
        <v/>
      </c>
      <c r="L14" s="33"/>
      <c r="M14" s="15" t="str">
        <f>IF(B14="","",SUMIF($B$6:B13,B14,$I$6:I13))</f>
        <v/>
      </c>
      <c r="N14" s="15" t="str">
        <f>IF(B14="","",SUMIF($B$6:B13,B14,$H$6:H13))</f>
        <v/>
      </c>
      <c r="O14" s="15" t="str">
        <f>IF(B14="","",COUNTIFS($B$6:B13,B14,$K$6:K13,"&lt;&gt;已记录"))</f>
        <v/>
      </c>
      <c r="P14" s="34"/>
    </row>
    <row r="15" spans="1:16" ht="21.75" customHeight="1">
      <c r="A15" s="16"/>
      <c r="B15" s="30"/>
      <c r="C15" s="31"/>
      <c r="D15" s="10"/>
      <c r="E15" s="10"/>
      <c r="F15" s="32"/>
      <c r="G15" s="15" t="str">
        <f t="shared" si="0"/>
        <v/>
      </c>
      <c r="H15" s="15" t="str">
        <f t="shared" si="1"/>
        <v/>
      </c>
      <c r="I15" s="17" t="str">
        <f t="shared" si="2"/>
        <v/>
      </c>
      <c r="J15" s="15" t="str">
        <f t="shared" si="3"/>
        <v/>
      </c>
      <c r="K15" s="19" t="str">
        <f t="shared" si="4"/>
        <v/>
      </c>
      <c r="L15" s="33"/>
      <c r="M15" s="15" t="str">
        <f>IF(B15="","",SUMIF($B$6:B14,B15,$I$6:I14))</f>
        <v/>
      </c>
      <c r="N15" s="15" t="str">
        <f>IF(B15="","",SUMIF($B$6:B14,B15,$H$6:H14))</f>
        <v/>
      </c>
      <c r="O15" s="15" t="str">
        <f>IF(B15="","",COUNTIFS($B$6:B14,B15,$K$6:K14,"&lt;&gt;已记录"))</f>
        <v/>
      </c>
      <c r="P15" s="34"/>
    </row>
    <row r="16" spans="1:16" ht="21.75" customHeight="1">
      <c r="A16" s="16"/>
      <c r="B16" s="30"/>
      <c r="C16" s="31"/>
      <c r="D16" s="10"/>
      <c r="E16" s="10"/>
      <c r="F16" s="32"/>
      <c r="G16" s="15" t="str">
        <f t="shared" si="0"/>
        <v/>
      </c>
      <c r="H16" s="15" t="str">
        <f t="shared" si="1"/>
        <v/>
      </c>
      <c r="I16" s="17" t="str">
        <f t="shared" si="2"/>
        <v/>
      </c>
      <c r="J16" s="15" t="str">
        <f t="shared" si="3"/>
        <v/>
      </c>
      <c r="K16" s="19" t="str">
        <f t="shared" si="4"/>
        <v/>
      </c>
      <c r="L16" s="33"/>
      <c r="M16" s="15" t="str">
        <f>IF(B16="","",SUMIF($B$6:B15,B16,$I$6:I15))</f>
        <v/>
      </c>
      <c r="N16" s="15" t="str">
        <f>IF(B16="","",SUMIF($B$6:B15,B16,$H$6:H15))</f>
        <v/>
      </c>
      <c r="O16" s="15" t="str">
        <f>IF(B16="","",COUNTIFS($B$6:B15,B16,$K$6:K15,"&lt;&gt;已记录"))</f>
        <v/>
      </c>
      <c r="P16" s="34"/>
    </row>
    <row r="17" spans="1:16" ht="21.75" customHeight="1">
      <c r="A17" s="16"/>
      <c r="B17" s="30"/>
      <c r="C17" s="31"/>
      <c r="D17" s="10"/>
      <c r="E17" s="10"/>
      <c r="F17" s="32"/>
      <c r="G17" s="15" t="str">
        <f t="shared" si="0"/>
        <v/>
      </c>
      <c r="H17" s="15" t="str">
        <f t="shared" si="1"/>
        <v/>
      </c>
      <c r="I17" s="17" t="str">
        <f t="shared" si="2"/>
        <v/>
      </c>
      <c r="J17" s="15" t="str">
        <f t="shared" si="3"/>
        <v/>
      </c>
      <c r="K17" s="19" t="str">
        <f t="shared" si="4"/>
        <v/>
      </c>
      <c r="L17" s="33"/>
      <c r="M17" s="15" t="str">
        <f>IF(B17="","",SUMIF($B$6:B16,B17,$I$6:I16))</f>
        <v/>
      </c>
      <c r="N17" s="15" t="str">
        <f>IF(B17="","",SUMIF($B$6:B16,B17,$H$6:H16))</f>
        <v/>
      </c>
      <c r="O17" s="15" t="str">
        <f>IF(B17="","",COUNTIFS($B$6:B16,B17,$K$6:K16,"&lt;&gt;已记录"))</f>
        <v/>
      </c>
      <c r="P17" s="34"/>
    </row>
    <row r="18" spans="1:16" ht="21.75" customHeight="1">
      <c r="A18" s="16"/>
      <c r="B18" s="30"/>
      <c r="C18" s="31"/>
      <c r="D18" s="10"/>
      <c r="E18" s="10"/>
      <c r="F18" s="32"/>
      <c r="G18" s="15" t="str">
        <f t="shared" si="0"/>
        <v/>
      </c>
      <c r="H18" s="15" t="str">
        <f t="shared" si="1"/>
        <v/>
      </c>
      <c r="I18" s="17" t="str">
        <f t="shared" si="2"/>
        <v/>
      </c>
      <c r="J18" s="15" t="str">
        <f t="shared" si="3"/>
        <v/>
      </c>
      <c r="K18" s="19" t="str">
        <f t="shared" si="4"/>
        <v/>
      </c>
      <c r="L18" s="33"/>
      <c r="M18" s="15" t="str">
        <f>IF(B18="","",SUMIF($B$6:B17,B18,$I$6:I17))</f>
        <v/>
      </c>
      <c r="N18" s="15" t="str">
        <f>IF(B18="","",SUMIF($B$6:B17,B18,$H$6:H17))</f>
        <v/>
      </c>
      <c r="O18" s="15" t="str">
        <f>IF(B18="","",COUNTIFS($B$6:B17,B18,$K$6:K17,"&lt;&gt;已记录"))</f>
        <v/>
      </c>
      <c r="P18" s="34"/>
    </row>
    <row r="19" spans="1:16" ht="21.75" customHeight="1">
      <c r="A19" s="16"/>
      <c r="B19" s="30"/>
      <c r="C19" s="31"/>
      <c r="D19" s="10"/>
      <c r="E19" s="10"/>
      <c r="F19" s="32"/>
      <c r="G19" s="15" t="str">
        <f t="shared" si="0"/>
        <v/>
      </c>
      <c r="H19" s="15" t="str">
        <f t="shared" si="1"/>
        <v/>
      </c>
      <c r="I19" s="17" t="str">
        <f t="shared" si="2"/>
        <v/>
      </c>
      <c r="J19" s="15" t="str">
        <f t="shared" si="3"/>
        <v/>
      </c>
      <c r="K19" s="19" t="str">
        <f t="shared" si="4"/>
        <v/>
      </c>
      <c r="L19" s="33"/>
      <c r="M19" s="15" t="str">
        <f>IF(B19="","",SUMIF($B$6:B18,B19,$I$6:I18))</f>
        <v/>
      </c>
      <c r="N19" s="15" t="str">
        <f>IF(B19="","",SUMIF($B$6:B18,B19,$H$6:H18))</f>
        <v/>
      </c>
      <c r="O19" s="15" t="str">
        <f>IF(B19="","",COUNTIFS($B$6:B18,B19,$K$6:K18,"&lt;&gt;已记录"))</f>
        <v/>
      </c>
      <c r="P19" s="34"/>
    </row>
    <row r="20" spans="1:16" ht="21.75" customHeight="1">
      <c r="A20" s="16"/>
      <c r="B20" s="30"/>
      <c r="C20" s="31"/>
      <c r="D20" s="10"/>
      <c r="E20" s="10"/>
      <c r="F20" s="32"/>
      <c r="G20" s="15" t="str">
        <f t="shared" si="0"/>
        <v/>
      </c>
      <c r="H20" s="15" t="str">
        <f t="shared" si="1"/>
        <v/>
      </c>
      <c r="I20" s="17" t="str">
        <f t="shared" si="2"/>
        <v/>
      </c>
      <c r="J20" s="15" t="str">
        <f t="shared" si="3"/>
        <v/>
      </c>
      <c r="K20" s="19" t="str">
        <f t="shared" si="4"/>
        <v/>
      </c>
      <c r="L20" s="33"/>
      <c r="M20" s="15" t="str">
        <f>IF(B20="","",SUMIF($B$6:B19,B20,$I$6:I19))</f>
        <v/>
      </c>
      <c r="N20" s="15" t="str">
        <f>IF(B20="","",SUMIF($B$6:B19,B20,$H$6:H19))</f>
        <v/>
      </c>
      <c r="O20" s="15" t="str">
        <f>IF(B20="","",COUNTIFS($B$6:B19,B20,$K$6:K19,"&lt;&gt;已记录"))</f>
        <v/>
      </c>
      <c r="P20" s="34"/>
    </row>
    <row r="21" spans="1:16" ht="21.75" customHeight="1">
      <c r="A21" s="16"/>
      <c r="B21" s="30"/>
      <c r="C21" s="31"/>
      <c r="D21" s="10"/>
      <c r="E21" s="10"/>
      <c r="F21" s="32"/>
      <c r="G21" s="15" t="str">
        <f t="shared" si="0"/>
        <v/>
      </c>
      <c r="H21" s="15" t="str">
        <f t="shared" si="1"/>
        <v/>
      </c>
      <c r="I21" s="17" t="str">
        <f t="shared" si="2"/>
        <v/>
      </c>
      <c r="J21" s="15" t="str">
        <f t="shared" si="3"/>
        <v/>
      </c>
      <c r="K21" s="19" t="str">
        <f t="shared" si="4"/>
        <v/>
      </c>
      <c r="L21" s="33"/>
      <c r="M21" s="15" t="str">
        <f>IF(B21="","",SUMIF($B$6:B20,B21,$I$6:I20))</f>
        <v/>
      </c>
      <c r="N21" s="15" t="str">
        <f>IF(B21="","",SUMIF($B$6:B20,B21,$H$6:H20))</f>
        <v/>
      </c>
      <c r="O21" s="15" t="str">
        <f>IF(B21="","",COUNTIFS($B$6:B20,B21,$K$6:K20,"&lt;&gt;已记录"))</f>
        <v/>
      </c>
      <c r="P21" s="34"/>
    </row>
    <row r="22" spans="1:16" ht="21.75" customHeight="1">
      <c r="A22" s="16"/>
      <c r="B22" s="30"/>
      <c r="C22" s="31"/>
      <c r="D22" s="10"/>
      <c r="E22" s="10"/>
      <c r="F22" s="32"/>
      <c r="G22" s="15" t="str">
        <f t="shared" si="0"/>
        <v/>
      </c>
      <c r="H22" s="15" t="str">
        <f t="shared" si="1"/>
        <v/>
      </c>
      <c r="I22" s="17" t="str">
        <f t="shared" si="2"/>
        <v/>
      </c>
      <c r="J22" s="15" t="str">
        <f t="shared" si="3"/>
        <v/>
      </c>
      <c r="K22" s="19" t="str">
        <f t="shared" si="4"/>
        <v/>
      </c>
      <c r="L22" s="33"/>
      <c r="M22" s="15" t="str">
        <f>IF(B22="","",SUMIF($B$6:B21,B22,$I$6:I21))</f>
        <v/>
      </c>
      <c r="N22" s="15" t="str">
        <f>IF(B22="","",SUMIF($B$6:B21,B22,$H$6:H21))</f>
        <v/>
      </c>
      <c r="O22" s="15" t="str">
        <f>IF(B22="","",COUNTIFS($B$6:B21,B22,$K$6:K21,"&lt;&gt;已记录"))</f>
        <v/>
      </c>
      <c r="P22" s="34"/>
    </row>
    <row r="23" spans="1:16" ht="21.75" customHeight="1">
      <c r="A23" s="16"/>
      <c r="B23" s="30"/>
      <c r="C23" s="31"/>
      <c r="D23" s="10"/>
      <c r="E23" s="10"/>
      <c r="F23" s="32"/>
      <c r="G23" s="15" t="str">
        <f t="shared" si="0"/>
        <v/>
      </c>
      <c r="H23" s="15" t="str">
        <f t="shared" si="1"/>
        <v/>
      </c>
      <c r="I23" s="17" t="str">
        <f t="shared" si="2"/>
        <v/>
      </c>
      <c r="J23" s="15" t="str">
        <f t="shared" si="3"/>
        <v/>
      </c>
      <c r="K23" s="19" t="str">
        <f t="shared" si="4"/>
        <v/>
      </c>
      <c r="L23" s="33"/>
      <c r="M23" s="15" t="str">
        <f>IF(B23="","",SUMIF($B$6:B22,B23,$I$6:I22))</f>
        <v/>
      </c>
      <c r="N23" s="15" t="str">
        <f>IF(B23="","",SUMIF($B$6:B22,B23,$H$6:H22))</f>
        <v/>
      </c>
      <c r="O23" s="15" t="str">
        <f>IF(B23="","",COUNTIFS($B$6:B22,B23,$K$6:K22,"&lt;&gt;已记录"))</f>
        <v/>
      </c>
      <c r="P23" s="34"/>
    </row>
    <row r="24" spans="1:16" ht="21.75" customHeight="1">
      <c r="A24" s="16"/>
      <c r="B24" s="30"/>
      <c r="C24" s="31"/>
      <c r="D24" s="10"/>
      <c r="E24" s="10"/>
      <c r="F24" s="32"/>
      <c r="G24" s="15" t="str">
        <f t="shared" si="0"/>
        <v/>
      </c>
      <c r="H24" s="15" t="str">
        <f t="shared" si="1"/>
        <v/>
      </c>
      <c r="I24" s="17" t="str">
        <f t="shared" si="2"/>
        <v/>
      </c>
      <c r="J24" s="15" t="str">
        <f t="shared" si="3"/>
        <v/>
      </c>
      <c r="K24" s="19" t="str">
        <f t="shared" si="4"/>
        <v/>
      </c>
      <c r="L24" s="33"/>
      <c r="M24" s="15" t="str">
        <f>IF(B24="","",SUMIF($B$6:B23,B24,$I$6:I23))</f>
        <v/>
      </c>
      <c r="N24" s="15" t="str">
        <f>IF(B24="","",SUMIF($B$6:B23,B24,$H$6:H23))</f>
        <v/>
      </c>
      <c r="O24" s="15" t="str">
        <f>IF(B24="","",COUNTIFS($B$6:B23,B24,$K$6:K23,"&lt;&gt;已记录"))</f>
        <v/>
      </c>
      <c r="P24" s="34"/>
    </row>
    <row r="25" spans="1:16" ht="21.75" customHeight="1">
      <c r="A25" s="16"/>
      <c r="B25" s="30"/>
      <c r="C25" s="31"/>
      <c r="D25" s="10"/>
      <c r="E25" s="10"/>
      <c r="F25" s="32"/>
      <c r="G25" s="15" t="str">
        <f t="shared" si="0"/>
        <v/>
      </c>
      <c r="H25" s="15" t="str">
        <f t="shared" si="1"/>
        <v/>
      </c>
      <c r="I25" s="17" t="str">
        <f t="shared" si="2"/>
        <v/>
      </c>
      <c r="J25" s="15" t="str">
        <f t="shared" si="3"/>
        <v/>
      </c>
      <c r="K25" s="19" t="str">
        <f t="shared" si="4"/>
        <v/>
      </c>
      <c r="L25" s="33"/>
      <c r="M25" s="15" t="str">
        <f>IF(B25="","",SUMIF($B$6:B24,B25,$I$6:I24))</f>
        <v/>
      </c>
      <c r="N25" s="15" t="str">
        <f>IF(B25="","",SUMIF($B$6:B24,B25,$H$6:H24))</f>
        <v/>
      </c>
      <c r="O25" s="15" t="str">
        <f>IF(B25="","",COUNTIFS($B$6:B24,B25,$K$6:K24,"&lt;&gt;已记录"))</f>
        <v/>
      </c>
      <c r="P25" s="34"/>
    </row>
    <row r="26" spans="1:16" ht="21.75" customHeight="1">
      <c r="A26" s="16"/>
      <c r="B26" s="30"/>
      <c r="C26" s="31"/>
      <c r="D26" s="10"/>
      <c r="E26" s="10"/>
      <c r="F26" s="32"/>
      <c r="G26" s="15" t="str">
        <f t="shared" si="0"/>
        <v/>
      </c>
      <c r="H26" s="15" t="str">
        <f t="shared" si="1"/>
        <v/>
      </c>
      <c r="I26" s="17" t="str">
        <f t="shared" si="2"/>
        <v/>
      </c>
      <c r="J26" s="15" t="str">
        <f t="shared" si="3"/>
        <v/>
      </c>
      <c r="K26" s="19" t="str">
        <f t="shared" si="4"/>
        <v/>
      </c>
      <c r="L26" s="33"/>
      <c r="M26" s="15" t="str">
        <f>IF(B26="","",SUMIF($B$6:B25,B26,$I$6:I25))</f>
        <v/>
      </c>
      <c r="N26" s="15" t="str">
        <f>IF(B26="","",SUMIF($B$6:B25,B26,$H$6:H25))</f>
        <v/>
      </c>
      <c r="O26" s="15" t="str">
        <f>IF(B26="","",COUNTIFS($B$6:B25,B26,$K$6:K25,"&lt;&gt;已记录"))</f>
        <v/>
      </c>
      <c r="P26" s="34"/>
    </row>
    <row r="27" spans="1:16" ht="21.75" customHeight="1">
      <c r="A27" s="16"/>
      <c r="B27" s="30"/>
      <c r="C27" s="31"/>
      <c r="D27" s="10"/>
      <c r="E27" s="10"/>
      <c r="F27" s="32"/>
      <c r="G27" s="15" t="str">
        <f t="shared" si="0"/>
        <v/>
      </c>
      <c r="H27" s="15" t="str">
        <f t="shared" si="1"/>
        <v/>
      </c>
      <c r="I27" s="17" t="str">
        <f t="shared" si="2"/>
        <v/>
      </c>
      <c r="J27" s="15" t="str">
        <f t="shared" si="3"/>
        <v/>
      </c>
      <c r="K27" s="19" t="str">
        <f t="shared" si="4"/>
        <v/>
      </c>
      <c r="L27" s="33"/>
      <c r="M27" s="15" t="str">
        <f>IF(B27="","",SUMIF($B$6:B26,B27,$I$6:I26))</f>
        <v/>
      </c>
      <c r="N27" s="15" t="str">
        <f>IF(B27="","",SUMIF($B$6:B26,B27,$H$6:H26))</f>
        <v/>
      </c>
      <c r="O27" s="15" t="str">
        <f>IF(B27="","",COUNTIFS($B$6:B26,B27,$K$6:K26,"&lt;&gt;已记录"))</f>
        <v/>
      </c>
      <c r="P27" s="34"/>
    </row>
    <row r="28" spans="1:16" ht="21.75" customHeight="1">
      <c r="A28" s="16"/>
      <c r="B28" s="30"/>
      <c r="C28" s="31"/>
      <c r="D28" s="10"/>
      <c r="E28" s="10"/>
      <c r="F28" s="32"/>
      <c r="G28" s="15" t="str">
        <f t="shared" si="0"/>
        <v/>
      </c>
      <c r="H28" s="15" t="str">
        <f t="shared" si="1"/>
        <v/>
      </c>
      <c r="I28" s="17" t="str">
        <f t="shared" si="2"/>
        <v/>
      </c>
      <c r="J28" s="15" t="str">
        <f t="shared" si="3"/>
        <v/>
      </c>
      <c r="K28" s="19" t="str">
        <f t="shared" si="4"/>
        <v/>
      </c>
      <c r="L28" s="33"/>
      <c r="M28" s="15" t="str">
        <f>IF(B28="","",SUMIF($B$6:B27,B28,$I$6:I27))</f>
        <v/>
      </c>
      <c r="N28" s="15" t="str">
        <f>IF(B28="","",SUMIF($B$6:B27,B28,$H$6:H27))</f>
        <v/>
      </c>
      <c r="O28" s="15" t="str">
        <f>IF(B28="","",COUNTIFS($B$6:B27,B28,$K$6:K27,"&lt;&gt;已记录"))</f>
        <v/>
      </c>
      <c r="P28" s="34"/>
    </row>
    <row r="29" spans="1:16" ht="21.75" customHeight="1">
      <c r="A29" s="16"/>
      <c r="B29" s="30"/>
      <c r="C29" s="31"/>
      <c r="D29" s="10"/>
      <c r="E29" s="10"/>
      <c r="F29" s="32"/>
      <c r="G29" s="15" t="str">
        <f t="shared" si="0"/>
        <v/>
      </c>
      <c r="H29" s="15" t="str">
        <f t="shared" si="1"/>
        <v/>
      </c>
      <c r="I29" s="17" t="str">
        <f t="shared" si="2"/>
        <v/>
      </c>
      <c r="J29" s="15" t="str">
        <f t="shared" si="3"/>
        <v/>
      </c>
      <c r="K29" s="19" t="str">
        <f t="shared" si="4"/>
        <v/>
      </c>
      <c r="L29" s="33"/>
      <c r="M29" s="15" t="str">
        <f>IF(B29="","",SUMIF($B$6:B28,B29,$I$6:I28))</f>
        <v/>
      </c>
      <c r="N29" s="15" t="str">
        <f>IF(B29="","",SUMIF($B$6:B28,B29,$H$6:H28))</f>
        <v/>
      </c>
      <c r="O29" s="15" t="str">
        <f>IF(B29="","",COUNTIFS($B$6:B28,B29,$K$6:K28,"&lt;&gt;已记录"))</f>
        <v/>
      </c>
      <c r="P29" s="34"/>
    </row>
    <row r="30" spans="1:16" ht="21.75" customHeight="1">
      <c r="A30" s="16"/>
      <c r="B30" s="30"/>
      <c r="C30" s="31"/>
      <c r="D30" s="10"/>
      <c r="E30" s="10"/>
      <c r="F30" s="32"/>
      <c r="G30" s="15" t="str">
        <f t="shared" si="0"/>
        <v/>
      </c>
      <c r="H30" s="15" t="str">
        <f t="shared" si="1"/>
        <v/>
      </c>
      <c r="I30" s="17" t="str">
        <f t="shared" si="2"/>
        <v/>
      </c>
      <c r="J30" s="15" t="str">
        <f t="shared" si="3"/>
        <v/>
      </c>
      <c r="K30" s="19" t="str">
        <f t="shared" si="4"/>
        <v/>
      </c>
      <c r="L30" s="33"/>
      <c r="M30" s="15" t="str">
        <f>IF(B30="","",SUMIF($B$6:B29,B30,$I$6:I29))</f>
        <v/>
      </c>
      <c r="N30" s="15" t="str">
        <f>IF(B30="","",SUMIF($B$6:B29,B30,$H$6:H29))</f>
        <v/>
      </c>
      <c r="O30" s="15" t="str">
        <f>IF(B30="","",COUNTIFS($B$6:B29,B30,$K$6:K29,"&lt;&gt;已记录"))</f>
        <v/>
      </c>
      <c r="P30" s="34"/>
    </row>
    <row r="31" spans="1:16" ht="21.75" customHeight="1">
      <c r="A31" s="16"/>
      <c r="B31" s="30"/>
      <c r="C31" s="31"/>
      <c r="D31" s="10"/>
      <c r="E31" s="10"/>
      <c r="F31" s="32"/>
      <c r="G31" s="15" t="str">
        <f t="shared" si="0"/>
        <v/>
      </c>
      <c r="H31" s="15" t="str">
        <f t="shared" si="1"/>
        <v/>
      </c>
      <c r="I31" s="17" t="str">
        <f t="shared" si="2"/>
        <v/>
      </c>
      <c r="J31" s="15" t="str">
        <f t="shared" si="3"/>
        <v/>
      </c>
      <c r="K31" s="19" t="str">
        <f t="shared" si="4"/>
        <v/>
      </c>
      <c r="L31" s="33"/>
      <c r="M31" s="15" t="str">
        <f>IF(B31="","",SUMIF($B$6:B30,B31,$I$6:I30))</f>
        <v/>
      </c>
      <c r="N31" s="15" t="str">
        <f>IF(B31="","",SUMIF($B$6:B30,B31,$H$6:H30))</f>
        <v/>
      </c>
      <c r="O31" s="15" t="str">
        <f>IF(B31="","",COUNTIFS($B$6:B30,B31,$K$6:K30,"&lt;&gt;已记录"))</f>
        <v/>
      </c>
      <c r="P31" s="34"/>
    </row>
    <row r="32" spans="1:16" ht="21.75" customHeight="1">
      <c r="A32" s="16"/>
      <c r="B32" s="30"/>
      <c r="C32" s="31"/>
      <c r="D32" s="10"/>
      <c r="E32" s="10"/>
      <c r="F32" s="32"/>
      <c r="G32" s="15" t="str">
        <f t="shared" si="0"/>
        <v/>
      </c>
      <c r="H32" s="15" t="str">
        <f t="shared" si="1"/>
        <v/>
      </c>
      <c r="I32" s="17" t="str">
        <f t="shared" si="2"/>
        <v/>
      </c>
      <c r="J32" s="15" t="str">
        <f t="shared" si="3"/>
        <v/>
      </c>
      <c r="K32" s="19" t="str">
        <f t="shared" si="4"/>
        <v/>
      </c>
      <c r="L32" s="33"/>
      <c r="M32" s="15" t="str">
        <f>IF(B32="","",SUMIF($B$6:B31,B32,$I$6:I31))</f>
        <v/>
      </c>
      <c r="N32" s="15" t="str">
        <f>IF(B32="","",SUMIF($B$6:B31,B32,$H$6:H31))</f>
        <v/>
      </c>
      <c r="O32" s="15" t="str">
        <f>IF(B32="","",COUNTIFS($B$6:B31,B32,$K$6:K31,"&lt;&gt;已记录"))</f>
        <v/>
      </c>
      <c r="P32" s="34"/>
    </row>
    <row r="33" spans="1:16" ht="21.75" customHeight="1">
      <c r="A33" s="16"/>
      <c r="B33" s="30"/>
      <c r="C33" s="31"/>
      <c r="D33" s="10"/>
      <c r="E33" s="10"/>
      <c r="F33" s="32"/>
      <c r="G33" s="15" t="str">
        <f t="shared" si="0"/>
        <v/>
      </c>
      <c r="H33" s="15" t="str">
        <f t="shared" si="1"/>
        <v/>
      </c>
      <c r="I33" s="17" t="str">
        <f t="shared" si="2"/>
        <v/>
      </c>
      <c r="J33" s="15" t="str">
        <f t="shared" si="3"/>
        <v/>
      </c>
      <c r="K33" s="19" t="str">
        <f t="shared" si="4"/>
        <v/>
      </c>
      <c r="L33" s="33"/>
      <c r="M33" s="15" t="str">
        <f>IF(B33="","",SUMIF($B$6:B32,B33,$I$6:I32))</f>
        <v/>
      </c>
      <c r="N33" s="15" t="str">
        <f>IF(B33="","",SUMIF($B$6:B32,B33,$H$6:H32))</f>
        <v/>
      </c>
      <c r="O33" s="15" t="str">
        <f>IF(B33="","",COUNTIFS($B$6:B32,B33,$K$6:K32,"&lt;&gt;已记录"))</f>
        <v/>
      </c>
      <c r="P33" s="34"/>
    </row>
    <row r="34" spans="1:16" ht="21.75" customHeight="1">
      <c r="A34" s="16"/>
      <c r="B34" s="30"/>
      <c r="C34" s="31"/>
      <c r="D34" s="10"/>
      <c r="E34" s="10"/>
      <c r="F34" s="32"/>
      <c r="G34" s="15" t="str">
        <f t="shared" si="0"/>
        <v/>
      </c>
      <c r="H34" s="15" t="str">
        <f t="shared" si="1"/>
        <v/>
      </c>
      <c r="I34" s="17" t="str">
        <f t="shared" si="2"/>
        <v/>
      </c>
      <c r="J34" s="15" t="str">
        <f t="shared" si="3"/>
        <v/>
      </c>
      <c r="K34" s="19" t="str">
        <f t="shared" si="4"/>
        <v/>
      </c>
      <c r="L34" s="33"/>
      <c r="M34" s="15" t="str">
        <f>IF(B34="","",SUMIF($B$6:B33,B34,$I$6:I33))</f>
        <v/>
      </c>
      <c r="N34" s="15" t="str">
        <f>IF(B34="","",SUMIF($B$6:B33,B34,$H$6:H33))</f>
        <v/>
      </c>
      <c r="O34" s="15" t="str">
        <f>IF(B34="","",COUNTIFS($B$6:B33,B34,$K$6:K33,"&lt;&gt;已记录"))</f>
        <v/>
      </c>
      <c r="P34" s="34"/>
    </row>
    <row r="35" spans="1:16" ht="21.75" customHeight="1">
      <c r="A35" s="16"/>
      <c r="B35" s="30"/>
      <c r="C35" s="31"/>
      <c r="D35" s="10"/>
      <c r="E35" s="10"/>
      <c r="F35" s="32"/>
      <c r="G35" s="15" t="str">
        <f t="shared" si="0"/>
        <v/>
      </c>
      <c r="H35" s="15" t="str">
        <f t="shared" si="1"/>
        <v/>
      </c>
      <c r="I35" s="17" t="str">
        <f t="shared" si="2"/>
        <v/>
      </c>
      <c r="J35" s="15" t="str">
        <f t="shared" si="3"/>
        <v/>
      </c>
      <c r="K35" s="19" t="str">
        <f t="shared" si="4"/>
        <v/>
      </c>
      <c r="L35" s="33"/>
      <c r="M35" s="15" t="str">
        <f>IF(B35="","",SUMIF($B$6:B34,B35,$I$6:I34))</f>
        <v/>
      </c>
      <c r="N35" s="15" t="str">
        <f>IF(B35="","",SUMIF($B$6:B34,B35,$H$6:H34))</f>
        <v/>
      </c>
      <c r="O35" s="15" t="str">
        <f>IF(B35="","",COUNTIFS($B$6:B34,B35,$K$6:K34,"&lt;&gt;已记录"))</f>
        <v/>
      </c>
      <c r="P35" s="34"/>
    </row>
    <row r="36" spans="1:16" ht="21.75" customHeight="1">
      <c r="A36" s="16"/>
      <c r="B36" s="30"/>
      <c r="C36" s="31"/>
      <c r="D36" s="10"/>
      <c r="E36" s="10"/>
      <c r="F36" s="32"/>
      <c r="G36" s="15" t="str">
        <f t="shared" si="0"/>
        <v/>
      </c>
      <c r="H36" s="15" t="str">
        <f t="shared" si="1"/>
        <v/>
      </c>
      <c r="I36" s="17" t="str">
        <f t="shared" si="2"/>
        <v/>
      </c>
      <c r="J36" s="15" t="str">
        <f t="shared" si="3"/>
        <v/>
      </c>
      <c r="K36" s="19" t="str">
        <f t="shared" si="4"/>
        <v/>
      </c>
      <c r="L36" s="33"/>
      <c r="M36" s="15" t="str">
        <f>IF(B36="","",SUMIF($B$6:B35,B36,$I$6:I35))</f>
        <v/>
      </c>
      <c r="N36" s="15" t="str">
        <f>IF(B36="","",SUMIF($B$6:B35,B36,$H$6:H35))</f>
        <v/>
      </c>
      <c r="O36" s="15" t="str">
        <f>IF(B36="","",COUNTIFS($B$6:B35,B36,$K$6:K35,"&lt;&gt;已记录"))</f>
        <v/>
      </c>
      <c r="P36" s="34"/>
    </row>
    <row r="37" spans="1:16" ht="21.75" customHeight="1">
      <c r="A37" s="16"/>
      <c r="B37" s="30"/>
      <c r="C37" s="31"/>
      <c r="D37" s="10"/>
      <c r="E37" s="10"/>
      <c r="F37" s="32"/>
      <c r="G37" s="15" t="str">
        <f t="shared" si="0"/>
        <v/>
      </c>
      <c r="H37" s="15" t="str">
        <f t="shared" si="1"/>
        <v/>
      </c>
      <c r="I37" s="17" t="str">
        <f t="shared" si="2"/>
        <v/>
      </c>
      <c r="J37" s="15" t="str">
        <f t="shared" si="3"/>
        <v/>
      </c>
      <c r="K37" s="19" t="str">
        <f t="shared" si="4"/>
        <v/>
      </c>
      <c r="L37" s="33"/>
      <c r="M37" s="15" t="str">
        <f>IF(B37="","",SUMIF($B$6:B36,B37,$I$6:I36))</f>
        <v/>
      </c>
      <c r="N37" s="15" t="str">
        <f>IF(B37="","",SUMIF($B$6:B36,B37,$H$6:H36))</f>
        <v/>
      </c>
      <c r="O37" s="15" t="str">
        <f>IF(B37="","",COUNTIFS($B$6:B36,B37,$K$6:K36,"&lt;&gt;已记录"))</f>
        <v/>
      </c>
      <c r="P37" s="34"/>
    </row>
    <row r="38" spans="1:16" ht="21.75" customHeight="1">
      <c r="A38" s="16"/>
      <c r="B38" s="30"/>
      <c r="C38" s="31"/>
      <c r="D38" s="10"/>
      <c r="E38" s="10"/>
      <c r="F38" s="32"/>
      <c r="G38" s="15" t="str">
        <f t="shared" si="0"/>
        <v/>
      </c>
      <c r="H38" s="15" t="str">
        <f t="shared" si="1"/>
        <v/>
      </c>
      <c r="I38" s="17" t="str">
        <f t="shared" si="2"/>
        <v/>
      </c>
      <c r="J38" s="15" t="str">
        <f t="shared" si="3"/>
        <v/>
      </c>
      <c r="K38" s="19" t="str">
        <f t="shared" si="4"/>
        <v/>
      </c>
      <c r="L38" s="33"/>
      <c r="M38" s="15" t="str">
        <f>IF(B38="","",SUMIF($B$6:B37,B38,$I$6:I37))</f>
        <v/>
      </c>
      <c r="N38" s="15" t="str">
        <f>IF(B38="","",SUMIF($B$6:B37,B38,$H$6:H37))</f>
        <v/>
      </c>
      <c r="O38" s="15" t="str">
        <f>IF(B38="","",COUNTIFS($B$6:B37,B38,$K$6:K37,"&lt;&gt;已记录"))</f>
        <v/>
      </c>
      <c r="P38" s="34"/>
    </row>
    <row r="39" spans="1:16" ht="21.75" customHeight="1">
      <c r="A39" s="16"/>
      <c r="B39" s="30"/>
      <c r="C39" s="31"/>
      <c r="D39" s="10"/>
      <c r="E39" s="10"/>
      <c r="F39" s="32"/>
      <c r="G39" s="15" t="str">
        <f t="shared" si="0"/>
        <v/>
      </c>
      <c r="H39" s="15" t="str">
        <f t="shared" si="1"/>
        <v/>
      </c>
      <c r="I39" s="17" t="str">
        <f t="shared" si="2"/>
        <v/>
      </c>
      <c r="J39" s="15" t="str">
        <f t="shared" si="3"/>
        <v/>
      </c>
      <c r="K39" s="19" t="str">
        <f t="shared" si="4"/>
        <v/>
      </c>
      <c r="L39" s="33"/>
      <c r="M39" s="15" t="str">
        <f>IF(B39="","",SUMIF($B$6:B38,B39,$I$6:I38))</f>
        <v/>
      </c>
      <c r="N39" s="15" t="str">
        <f>IF(B39="","",SUMIF($B$6:B38,B39,$H$6:H38))</f>
        <v/>
      </c>
      <c r="O39" s="15" t="str">
        <f>IF(B39="","",COUNTIFS($B$6:B38,B39,$K$6:K38,"&lt;&gt;已记录"))</f>
        <v/>
      </c>
      <c r="P39" s="34"/>
    </row>
    <row r="40" spans="1:16" ht="21.75" customHeight="1">
      <c r="A40" s="16"/>
      <c r="B40" s="30"/>
      <c r="C40" s="31"/>
      <c r="D40" s="10"/>
      <c r="E40" s="10"/>
      <c r="F40" s="32"/>
      <c r="G40" s="15" t="str">
        <f t="shared" si="0"/>
        <v/>
      </c>
      <c r="H40" s="15" t="str">
        <f t="shared" si="1"/>
        <v/>
      </c>
      <c r="I40" s="17" t="str">
        <f t="shared" si="2"/>
        <v/>
      </c>
      <c r="J40" s="15" t="str">
        <f t="shared" si="3"/>
        <v/>
      </c>
      <c r="K40" s="19" t="str">
        <f t="shared" si="4"/>
        <v/>
      </c>
      <c r="L40" s="33"/>
      <c r="M40" s="15" t="str">
        <f>IF(B40="","",SUMIF($B$6:B39,B40,$I$6:I39))</f>
        <v/>
      </c>
      <c r="N40" s="15" t="str">
        <f>IF(B40="","",SUMIF($B$6:B39,B40,$H$6:H39))</f>
        <v/>
      </c>
      <c r="O40" s="15" t="str">
        <f>IF(B40="","",COUNTIFS($B$6:B39,B40,$K$6:K39,"&lt;&gt;已记录"))</f>
        <v/>
      </c>
      <c r="P40" s="34"/>
    </row>
    <row r="41" spans="1:16" ht="21.75" customHeight="1">
      <c r="A41" s="16"/>
      <c r="B41" s="30"/>
      <c r="C41" s="31"/>
      <c r="D41" s="10"/>
      <c r="E41" s="10"/>
      <c r="F41" s="32"/>
      <c r="G41" s="15" t="str">
        <f t="shared" si="0"/>
        <v/>
      </c>
      <c r="H41" s="15" t="str">
        <f t="shared" si="1"/>
        <v/>
      </c>
      <c r="I41" s="17" t="str">
        <f t="shared" si="2"/>
        <v/>
      </c>
      <c r="J41" s="15" t="str">
        <f t="shared" si="3"/>
        <v/>
      </c>
      <c r="K41" s="19" t="str">
        <f t="shared" si="4"/>
        <v/>
      </c>
      <c r="L41" s="33"/>
      <c r="M41" s="15" t="str">
        <f>IF(B41="","",SUMIF($B$6:B40,B41,$I$6:I40))</f>
        <v/>
      </c>
      <c r="N41" s="15" t="str">
        <f>IF(B41="","",SUMIF($B$6:B40,B41,$H$6:H40))</f>
        <v/>
      </c>
      <c r="O41" s="15" t="str">
        <f>IF(B41="","",COUNTIFS($B$6:B40,B41,$K$6:K40,"&lt;&gt;已记录"))</f>
        <v/>
      </c>
      <c r="P41" s="34"/>
    </row>
    <row r="42" spans="1:16" ht="21.75" customHeight="1">
      <c r="A42" s="16"/>
      <c r="B42" s="30"/>
      <c r="C42" s="31"/>
      <c r="D42" s="10"/>
      <c r="E42" s="10"/>
      <c r="F42" s="32"/>
      <c r="G42" s="15" t="str">
        <f t="shared" si="0"/>
        <v/>
      </c>
      <c r="H42" s="15" t="str">
        <f t="shared" si="1"/>
        <v/>
      </c>
      <c r="I42" s="17" t="str">
        <f t="shared" si="2"/>
        <v/>
      </c>
      <c r="J42" s="15" t="str">
        <f t="shared" si="3"/>
        <v/>
      </c>
      <c r="K42" s="19" t="str">
        <f t="shared" si="4"/>
        <v/>
      </c>
      <c r="L42" s="33"/>
      <c r="M42" s="15" t="str">
        <f>IF(B42="","",SUMIF($B$6:B41,B42,$I$6:I41))</f>
        <v/>
      </c>
      <c r="N42" s="15" t="str">
        <f>IF(B42="","",SUMIF($B$6:B41,B42,$H$6:H41))</f>
        <v/>
      </c>
      <c r="O42" s="15" t="str">
        <f>IF(B42="","",COUNTIFS($B$6:B41,B42,$K$6:K41,"&lt;&gt;已记录"))</f>
        <v/>
      </c>
      <c r="P42" s="34"/>
    </row>
    <row r="43" spans="1:16" ht="21.75" customHeight="1">
      <c r="A43" s="16"/>
      <c r="B43" s="30"/>
      <c r="C43" s="31"/>
      <c r="D43" s="10"/>
      <c r="E43" s="10"/>
      <c r="F43" s="32"/>
      <c r="G43" s="15" t="str">
        <f t="shared" si="0"/>
        <v/>
      </c>
      <c r="H43" s="15" t="str">
        <f t="shared" si="1"/>
        <v/>
      </c>
      <c r="I43" s="17" t="str">
        <f t="shared" si="2"/>
        <v/>
      </c>
      <c r="J43" s="15" t="str">
        <f t="shared" si="3"/>
        <v/>
      </c>
      <c r="K43" s="19" t="str">
        <f t="shared" si="4"/>
        <v/>
      </c>
      <c r="L43" s="33"/>
      <c r="M43" s="15" t="str">
        <f>IF(B43="","",SUMIF($B$6:B42,B43,$I$6:I42))</f>
        <v/>
      </c>
      <c r="N43" s="15" t="str">
        <f>IF(B43="","",SUMIF($B$6:B42,B43,$H$6:H42))</f>
        <v/>
      </c>
      <c r="O43" s="15" t="str">
        <f>IF(B43="","",COUNTIFS($B$6:B42,B43,$K$6:K42,"&lt;&gt;已记录"))</f>
        <v/>
      </c>
      <c r="P43" s="34"/>
    </row>
    <row r="44" spans="1:16" ht="21.75" customHeight="1">
      <c r="A44" s="16"/>
      <c r="B44" s="30"/>
      <c r="C44" s="31"/>
      <c r="D44" s="10"/>
      <c r="E44" s="10"/>
      <c r="F44" s="32"/>
      <c r="G44" s="15" t="str">
        <f t="shared" si="0"/>
        <v/>
      </c>
      <c r="H44" s="15" t="str">
        <f t="shared" si="1"/>
        <v/>
      </c>
      <c r="I44" s="17" t="str">
        <f t="shared" si="2"/>
        <v/>
      </c>
      <c r="J44" s="15" t="str">
        <f t="shared" si="3"/>
        <v/>
      </c>
      <c r="K44" s="19" t="str">
        <f t="shared" si="4"/>
        <v/>
      </c>
      <c r="L44" s="33"/>
      <c r="M44" s="15" t="str">
        <f>IF(B44="","",SUMIF($B$6:B43,B44,$I$6:I43))</f>
        <v/>
      </c>
      <c r="N44" s="15" t="str">
        <f>IF(B44="","",SUMIF($B$6:B43,B44,$H$6:H43))</f>
        <v/>
      </c>
      <c r="O44" s="15" t="str">
        <f>IF(B44="","",COUNTIFS($B$6:B43,B44,$K$6:K43,"&lt;&gt;已记录"))</f>
        <v/>
      </c>
      <c r="P44" s="34"/>
    </row>
    <row r="45" spans="1:16" ht="21.75" customHeight="1">
      <c r="A45" s="16"/>
      <c r="B45" s="30"/>
      <c r="C45" s="31"/>
      <c r="D45" s="10"/>
      <c r="E45" s="10"/>
      <c r="F45" s="32"/>
      <c r="G45" s="15" t="str">
        <f t="shared" si="0"/>
        <v/>
      </c>
      <c r="H45" s="15" t="str">
        <f t="shared" si="1"/>
        <v/>
      </c>
      <c r="I45" s="17" t="str">
        <f t="shared" si="2"/>
        <v/>
      </c>
      <c r="J45" s="15" t="str">
        <f t="shared" si="3"/>
        <v/>
      </c>
      <c r="K45" s="19" t="str">
        <f t="shared" si="4"/>
        <v/>
      </c>
      <c r="L45" s="33"/>
      <c r="M45" s="15" t="str">
        <f>IF(B45="","",SUMIF($B$6:B44,B45,$I$6:I44))</f>
        <v/>
      </c>
      <c r="N45" s="15" t="str">
        <f>IF(B45="","",SUMIF($B$6:B44,B45,$H$6:H44))</f>
        <v/>
      </c>
      <c r="O45" s="15" t="str">
        <f>IF(B45="","",COUNTIFS($B$6:B44,B45,$K$6:K44,"&lt;&gt;已记录"))</f>
        <v/>
      </c>
      <c r="P45" s="34"/>
    </row>
    <row r="46" spans="1:16" ht="21.75" customHeight="1">
      <c r="A46" s="16"/>
      <c r="B46" s="30"/>
      <c r="C46" s="31"/>
      <c r="D46" s="10"/>
      <c r="E46" s="10"/>
      <c r="F46" s="32"/>
      <c r="G46" s="15" t="str">
        <f t="shared" si="0"/>
        <v/>
      </c>
      <c r="H46" s="15" t="str">
        <f t="shared" si="1"/>
        <v/>
      </c>
      <c r="I46" s="17" t="str">
        <f t="shared" si="2"/>
        <v/>
      </c>
      <c r="J46" s="15" t="str">
        <f t="shared" si="3"/>
        <v/>
      </c>
      <c r="K46" s="19" t="str">
        <f t="shared" si="4"/>
        <v/>
      </c>
      <c r="L46" s="33"/>
      <c r="M46" s="15" t="str">
        <f>IF(B46="","",SUMIF($B$6:B45,B46,$I$6:I45))</f>
        <v/>
      </c>
      <c r="N46" s="15" t="str">
        <f>IF(B46="","",SUMIF($B$6:B45,B46,$H$6:H45))</f>
        <v/>
      </c>
      <c r="O46" s="15" t="str">
        <f>IF(B46="","",COUNTIFS($B$6:B45,B46,$K$6:K45,"&lt;&gt;已记录"))</f>
        <v/>
      </c>
      <c r="P46" s="34"/>
    </row>
    <row r="47" spans="1:16" ht="21.75" customHeight="1">
      <c r="A47" s="16"/>
      <c r="B47" s="30"/>
      <c r="C47" s="31"/>
      <c r="D47" s="10"/>
      <c r="E47" s="10"/>
      <c r="F47" s="32"/>
      <c r="G47" s="15" t="str">
        <f t="shared" si="0"/>
        <v/>
      </c>
      <c r="H47" s="15" t="str">
        <f t="shared" si="1"/>
        <v/>
      </c>
      <c r="I47" s="17" t="str">
        <f t="shared" si="2"/>
        <v/>
      </c>
      <c r="J47" s="15" t="str">
        <f t="shared" si="3"/>
        <v/>
      </c>
      <c r="K47" s="19" t="str">
        <f t="shared" si="4"/>
        <v/>
      </c>
      <c r="L47" s="33"/>
      <c r="M47" s="15" t="str">
        <f>IF(B47="","",SUMIF($B$6:B46,B47,$I$6:I46))</f>
        <v/>
      </c>
      <c r="N47" s="15" t="str">
        <f>IF(B47="","",SUMIF($B$6:B46,B47,$H$6:H46))</f>
        <v/>
      </c>
      <c r="O47" s="15" t="str">
        <f>IF(B47="","",COUNTIFS($B$6:B46,B47,$K$6:K46,"&lt;&gt;已记录"))</f>
        <v/>
      </c>
      <c r="P47" s="34"/>
    </row>
    <row r="48" spans="1:16" ht="21.75" customHeight="1">
      <c r="A48" s="16"/>
      <c r="B48" s="30"/>
      <c r="C48" s="31"/>
      <c r="D48" s="10"/>
      <c r="E48" s="10"/>
      <c r="F48" s="32"/>
      <c r="G48" s="15" t="str">
        <f t="shared" si="0"/>
        <v/>
      </c>
      <c r="H48" s="15" t="str">
        <f t="shared" si="1"/>
        <v/>
      </c>
      <c r="I48" s="17" t="str">
        <f t="shared" si="2"/>
        <v/>
      </c>
      <c r="J48" s="15" t="str">
        <f t="shared" si="3"/>
        <v/>
      </c>
      <c r="K48" s="19" t="str">
        <f t="shared" si="4"/>
        <v/>
      </c>
      <c r="L48" s="33"/>
      <c r="M48" s="15" t="str">
        <f>IF(B48="","",SUMIF($B$6:B47,B48,$I$6:I47))</f>
        <v/>
      </c>
      <c r="N48" s="15" t="str">
        <f>IF(B48="","",SUMIF($B$6:B47,B48,$H$6:H47))</f>
        <v/>
      </c>
      <c r="O48" s="15" t="str">
        <f>IF(B48="","",COUNTIFS($B$6:B47,B48,$K$6:K47,"&lt;&gt;已记录"))</f>
        <v/>
      </c>
      <c r="P48" s="34"/>
    </row>
    <row r="49" spans="1:16" ht="21.75" customHeight="1">
      <c r="A49" s="16"/>
      <c r="B49" s="30"/>
      <c r="C49" s="31"/>
      <c r="D49" s="10"/>
      <c r="E49" s="10"/>
      <c r="F49" s="32"/>
      <c r="G49" s="15" t="str">
        <f t="shared" si="0"/>
        <v/>
      </c>
      <c r="H49" s="15" t="str">
        <f t="shared" si="1"/>
        <v/>
      </c>
      <c r="I49" s="17" t="str">
        <f t="shared" si="2"/>
        <v/>
      </c>
      <c r="J49" s="15" t="str">
        <f t="shared" si="3"/>
        <v/>
      </c>
      <c r="K49" s="19" t="str">
        <f t="shared" si="4"/>
        <v/>
      </c>
      <c r="L49" s="33"/>
      <c r="M49" s="15" t="str">
        <f>IF(B49="","",SUMIF($B$6:B48,B49,$I$6:I48))</f>
        <v/>
      </c>
      <c r="N49" s="15" t="str">
        <f>IF(B49="","",SUMIF($B$6:B48,B49,$H$6:H48))</f>
        <v/>
      </c>
      <c r="O49" s="15" t="str">
        <f>IF(B49="","",COUNTIFS($B$6:B48,B49,$K$6:K48,"&lt;&gt;已记录"))</f>
        <v/>
      </c>
      <c r="P49" s="34"/>
    </row>
    <row r="50" spans="1:16" ht="21.75" customHeight="1">
      <c r="A50" s="16"/>
      <c r="B50" s="30"/>
      <c r="C50" s="31"/>
      <c r="D50" s="10"/>
      <c r="E50" s="10"/>
      <c r="F50" s="32"/>
      <c r="G50" s="15" t="str">
        <f t="shared" si="0"/>
        <v/>
      </c>
      <c r="H50" s="15" t="str">
        <f t="shared" si="1"/>
        <v/>
      </c>
      <c r="I50" s="17" t="str">
        <f t="shared" si="2"/>
        <v/>
      </c>
      <c r="J50" s="15" t="str">
        <f t="shared" si="3"/>
        <v/>
      </c>
      <c r="K50" s="19" t="str">
        <f t="shared" si="4"/>
        <v/>
      </c>
      <c r="L50" s="33"/>
      <c r="M50" s="15" t="str">
        <f>IF(B50="","",SUMIF($B$6:B49,B50,$I$6:I49))</f>
        <v/>
      </c>
      <c r="N50" s="15" t="str">
        <f>IF(B50="","",SUMIF($B$6:B49,B50,$H$6:H49))</f>
        <v/>
      </c>
      <c r="O50" s="15" t="str">
        <f>IF(B50="","",COUNTIFS($B$6:B49,B50,$K$6:K49,"&lt;&gt;已记录"))</f>
        <v/>
      </c>
      <c r="P50" s="34"/>
    </row>
    <row r="51" spans="1:16" ht="21.75" customHeight="1">
      <c r="A51" s="16"/>
      <c r="B51" s="30"/>
      <c r="C51" s="31"/>
      <c r="D51" s="10"/>
      <c r="E51" s="10"/>
      <c r="F51" s="32"/>
      <c r="G51" s="15" t="str">
        <f t="shared" si="0"/>
        <v/>
      </c>
      <c r="H51" s="15" t="str">
        <f t="shared" si="1"/>
        <v/>
      </c>
      <c r="I51" s="17" t="str">
        <f t="shared" si="2"/>
        <v/>
      </c>
      <c r="J51" s="15" t="str">
        <f t="shared" si="3"/>
        <v/>
      </c>
      <c r="K51" s="19" t="str">
        <f t="shared" si="4"/>
        <v/>
      </c>
      <c r="L51" s="33"/>
      <c r="M51" s="15" t="str">
        <f>IF(B51="","",SUMIF($B$6:B50,B51,$I$6:I50))</f>
        <v/>
      </c>
      <c r="N51" s="15" t="str">
        <f>IF(B51="","",SUMIF($B$6:B50,B51,$H$6:H50))</f>
        <v/>
      </c>
      <c r="O51" s="15" t="str">
        <f>IF(B51="","",COUNTIFS($B$6:B50,B51,$K$6:K50,"&lt;&gt;已记录"))</f>
        <v/>
      </c>
      <c r="P51" s="34"/>
    </row>
    <row r="52" spans="1:16" ht="21.75" customHeight="1">
      <c r="A52" s="16"/>
      <c r="B52" s="30"/>
      <c r="C52" s="31"/>
      <c r="D52" s="10"/>
      <c r="E52" s="10"/>
      <c r="F52" s="32"/>
      <c r="G52" s="15" t="str">
        <f t="shared" si="0"/>
        <v/>
      </c>
      <c r="H52" s="15" t="str">
        <f t="shared" si="1"/>
        <v/>
      </c>
      <c r="I52" s="17" t="str">
        <f t="shared" si="2"/>
        <v/>
      </c>
      <c r="J52" s="15" t="str">
        <f t="shared" si="3"/>
        <v/>
      </c>
      <c r="K52" s="19" t="str">
        <f t="shared" si="4"/>
        <v/>
      </c>
      <c r="L52" s="33"/>
      <c r="M52" s="15" t="str">
        <f>IF(B52="","",SUMIF($B$6:B51,B52,$I$6:I51))</f>
        <v/>
      </c>
      <c r="N52" s="15" t="str">
        <f>IF(B52="","",SUMIF($B$6:B51,B52,$H$6:H51))</f>
        <v/>
      </c>
      <c r="O52" s="15" t="str">
        <f>IF(B52="","",COUNTIFS($B$6:B51,B52,$K$6:K51,"&lt;&gt;已记录"))</f>
        <v/>
      </c>
      <c r="P52" s="34"/>
    </row>
    <row r="53" spans="1:16" ht="21.75" customHeight="1">
      <c r="A53" s="16"/>
      <c r="B53" s="30"/>
      <c r="C53" s="31"/>
      <c r="D53" s="10"/>
      <c r="E53" s="10"/>
      <c r="F53" s="32"/>
      <c r="G53" s="15" t="str">
        <f t="shared" si="0"/>
        <v/>
      </c>
      <c r="H53" s="15" t="str">
        <f t="shared" si="1"/>
        <v/>
      </c>
      <c r="I53" s="17" t="str">
        <f t="shared" si="2"/>
        <v/>
      </c>
      <c r="J53" s="15" t="str">
        <f t="shared" si="3"/>
        <v/>
      </c>
      <c r="K53" s="19" t="str">
        <f t="shared" si="4"/>
        <v/>
      </c>
      <c r="L53" s="33"/>
      <c r="M53" s="15" t="str">
        <f>IF(B53="","",SUMIF($B$6:B52,B53,$I$6:I52))</f>
        <v/>
      </c>
      <c r="N53" s="15" t="str">
        <f>IF(B53="","",SUMIF($B$6:B52,B53,$H$6:H52))</f>
        <v/>
      </c>
      <c r="O53" s="15" t="str">
        <f>IF(B53="","",COUNTIFS($B$6:B52,B53,$K$6:K52,"&lt;&gt;已记录"))</f>
        <v/>
      </c>
      <c r="P53" s="34"/>
    </row>
    <row r="54" spans="1:16" ht="21.75" customHeight="1">
      <c r="A54" s="16"/>
      <c r="B54" s="30"/>
      <c r="C54" s="31"/>
      <c r="D54" s="10"/>
      <c r="E54" s="10"/>
      <c r="F54" s="32"/>
      <c r="G54" s="15" t="str">
        <f t="shared" si="0"/>
        <v/>
      </c>
      <c r="H54" s="15" t="str">
        <f t="shared" si="1"/>
        <v/>
      </c>
      <c r="I54" s="17" t="str">
        <f t="shared" si="2"/>
        <v/>
      </c>
      <c r="J54" s="15" t="str">
        <f t="shared" si="3"/>
        <v/>
      </c>
      <c r="K54" s="19" t="str">
        <f t="shared" si="4"/>
        <v/>
      </c>
      <c r="L54" s="33"/>
      <c r="M54" s="15" t="str">
        <f>IF(B54="","",SUMIF($B$6:B53,B54,$I$6:I53))</f>
        <v/>
      </c>
      <c r="N54" s="15" t="str">
        <f>IF(B54="","",SUMIF($B$6:B53,B54,$H$6:H53))</f>
        <v/>
      </c>
      <c r="O54" s="15" t="str">
        <f>IF(B54="","",COUNTIFS($B$6:B53,B54,$K$6:K53,"&lt;&gt;已记录"))</f>
        <v/>
      </c>
      <c r="P54" s="34"/>
    </row>
    <row r="55" spans="1:16" ht="21.75" customHeight="1">
      <c r="A55" s="16"/>
      <c r="B55" s="30"/>
      <c r="C55" s="31"/>
      <c r="D55" s="10"/>
      <c r="E55" s="10"/>
      <c r="F55" s="32"/>
      <c r="G55" s="15" t="str">
        <f t="shared" si="0"/>
        <v/>
      </c>
      <c r="H55" s="15" t="str">
        <f t="shared" si="1"/>
        <v/>
      </c>
      <c r="I55" s="17" t="str">
        <f t="shared" si="2"/>
        <v/>
      </c>
      <c r="J55" s="15" t="str">
        <f t="shared" si="3"/>
        <v/>
      </c>
      <c r="K55" s="19" t="str">
        <f t="shared" si="4"/>
        <v/>
      </c>
      <c r="L55" s="33"/>
      <c r="M55" s="15" t="str">
        <f>IF(B55="","",SUMIF($B$6:B54,B55,$I$6:I54))</f>
        <v/>
      </c>
      <c r="N55" s="15" t="str">
        <f>IF(B55="","",SUMIF($B$6:B54,B55,$H$6:H54))</f>
        <v/>
      </c>
      <c r="O55" s="15" t="str">
        <f>IF(B55="","",COUNTIFS($B$6:B54,B55,$K$6:K54,"&lt;&gt;已记录"))</f>
        <v/>
      </c>
      <c r="P55" s="34"/>
    </row>
    <row r="56" spans="1:16" ht="21.75" customHeight="1">
      <c r="A56" s="16"/>
      <c r="B56" s="30"/>
      <c r="C56" s="31"/>
      <c r="D56" s="10"/>
      <c r="E56" s="10"/>
      <c r="F56" s="32"/>
      <c r="G56" s="15" t="str">
        <f t="shared" si="0"/>
        <v/>
      </c>
      <c r="H56" s="15" t="str">
        <f t="shared" si="1"/>
        <v/>
      </c>
      <c r="I56" s="17" t="str">
        <f t="shared" si="2"/>
        <v/>
      </c>
      <c r="J56" s="15" t="str">
        <f t="shared" si="3"/>
        <v/>
      </c>
      <c r="K56" s="19" t="str">
        <f t="shared" si="4"/>
        <v/>
      </c>
      <c r="L56" s="33"/>
      <c r="M56" s="15" t="str">
        <f>IF(B56="","",SUMIF($B$6:B55,B56,$I$6:I55))</f>
        <v/>
      </c>
      <c r="N56" s="15" t="str">
        <f>IF(B56="","",SUMIF($B$6:B55,B56,$H$6:H55))</f>
        <v/>
      </c>
      <c r="O56" s="15" t="str">
        <f>IF(B56="","",COUNTIFS($B$6:B55,B56,$K$6:K55,"&lt;&gt;已记录"))</f>
        <v/>
      </c>
      <c r="P56" s="34"/>
    </row>
    <row r="57" spans="1:16" ht="21.75" customHeight="1">
      <c r="A57" s="16"/>
      <c r="B57" s="30"/>
      <c r="C57" s="31"/>
      <c r="D57" s="10"/>
      <c r="E57" s="10"/>
      <c r="F57" s="32"/>
      <c r="G57" s="15" t="str">
        <f t="shared" si="0"/>
        <v/>
      </c>
      <c r="H57" s="15" t="str">
        <f t="shared" si="1"/>
        <v/>
      </c>
      <c r="I57" s="17" t="str">
        <f t="shared" si="2"/>
        <v/>
      </c>
      <c r="J57" s="15" t="str">
        <f t="shared" si="3"/>
        <v/>
      </c>
      <c r="K57" s="19" t="str">
        <f t="shared" si="4"/>
        <v/>
      </c>
      <c r="L57" s="33"/>
      <c r="M57" s="15" t="str">
        <f>IF(B57="","",SUMIF($B$6:B56,B57,$I$6:I56))</f>
        <v/>
      </c>
      <c r="N57" s="15" t="str">
        <f>IF(B57="","",SUMIF($B$6:B56,B57,$H$6:H56))</f>
        <v/>
      </c>
      <c r="O57" s="15" t="str">
        <f>IF(B57="","",COUNTIFS($B$6:B56,B57,$K$6:K56,"&lt;&gt;已记录"))</f>
        <v/>
      </c>
      <c r="P57" s="34"/>
    </row>
    <row r="58" spans="1:16" ht="21.75" customHeight="1">
      <c r="A58" s="16"/>
      <c r="B58" s="30"/>
      <c r="C58" s="31"/>
      <c r="D58" s="10"/>
      <c r="E58" s="10"/>
      <c r="F58" s="32"/>
      <c r="G58" s="15" t="str">
        <f t="shared" si="0"/>
        <v/>
      </c>
      <c r="H58" s="15" t="str">
        <f t="shared" si="1"/>
        <v/>
      </c>
      <c r="I58" s="17" t="str">
        <f t="shared" si="2"/>
        <v/>
      </c>
      <c r="J58" s="15" t="str">
        <f t="shared" si="3"/>
        <v/>
      </c>
      <c r="K58" s="19" t="str">
        <f t="shared" si="4"/>
        <v/>
      </c>
      <c r="L58" s="33"/>
      <c r="M58" s="15" t="str">
        <f>IF(B58="","",SUMIF($B$6:B57,B58,$I$6:I57))</f>
        <v/>
      </c>
      <c r="N58" s="15" t="str">
        <f>IF(B58="","",SUMIF($B$6:B57,B58,$H$6:H57))</f>
        <v/>
      </c>
      <c r="O58" s="15" t="str">
        <f>IF(B58="","",COUNTIFS($B$6:B57,B58,$K$6:K57,"&lt;&gt;已记录"))</f>
        <v/>
      </c>
      <c r="P58" s="34"/>
    </row>
    <row r="59" spans="1:16" ht="21.75" customHeight="1">
      <c r="A59" s="16"/>
      <c r="B59" s="30"/>
      <c r="C59" s="31"/>
      <c r="D59" s="10"/>
      <c r="E59" s="10"/>
      <c r="F59" s="32"/>
      <c r="G59" s="15" t="str">
        <f t="shared" si="0"/>
        <v/>
      </c>
      <c r="H59" s="15" t="str">
        <f t="shared" si="1"/>
        <v/>
      </c>
      <c r="I59" s="17" t="str">
        <f t="shared" si="2"/>
        <v/>
      </c>
      <c r="J59" s="15" t="str">
        <f t="shared" si="3"/>
        <v/>
      </c>
      <c r="K59" s="19" t="str">
        <f t="shared" si="4"/>
        <v/>
      </c>
      <c r="L59" s="33"/>
      <c r="M59" s="15" t="str">
        <f>IF(B59="","",SUMIF($B$6:B58,B59,$I$6:I58))</f>
        <v/>
      </c>
      <c r="N59" s="15" t="str">
        <f>IF(B59="","",SUMIF($B$6:B58,B59,$H$6:H58))</f>
        <v/>
      </c>
      <c r="O59" s="15" t="str">
        <f>IF(B59="","",COUNTIFS($B$6:B58,B59,$K$6:K58,"&lt;&gt;已记录"))</f>
        <v/>
      </c>
      <c r="P59" s="34"/>
    </row>
    <row r="60" spans="1:16" ht="21.75" customHeight="1">
      <c r="A60" s="16"/>
      <c r="B60" s="30"/>
      <c r="C60" s="31"/>
      <c r="D60" s="10"/>
      <c r="E60" s="10"/>
      <c r="F60" s="32"/>
      <c r="G60" s="15" t="str">
        <f t="shared" si="0"/>
        <v/>
      </c>
      <c r="H60" s="15" t="str">
        <f t="shared" si="1"/>
        <v/>
      </c>
      <c r="I60" s="17" t="str">
        <f t="shared" si="2"/>
        <v/>
      </c>
      <c r="J60" s="15" t="str">
        <f t="shared" si="3"/>
        <v/>
      </c>
      <c r="K60" s="19" t="str">
        <f t="shared" si="4"/>
        <v/>
      </c>
      <c r="L60" s="33"/>
      <c r="M60" s="15" t="str">
        <f>IF(B60="","",SUMIF($B$6:B59,B60,$I$6:I59))</f>
        <v/>
      </c>
      <c r="N60" s="15" t="str">
        <f>IF(B60="","",SUMIF($B$6:B59,B60,$H$6:H59))</f>
        <v/>
      </c>
      <c r="O60" s="15" t="str">
        <f>IF(B60="","",COUNTIFS($B$6:B59,B60,$K$6:K59,"&lt;&gt;已记录"))</f>
        <v/>
      </c>
      <c r="P60" s="34"/>
    </row>
    <row r="61" spans="1:16" ht="21.75" customHeight="1">
      <c r="A61" s="16"/>
      <c r="B61" s="30"/>
      <c r="C61" s="31"/>
      <c r="D61" s="10"/>
      <c r="E61" s="10"/>
      <c r="F61" s="32"/>
      <c r="G61" s="15" t="str">
        <f t="shared" si="0"/>
        <v/>
      </c>
      <c r="H61" s="15" t="str">
        <f t="shared" si="1"/>
        <v/>
      </c>
      <c r="I61" s="17" t="str">
        <f t="shared" si="2"/>
        <v/>
      </c>
      <c r="J61" s="15" t="str">
        <f t="shared" si="3"/>
        <v/>
      </c>
      <c r="K61" s="19" t="str">
        <f t="shared" si="4"/>
        <v/>
      </c>
      <c r="L61" s="33"/>
      <c r="M61" s="15" t="str">
        <f>IF(B61="","",SUMIF($B$6:B60,B61,$I$6:I60))</f>
        <v/>
      </c>
      <c r="N61" s="15" t="str">
        <f>IF(B61="","",SUMIF($B$6:B60,B61,$H$6:H60))</f>
        <v/>
      </c>
      <c r="O61" s="15" t="str">
        <f>IF(B61="","",COUNTIFS($B$6:B60,B61,$K$6:K60,"&lt;&gt;已记录"))</f>
        <v/>
      </c>
      <c r="P61" s="34"/>
    </row>
    <row r="62" spans="1:16" ht="21.75" customHeight="1">
      <c r="A62" s="16"/>
      <c r="B62" s="30"/>
      <c r="C62" s="31"/>
      <c r="D62" s="10"/>
      <c r="E62" s="10"/>
      <c r="F62" s="32"/>
      <c r="G62" s="15" t="str">
        <f t="shared" si="0"/>
        <v/>
      </c>
      <c r="H62" s="15" t="str">
        <f t="shared" si="1"/>
        <v/>
      </c>
      <c r="I62" s="17" t="str">
        <f t="shared" si="2"/>
        <v/>
      </c>
      <c r="J62" s="15" t="str">
        <f t="shared" si="3"/>
        <v/>
      </c>
      <c r="K62" s="19" t="str">
        <f t="shared" si="4"/>
        <v/>
      </c>
      <c r="L62" s="33"/>
      <c r="M62" s="15" t="str">
        <f>IF(B62="","",SUMIF($B$6:B61,B62,$I$6:I61))</f>
        <v/>
      </c>
      <c r="N62" s="15" t="str">
        <f>IF(B62="","",SUMIF($B$6:B61,B62,$H$6:H61))</f>
        <v/>
      </c>
      <c r="O62" s="15" t="str">
        <f>IF(B62="","",COUNTIFS($B$6:B61,B62,$K$6:K61,"&lt;&gt;已记录"))</f>
        <v/>
      </c>
      <c r="P62" s="34"/>
    </row>
    <row r="63" spans="1:16" ht="21.75" customHeight="1">
      <c r="A63" s="16"/>
      <c r="B63" s="30"/>
      <c r="C63" s="31"/>
      <c r="D63" s="10"/>
      <c r="E63" s="10"/>
      <c r="F63" s="32"/>
      <c r="G63" s="15" t="str">
        <f t="shared" si="0"/>
        <v/>
      </c>
      <c r="H63" s="15" t="str">
        <f t="shared" si="1"/>
        <v/>
      </c>
      <c r="I63" s="17" t="str">
        <f t="shared" si="2"/>
        <v/>
      </c>
      <c r="J63" s="15" t="str">
        <f t="shared" si="3"/>
        <v/>
      </c>
      <c r="K63" s="19" t="str">
        <f t="shared" si="4"/>
        <v/>
      </c>
      <c r="L63" s="33"/>
      <c r="M63" s="15" t="str">
        <f>IF(B63="","",SUMIF($B$6:B62,B63,$I$6:I62))</f>
        <v/>
      </c>
      <c r="N63" s="15" t="str">
        <f>IF(B63="","",SUMIF($B$6:B62,B63,$H$6:H62))</f>
        <v/>
      </c>
      <c r="O63" s="15" t="str">
        <f>IF(B63="","",COUNTIFS($B$6:B62,B63,$K$6:K62,"&lt;&gt;已记录"))</f>
        <v/>
      </c>
      <c r="P63" s="34"/>
    </row>
    <row r="64" spans="1:16" ht="21.75" customHeight="1">
      <c r="A64" s="16"/>
      <c r="B64" s="30"/>
      <c r="C64" s="31"/>
      <c r="D64" s="10"/>
      <c r="E64" s="10"/>
      <c r="F64" s="32"/>
      <c r="G64" s="15" t="str">
        <f t="shared" si="0"/>
        <v/>
      </c>
      <c r="H64" s="15" t="str">
        <f t="shared" si="1"/>
        <v/>
      </c>
      <c r="I64" s="17" t="str">
        <f t="shared" si="2"/>
        <v/>
      </c>
      <c r="J64" s="15" t="str">
        <f t="shared" si="3"/>
        <v/>
      </c>
      <c r="K64" s="19" t="str">
        <f t="shared" si="4"/>
        <v/>
      </c>
      <c r="L64" s="33"/>
      <c r="M64" s="15" t="str">
        <f>IF(B64="","",SUMIF($B$6:B63,B64,$I$6:I63))</f>
        <v/>
      </c>
      <c r="N64" s="15" t="str">
        <f>IF(B64="","",SUMIF($B$6:B63,B64,$H$6:H63))</f>
        <v/>
      </c>
      <c r="O64" s="15" t="str">
        <f>IF(B64="","",COUNTIFS($B$6:B63,B64,$K$6:K63,"&lt;&gt;已记录"))</f>
        <v/>
      </c>
      <c r="P64" s="34"/>
    </row>
    <row r="65" spans="1:16" ht="21.75" customHeight="1">
      <c r="A65" s="16"/>
      <c r="B65" s="30"/>
      <c r="C65" s="31"/>
      <c r="D65" s="10"/>
      <c r="E65" s="10"/>
      <c r="F65" s="32"/>
      <c r="G65" s="15" t="str">
        <f t="shared" si="0"/>
        <v/>
      </c>
      <c r="H65" s="15" t="str">
        <f t="shared" si="1"/>
        <v/>
      </c>
      <c r="I65" s="17" t="str">
        <f t="shared" si="2"/>
        <v/>
      </c>
      <c r="J65" s="15" t="str">
        <f t="shared" si="3"/>
        <v/>
      </c>
      <c r="K65" s="19" t="str">
        <f t="shared" si="4"/>
        <v/>
      </c>
      <c r="L65" s="33"/>
      <c r="M65" s="15" t="str">
        <f>IF(B65="","",SUMIF($B$6:B64,B65,$I$6:I64))</f>
        <v/>
      </c>
      <c r="N65" s="15" t="str">
        <f>IF(B65="","",SUMIF($B$6:B64,B65,$H$6:H64))</f>
        <v/>
      </c>
      <c r="O65" s="15" t="str">
        <f>IF(B65="","",COUNTIFS($B$6:B64,B65,$K$6:K64,"&lt;&gt;已记录"))</f>
        <v/>
      </c>
      <c r="P65" s="34"/>
    </row>
    <row r="66" spans="1:16" ht="21.75" customHeight="1">
      <c r="A66" s="16"/>
      <c r="B66" s="30"/>
      <c r="C66" s="31"/>
      <c r="D66" s="10"/>
      <c r="E66" s="10"/>
      <c r="F66" s="32"/>
      <c r="G66" s="15" t="str">
        <f t="shared" si="0"/>
        <v/>
      </c>
      <c r="H66" s="15" t="str">
        <f t="shared" si="1"/>
        <v/>
      </c>
      <c r="I66" s="17" t="str">
        <f t="shared" si="2"/>
        <v/>
      </c>
      <c r="J66" s="15" t="str">
        <f t="shared" si="3"/>
        <v/>
      </c>
      <c r="K66" s="19" t="str">
        <f t="shared" si="4"/>
        <v/>
      </c>
      <c r="L66" s="33"/>
      <c r="M66" s="15" t="str">
        <f>IF(B66="","",SUMIF($B$6:B65,B66,$I$6:I65))</f>
        <v/>
      </c>
      <c r="N66" s="15" t="str">
        <f>IF(B66="","",SUMIF($B$6:B65,B66,$H$6:H65))</f>
        <v/>
      </c>
      <c r="O66" s="15" t="str">
        <f>IF(B66="","",COUNTIFS($B$6:B65,B66,$K$6:K65,"&lt;&gt;已记录"))</f>
        <v/>
      </c>
      <c r="P66" s="34"/>
    </row>
    <row r="67" spans="1:16" ht="21.75" customHeight="1">
      <c r="A67" s="16"/>
      <c r="B67" s="30"/>
      <c r="C67" s="31"/>
      <c r="D67" s="10"/>
      <c r="E67" s="10"/>
      <c r="F67" s="32"/>
      <c r="G67" s="15" t="str">
        <f t="shared" si="0"/>
        <v/>
      </c>
      <c r="H67" s="15" t="str">
        <f t="shared" si="1"/>
        <v/>
      </c>
      <c r="I67" s="17" t="str">
        <f t="shared" si="2"/>
        <v/>
      </c>
      <c r="J67" s="15" t="str">
        <f t="shared" si="3"/>
        <v/>
      </c>
      <c r="K67" s="19" t="str">
        <f t="shared" si="4"/>
        <v/>
      </c>
      <c r="L67" s="33"/>
      <c r="M67" s="15" t="str">
        <f>IF(B67="","",SUMIF($B$6:B66,B67,$I$6:I66))</f>
        <v/>
      </c>
      <c r="N67" s="15" t="str">
        <f>IF(B67="","",SUMIF($B$6:B66,B67,$H$6:H66))</f>
        <v/>
      </c>
      <c r="O67" s="15" t="str">
        <f>IF(B67="","",COUNTIFS($B$6:B66,B67,$K$6:K66,"&lt;&gt;已记录"))</f>
        <v/>
      </c>
      <c r="P67" s="34"/>
    </row>
    <row r="68" spans="1:16" ht="21.75" customHeight="1">
      <c r="A68" s="16"/>
      <c r="B68" s="30"/>
      <c r="C68" s="31"/>
      <c r="D68" s="10"/>
      <c r="E68" s="10"/>
      <c r="F68" s="32"/>
      <c r="G68" s="15" t="str">
        <f t="shared" si="0"/>
        <v/>
      </c>
      <c r="H68" s="15" t="str">
        <f t="shared" si="1"/>
        <v/>
      </c>
      <c r="I68" s="17" t="str">
        <f t="shared" si="2"/>
        <v/>
      </c>
      <c r="J68" s="15" t="str">
        <f t="shared" si="3"/>
        <v/>
      </c>
      <c r="K68" s="19" t="str">
        <f t="shared" si="4"/>
        <v/>
      </c>
      <c r="L68" s="33"/>
      <c r="M68" s="15" t="str">
        <f>IF(B68="","",SUMIF($B$6:B67,B68,$I$6:I67))</f>
        <v/>
      </c>
      <c r="N68" s="15" t="str">
        <f>IF(B68="","",SUMIF($B$6:B67,B68,$H$6:H67))</f>
        <v/>
      </c>
      <c r="O68" s="15" t="str">
        <f>IF(B68="","",COUNTIFS($B$6:B67,B68,$K$6:K67,"&lt;&gt;已记录"))</f>
        <v/>
      </c>
      <c r="P68" s="34"/>
    </row>
    <row r="69" spans="1:16" ht="21.75" customHeight="1">
      <c r="A69" s="16"/>
      <c r="B69" s="30"/>
      <c r="C69" s="31"/>
      <c r="D69" s="10"/>
      <c r="E69" s="10"/>
      <c r="F69" s="32"/>
      <c r="G69" s="15" t="str">
        <f t="shared" si="0"/>
        <v/>
      </c>
      <c r="H69" s="15" t="str">
        <f t="shared" si="1"/>
        <v/>
      </c>
      <c r="I69" s="17" t="str">
        <f t="shared" si="2"/>
        <v/>
      </c>
      <c r="J69" s="15" t="str">
        <f t="shared" si="3"/>
        <v/>
      </c>
      <c r="K69" s="19" t="str">
        <f t="shared" si="4"/>
        <v/>
      </c>
      <c r="L69" s="33"/>
      <c r="M69" s="15" t="str">
        <f>IF(B69="","",SUMIF($B$6:B68,B69,$I$6:I68))</f>
        <v/>
      </c>
      <c r="N69" s="15" t="str">
        <f>IF(B69="","",SUMIF($B$6:B68,B69,$H$6:H68))</f>
        <v/>
      </c>
      <c r="O69" s="15" t="str">
        <f>IF(B69="","",COUNTIFS($B$6:B68,B69,$K$6:K68,"&lt;&gt;已记录"))</f>
        <v/>
      </c>
      <c r="P69" s="34"/>
    </row>
    <row r="70" spans="1:16" ht="21.75" customHeight="1">
      <c r="A70" s="16"/>
      <c r="B70" s="30"/>
      <c r="C70" s="31"/>
      <c r="D70" s="10"/>
      <c r="E70" s="10"/>
      <c r="F70" s="32"/>
      <c r="G70" s="15" t="str">
        <f t="shared" ref="G70:G133" si="5">IF(OR(B70="",D70="",C70=""),"",IF(C70="买入",-(D70+E70),IF(C70="卖出",D70-E70,"")))</f>
        <v/>
      </c>
      <c r="H70" s="15" t="str">
        <f t="shared" ref="H70:H133" si="6">IF(K70&lt;&gt;"已记录","",IF(C70="买入",D70+E70,-IF(M70=0,0,N70/M70*F70)))</f>
        <v/>
      </c>
      <c r="I70" s="17" t="str">
        <f t="shared" ref="I70:I133" si="7">IF(K70&lt;&gt;"已记录","",IF(C70="买入",F70,-F70))</f>
        <v/>
      </c>
      <c r="J70" s="15" t="str">
        <f t="shared" ref="J70:J133" si="8">IF(K70&lt;&gt;"已记录","",IF(C70="卖出",D70-E70+H70,0))</f>
        <v/>
      </c>
      <c r="K70" s="19" t="str">
        <f t="shared" ref="K70:K133" si="9">IF(B70="","",IF(OR(A70="",D70="",F70="",C70=""),"待补日期／金额／份额",IF(OR(D70&lt;=0,F70&lt;=0,E70&lt;0,AND(C70&lt;&gt;"买入",C70&lt;&gt;"卖出"),AND(C70="卖出",E70&gt;D70)),"请检查输入",IF(O70&gt;0,"待补前序记录",IF(AND(C70="卖出",F70&gt;M70+0.00000001),"卖出超过持仓","已记录")))))</f>
        <v/>
      </c>
      <c r="L70" s="33"/>
      <c r="M70" s="15" t="str">
        <f>IF(B70="","",SUMIF($B$6:B69,B70,$I$6:I69))</f>
        <v/>
      </c>
      <c r="N70" s="15" t="str">
        <f>IF(B70="","",SUMIF($B$6:B69,B70,$H$6:H69))</f>
        <v/>
      </c>
      <c r="O70" s="15" t="str">
        <f>IF(B70="","",COUNTIFS($B$6:B69,B70,$K$6:K69,"&lt;&gt;已记录"))</f>
        <v/>
      </c>
      <c r="P70" s="34"/>
    </row>
    <row r="71" spans="1:16" ht="21.75" customHeight="1">
      <c r="A71" s="16"/>
      <c r="B71" s="30"/>
      <c r="C71" s="31"/>
      <c r="D71" s="10"/>
      <c r="E71" s="10"/>
      <c r="F71" s="32"/>
      <c r="G71" s="15" t="str">
        <f t="shared" si="5"/>
        <v/>
      </c>
      <c r="H71" s="15" t="str">
        <f t="shared" si="6"/>
        <v/>
      </c>
      <c r="I71" s="17" t="str">
        <f t="shared" si="7"/>
        <v/>
      </c>
      <c r="J71" s="15" t="str">
        <f t="shared" si="8"/>
        <v/>
      </c>
      <c r="K71" s="19" t="str">
        <f t="shared" si="9"/>
        <v/>
      </c>
      <c r="L71" s="33"/>
      <c r="M71" s="15" t="str">
        <f>IF(B71="","",SUMIF($B$6:B70,B71,$I$6:I70))</f>
        <v/>
      </c>
      <c r="N71" s="15" t="str">
        <f>IF(B71="","",SUMIF($B$6:B70,B71,$H$6:H70))</f>
        <v/>
      </c>
      <c r="O71" s="15" t="str">
        <f>IF(B71="","",COUNTIFS($B$6:B70,B71,$K$6:K70,"&lt;&gt;已记录"))</f>
        <v/>
      </c>
      <c r="P71" s="34"/>
    </row>
    <row r="72" spans="1:16" ht="21.75" customHeight="1">
      <c r="A72" s="16"/>
      <c r="B72" s="30"/>
      <c r="C72" s="31"/>
      <c r="D72" s="10"/>
      <c r="E72" s="10"/>
      <c r="F72" s="32"/>
      <c r="G72" s="15" t="str">
        <f t="shared" si="5"/>
        <v/>
      </c>
      <c r="H72" s="15" t="str">
        <f t="shared" si="6"/>
        <v/>
      </c>
      <c r="I72" s="17" t="str">
        <f t="shared" si="7"/>
        <v/>
      </c>
      <c r="J72" s="15" t="str">
        <f t="shared" si="8"/>
        <v/>
      </c>
      <c r="K72" s="19" t="str">
        <f t="shared" si="9"/>
        <v/>
      </c>
      <c r="L72" s="33"/>
      <c r="M72" s="15" t="str">
        <f>IF(B72="","",SUMIF($B$6:B71,B72,$I$6:I71))</f>
        <v/>
      </c>
      <c r="N72" s="15" t="str">
        <f>IF(B72="","",SUMIF($B$6:B71,B72,$H$6:H71))</f>
        <v/>
      </c>
      <c r="O72" s="15" t="str">
        <f>IF(B72="","",COUNTIFS($B$6:B71,B72,$K$6:K71,"&lt;&gt;已记录"))</f>
        <v/>
      </c>
      <c r="P72" s="34"/>
    </row>
    <row r="73" spans="1:16" ht="21.75" customHeight="1">
      <c r="A73" s="16"/>
      <c r="B73" s="30"/>
      <c r="C73" s="31"/>
      <c r="D73" s="10"/>
      <c r="E73" s="10"/>
      <c r="F73" s="32"/>
      <c r="G73" s="15" t="str">
        <f t="shared" si="5"/>
        <v/>
      </c>
      <c r="H73" s="15" t="str">
        <f t="shared" si="6"/>
        <v/>
      </c>
      <c r="I73" s="17" t="str">
        <f t="shared" si="7"/>
        <v/>
      </c>
      <c r="J73" s="15" t="str">
        <f t="shared" si="8"/>
        <v/>
      </c>
      <c r="K73" s="19" t="str">
        <f t="shared" si="9"/>
        <v/>
      </c>
      <c r="L73" s="33"/>
      <c r="M73" s="15" t="str">
        <f>IF(B73="","",SUMIF($B$6:B72,B73,$I$6:I72))</f>
        <v/>
      </c>
      <c r="N73" s="15" t="str">
        <f>IF(B73="","",SUMIF($B$6:B72,B73,$H$6:H72))</f>
        <v/>
      </c>
      <c r="O73" s="15" t="str">
        <f>IF(B73="","",COUNTIFS($B$6:B72,B73,$K$6:K72,"&lt;&gt;已记录"))</f>
        <v/>
      </c>
      <c r="P73" s="34"/>
    </row>
    <row r="74" spans="1:16" ht="21.75" customHeight="1">
      <c r="A74" s="16"/>
      <c r="B74" s="30"/>
      <c r="C74" s="31"/>
      <c r="D74" s="10"/>
      <c r="E74" s="10"/>
      <c r="F74" s="32"/>
      <c r="G74" s="15" t="str">
        <f t="shared" si="5"/>
        <v/>
      </c>
      <c r="H74" s="15" t="str">
        <f t="shared" si="6"/>
        <v/>
      </c>
      <c r="I74" s="17" t="str">
        <f t="shared" si="7"/>
        <v/>
      </c>
      <c r="J74" s="15" t="str">
        <f t="shared" si="8"/>
        <v/>
      </c>
      <c r="K74" s="19" t="str">
        <f t="shared" si="9"/>
        <v/>
      </c>
      <c r="L74" s="33"/>
      <c r="M74" s="15" t="str">
        <f>IF(B74="","",SUMIF($B$6:B73,B74,$I$6:I73))</f>
        <v/>
      </c>
      <c r="N74" s="15" t="str">
        <f>IF(B74="","",SUMIF($B$6:B73,B74,$H$6:H73))</f>
        <v/>
      </c>
      <c r="O74" s="15" t="str">
        <f>IF(B74="","",COUNTIFS($B$6:B73,B74,$K$6:K73,"&lt;&gt;已记录"))</f>
        <v/>
      </c>
      <c r="P74" s="34"/>
    </row>
    <row r="75" spans="1:16" ht="21.75" customHeight="1">
      <c r="A75" s="16"/>
      <c r="B75" s="30"/>
      <c r="C75" s="31"/>
      <c r="D75" s="10"/>
      <c r="E75" s="10"/>
      <c r="F75" s="32"/>
      <c r="G75" s="15" t="str">
        <f t="shared" si="5"/>
        <v/>
      </c>
      <c r="H75" s="15" t="str">
        <f t="shared" si="6"/>
        <v/>
      </c>
      <c r="I75" s="17" t="str">
        <f t="shared" si="7"/>
        <v/>
      </c>
      <c r="J75" s="15" t="str">
        <f t="shared" si="8"/>
        <v/>
      </c>
      <c r="K75" s="19" t="str">
        <f t="shared" si="9"/>
        <v/>
      </c>
      <c r="L75" s="33"/>
      <c r="M75" s="15" t="str">
        <f>IF(B75="","",SUMIF($B$6:B74,B75,$I$6:I74))</f>
        <v/>
      </c>
      <c r="N75" s="15" t="str">
        <f>IF(B75="","",SUMIF($B$6:B74,B75,$H$6:H74))</f>
        <v/>
      </c>
      <c r="O75" s="15" t="str">
        <f>IF(B75="","",COUNTIFS($B$6:B74,B75,$K$6:K74,"&lt;&gt;已记录"))</f>
        <v/>
      </c>
      <c r="P75" s="34"/>
    </row>
    <row r="76" spans="1:16" ht="21.75" customHeight="1">
      <c r="A76" s="16"/>
      <c r="B76" s="30"/>
      <c r="C76" s="31"/>
      <c r="D76" s="10"/>
      <c r="E76" s="10"/>
      <c r="F76" s="32"/>
      <c r="G76" s="15" t="str">
        <f t="shared" si="5"/>
        <v/>
      </c>
      <c r="H76" s="15" t="str">
        <f t="shared" si="6"/>
        <v/>
      </c>
      <c r="I76" s="17" t="str">
        <f t="shared" si="7"/>
        <v/>
      </c>
      <c r="J76" s="15" t="str">
        <f t="shared" si="8"/>
        <v/>
      </c>
      <c r="K76" s="19" t="str">
        <f t="shared" si="9"/>
        <v/>
      </c>
      <c r="L76" s="33"/>
      <c r="M76" s="15" t="str">
        <f>IF(B76="","",SUMIF($B$6:B75,B76,$I$6:I75))</f>
        <v/>
      </c>
      <c r="N76" s="15" t="str">
        <f>IF(B76="","",SUMIF($B$6:B75,B76,$H$6:H75))</f>
        <v/>
      </c>
      <c r="O76" s="15" t="str">
        <f>IF(B76="","",COUNTIFS($B$6:B75,B76,$K$6:K75,"&lt;&gt;已记录"))</f>
        <v/>
      </c>
      <c r="P76" s="34"/>
    </row>
    <row r="77" spans="1:16" ht="21.75" customHeight="1">
      <c r="A77" s="16"/>
      <c r="B77" s="30"/>
      <c r="C77" s="31"/>
      <c r="D77" s="10"/>
      <c r="E77" s="10"/>
      <c r="F77" s="32"/>
      <c r="G77" s="15" t="str">
        <f t="shared" si="5"/>
        <v/>
      </c>
      <c r="H77" s="15" t="str">
        <f t="shared" si="6"/>
        <v/>
      </c>
      <c r="I77" s="17" t="str">
        <f t="shared" si="7"/>
        <v/>
      </c>
      <c r="J77" s="15" t="str">
        <f t="shared" si="8"/>
        <v/>
      </c>
      <c r="K77" s="19" t="str">
        <f t="shared" si="9"/>
        <v/>
      </c>
      <c r="L77" s="33"/>
      <c r="M77" s="15" t="str">
        <f>IF(B77="","",SUMIF($B$6:B76,B77,$I$6:I76))</f>
        <v/>
      </c>
      <c r="N77" s="15" t="str">
        <f>IF(B77="","",SUMIF($B$6:B76,B77,$H$6:H76))</f>
        <v/>
      </c>
      <c r="O77" s="15" t="str">
        <f>IF(B77="","",COUNTIFS($B$6:B76,B77,$K$6:K76,"&lt;&gt;已记录"))</f>
        <v/>
      </c>
      <c r="P77" s="34"/>
    </row>
    <row r="78" spans="1:16" ht="21.75" customHeight="1">
      <c r="A78" s="16"/>
      <c r="B78" s="30"/>
      <c r="C78" s="31"/>
      <c r="D78" s="10"/>
      <c r="E78" s="10"/>
      <c r="F78" s="32"/>
      <c r="G78" s="15" t="str">
        <f t="shared" si="5"/>
        <v/>
      </c>
      <c r="H78" s="15" t="str">
        <f t="shared" si="6"/>
        <v/>
      </c>
      <c r="I78" s="17" t="str">
        <f t="shared" si="7"/>
        <v/>
      </c>
      <c r="J78" s="15" t="str">
        <f t="shared" si="8"/>
        <v/>
      </c>
      <c r="K78" s="19" t="str">
        <f t="shared" si="9"/>
        <v/>
      </c>
      <c r="L78" s="33"/>
      <c r="M78" s="15" t="str">
        <f>IF(B78="","",SUMIF($B$6:B77,B78,$I$6:I77))</f>
        <v/>
      </c>
      <c r="N78" s="15" t="str">
        <f>IF(B78="","",SUMIF($B$6:B77,B78,$H$6:H77))</f>
        <v/>
      </c>
      <c r="O78" s="15" t="str">
        <f>IF(B78="","",COUNTIFS($B$6:B77,B78,$K$6:K77,"&lt;&gt;已记录"))</f>
        <v/>
      </c>
      <c r="P78" s="34"/>
    </row>
    <row r="79" spans="1:16" ht="21.75" customHeight="1">
      <c r="A79" s="16"/>
      <c r="B79" s="30"/>
      <c r="C79" s="31"/>
      <c r="D79" s="10"/>
      <c r="E79" s="10"/>
      <c r="F79" s="32"/>
      <c r="G79" s="15" t="str">
        <f t="shared" si="5"/>
        <v/>
      </c>
      <c r="H79" s="15" t="str">
        <f t="shared" si="6"/>
        <v/>
      </c>
      <c r="I79" s="17" t="str">
        <f t="shared" si="7"/>
        <v/>
      </c>
      <c r="J79" s="15" t="str">
        <f t="shared" si="8"/>
        <v/>
      </c>
      <c r="K79" s="19" t="str">
        <f t="shared" si="9"/>
        <v/>
      </c>
      <c r="L79" s="33"/>
      <c r="M79" s="15" t="str">
        <f>IF(B79="","",SUMIF($B$6:B78,B79,$I$6:I78))</f>
        <v/>
      </c>
      <c r="N79" s="15" t="str">
        <f>IF(B79="","",SUMIF($B$6:B78,B79,$H$6:H78))</f>
        <v/>
      </c>
      <c r="O79" s="15" t="str">
        <f>IF(B79="","",COUNTIFS($B$6:B78,B79,$K$6:K78,"&lt;&gt;已记录"))</f>
        <v/>
      </c>
      <c r="P79" s="34"/>
    </row>
    <row r="80" spans="1:16" ht="21.75" customHeight="1">
      <c r="A80" s="16"/>
      <c r="B80" s="30"/>
      <c r="C80" s="31"/>
      <c r="D80" s="10"/>
      <c r="E80" s="10"/>
      <c r="F80" s="32"/>
      <c r="G80" s="15" t="str">
        <f t="shared" si="5"/>
        <v/>
      </c>
      <c r="H80" s="15" t="str">
        <f t="shared" si="6"/>
        <v/>
      </c>
      <c r="I80" s="17" t="str">
        <f t="shared" si="7"/>
        <v/>
      </c>
      <c r="J80" s="15" t="str">
        <f t="shared" si="8"/>
        <v/>
      </c>
      <c r="K80" s="19" t="str">
        <f t="shared" si="9"/>
        <v/>
      </c>
      <c r="L80" s="33"/>
      <c r="M80" s="15" t="str">
        <f>IF(B80="","",SUMIF($B$6:B79,B80,$I$6:I79))</f>
        <v/>
      </c>
      <c r="N80" s="15" t="str">
        <f>IF(B80="","",SUMIF($B$6:B79,B80,$H$6:H79))</f>
        <v/>
      </c>
      <c r="O80" s="15" t="str">
        <f>IF(B80="","",COUNTIFS($B$6:B79,B80,$K$6:K79,"&lt;&gt;已记录"))</f>
        <v/>
      </c>
      <c r="P80" s="34"/>
    </row>
    <row r="81" spans="1:16" ht="21.75" customHeight="1">
      <c r="A81" s="16"/>
      <c r="B81" s="30"/>
      <c r="C81" s="31"/>
      <c r="D81" s="10"/>
      <c r="E81" s="10"/>
      <c r="F81" s="32"/>
      <c r="G81" s="15" t="str">
        <f t="shared" si="5"/>
        <v/>
      </c>
      <c r="H81" s="15" t="str">
        <f t="shared" si="6"/>
        <v/>
      </c>
      <c r="I81" s="17" t="str">
        <f t="shared" si="7"/>
        <v/>
      </c>
      <c r="J81" s="15" t="str">
        <f t="shared" si="8"/>
        <v/>
      </c>
      <c r="K81" s="19" t="str">
        <f t="shared" si="9"/>
        <v/>
      </c>
      <c r="L81" s="33"/>
      <c r="M81" s="15" t="str">
        <f>IF(B81="","",SUMIF($B$6:B80,B81,$I$6:I80))</f>
        <v/>
      </c>
      <c r="N81" s="15" t="str">
        <f>IF(B81="","",SUMIF($B$6:B80,B81,$H$6:H80))</f>
        <v/>
      </c>
      <c r="O81" s="15" t="str">
        <f>IF(B81="","",COUNTIFS($B$6:B80,B81,$K$6:K80,"&lt;&gt;已记录"))</f>
        <v/>
      </c>
      <c r="P81" s="34"/>
    </row>
    <row r="82" spans="1:16" ht="21.75" customHeight="1">
      <c r="A82" s="16"/>
      <c r="B82" s="30"/>
      <c r="C82" s="31"/>
      <c r="D82" s="10"/>
      <c r="E82" s="10"/>
      <c r="F82" s="32"/>
      <c r="G82" s="15" t="str">
        <f t="shared" si="5"/>
        <v/>
      </c>
      <c r="H82" s="15" t="str">
        <f t="shared" si="6"/>
        <v/>
      </c>
      <c r="I82" s="17" t="str">
        <f t="shared" si="7"/>
        <v/>
      </c>
      <c r="J82" s="15" t="str">
        <f t="shared" si="8"/>
        <v/>
      </c>
      <c r="K82" s="19" t="str">
        <f t="shared" si="9"/>
        <v/>
      </c>
      <c r="L82" s="33"/>
      <c r="M82" s="15" t="str">
        <f>IF(B82="","",SUMIF($B$6:B81,B82,$I$6:I81))</f>
        <v/>
      </c>
      <c r="N82" s="15" t="str">
        <f>IF(B82="","",SUMIF($B$6:B81,B82,$H$6:H81))</f>
        <v/>
      </c>
      <c r="O82" s="15" t="str">
        <f>IF(B82="","",COUNTIFS($B$6:B81,B82,$K$6:K81,"&lt;&gt;已记录"))</f>
        <v/>
      </c>
      <c r="P82" s="34"/>
    </row>
    <row r="83" spans="1:16" ht="21.75" customHeight="1">
      <c r="A83" s="16"/>
      <c r="B83" s="30"/>
      <c r="C83" s="31"/>
      <c r="D83" s="10"/>
      <c r="E83" s="10"/>
      <c r="F83" s="32"/>
      <c r="G83" s="15" t="str">
        <f t="shared" si="5"/>
        <v/>
      </c>
      <c r="H83" s="15" t="str">
        <f t="shared" si="6"/>
        <v/>
      </c>
      <c r="I83" s="17" t="str">
        <f t="shared" si="7"/>
        <v/>
      </c>
      <c r="J83" s="15" t="str">
        <f t="shared" si="8"/>
        <v/>
      </c>
      <c r="K83" s="19" t="str">
        <f t="shared" si="9"/>
        <v/>
      </c>
      <c r="L83" s="33"/>
      <c r="M83" s="15" t="str">
        <f>IF(B83="","",SUMIF($B$6:B82,B83,$I$6:I82))</f>
        <v/>
      </c>
      <c r="N83" s="15" t="str">
        <f>IF(B83="","",SUMIF($B$6:B82,B83,$H$6:H82))</f>
        <v/>
      </c>
      <c r="O83" s="15" t="str">
        <f>IF(B83="","",COUNTIFS($B$6:B82,B83,$K$6:K82,"&lt;&gt;已记录"))</f>
        <v/>
      </c>
      <c r="P83" s="34"/>
    </row>
    <row r="84" spans="1:16" ht="21.75" customHeight="1">
      <c r="A84" s="16"/>
      <c r="B84" s="30"/>
      <c r="C84" s="31"/>
      <c r="D84" s="10"/>
      <c r="E84" s="10"/>
      <c r="F84" s="32"/>
      <c r="G84" s="15" t="str">
        <f t="shared" si="5"/>
        <v/>
      </c>
      <c r="H84" s="15" t="str">
        <f t="shared" si="6"/>
        <v/>
      </c>
      <c r="I84" s="17" t="str">
        <f t="shared" si="7"/>
        <v/>
      </c>
      <c r="J84" s="15" t="str">
        <f t="shared" si="8"/>
        <v/>
      </c>
      <c r="K84" s="19" t="str">
        <f t="shared" si="9"/>
        <v/>
      </c>
      <c r="L84" s="33"/>
      <c r="M84" s="15" t="str">
        <f>IF(B84="","",SUMIF($B$6:B83,B84,$I$6:I83))</f>
        <v/>
      </c>
      <c r="N84" s="15" t="str">
        <f>IF(B84="","",SUMIF($B$6:B83,B84,$H$6:H83))</f>
        <v/>
      </c>
      <c r="O84" s="15" t="str">
        <f>IF(B84="","",COUNTIFS($B$6:B83,B84,$K$6:K83,"&lt;&gt;已记录"))</f>
        <v/>
      </c>
      <c r="P84" s="34"/>
    </row>
    <row r="85" spans="1:16" ht="21.75" customHeight="1">
      <c r="A85" s="16"/>
      <c r="B85" s="30"/>
      <c r="C85" s="31"/>
      <c r="D85" s="10"/>
      <c r="E85" s="10"/>
      <c r="F85" s="32"/>
      <c r="G85" s="15" t="str">
        <f t="shared" si="5"/>
        <v/>
      </c>
      <c r="H85" s="15" t="str">
        <f t="shared" si="6"/>
        <v/>
      </c>
      <c r="I85" s="17" t="str">
        <f t="shared" si="7"/>
        <v/>
      </c>
      <c r="J85" s="15" t="str">
        <f t="shared" si="8"/>
        <v/>
      </c>
      <c r="K85" s="19" t="str">
        <f t="shared" si="9"/>
        <v/>
      </c>
      <c r="L85" s="33"/>
      <c r="M85" s="15" t="str">
        <f>IF(B85="","",SUMIF($B$6:B84,B85,$I$6:I84))</f>
        <v/>
      </c>
      <c r="N85" s="15" t="str">
        <f>IF(B85="","",SUMIF($B$6:B84,B85,$H$6:H84))</f>
        <v/>
      </c>
      <c r="O85" s="15" t="str">
        <f>IF(B85="","",COUNTIFS($B$6:B84,B85,$K$6:K84,"&lt;&gt;已记录"))</f>
        <v/>
      </c>
      <c r="P85" s="34"/>
    </row>
    <row r="86" spans="1:16" ht="21.75" customHeight="1">
      <c r="A86" s="16"/>
      <c r="B86" s="30"/>
      <c r="C86" s="31"/>
      <c r="D86" s="10"/>
      <c r="E86" s="10"/>
      <c r="F86" s="32"/>
      <c r="G86" s="15" t="str">
        <f t="shared" si="5"/>
        <v/>
      </c>
      <c r="H86" s="15" t="str">
        <f t="shared" si="6"/>
        <v/>
      </c>
      <c r="I86" s="17" t="str">
        <f t="shared" si="7"/>
        <v/>
      </c>
      <c r="J86" s="15" t="str">
        <f t="shared" si="8"/>
        <v/>
      </c>
      <c r="K86" s="19" t="str">
        <f t="shared" si="9"/>
        <v/>
      </c>
      <c r="L86" s="33"/>
      <c r="M86" s="15" t="str">
        <f>IF(B86="","",SUMIF($B$6:B85,B86,$I$6:I85))</f>
        <v/>
      </c>
      <c r="N86" s="15" t="str">
        <f>IF(B86="","",SUMIF($B$6:B85,B86,$H$6:H85))</f>
        <v/>
      </c>
      <c r="O86" s="15" t="str">
        <f>IF(B86="","",COUNTIFS($B$6:B85,B86,$K$6:K85,"&lt;&gt;已记录"))</f>
        <v/>
      </c>
      <c r="P86" s="34"/>
    </row>
    <row r="87" spans="1:16" ht="21.75" customHeight="1">
      <c r="A87" s="16"/>
      <c r="B87" s="30"/>
      <c r="C87" s="31"/>
      <c r="D87" s="10"/>
      <c r="E87" s="10"/>
      <c r="F87" s="32"/>
      <c r="G87" s="15" t="str">
        <f t="shared" si="5"/>
        <v/>
      </c>
      <c r="H87" s="15" t="str">
        <f t="shared" si="6"/>
        <v/>
      </c>
      <c r="I87" s="17" t="str">
        <f t="shared" si="7"/>
        <v/>
      </c>
      <c r="J87" s="15" t="str">
        <f t="shared" si="8"/>
        <v/>
      </c>
      <c r="K87" s="19" t="str">
        <f t="shared" si="9"/>
        <v/>
      </c>
      <c r="L87" s="33"/>
      <c r="M87" s="15" t="str">
        <f>IF(B87="","",SUMIF($B$6:B86,B87,$I$6:I86))</f>
        <v/>
      </c>
      <c r="N87" s="15" t="str">
        <f>IF(B87="","",SUMIF($B$6:B86,B87,$H$6:H86))</f>
        <v/>
      </c>
      <c r="O87" s="15" t="str">
        <f>IF(B87="","",COUNTIFS($B$6:B86,B87,$K$6:K86,"&lt;&gt;已记录"))</f>
        <v/>
      </c>
      <c r="P87" s="34"/>
    </row>
    <row r="88" spans="1:16" ht="21.75" customHeight="1">
      <c r="A88" s="16"/>
      <c r="B88" s="30"/>
      <c r="C88" s="31"/>
      <c r="D88" s="10"/>
      <c r="E88" s="10"/>
      <c r="F88" s="32"/>
      <c r="G88" s="15" t="str">
        <f t="shared" si="5"/>
        <v/>
      </c>
      <c r="H88" s="15" t="str">
        <f t="shared" si="6"/>
        <v/>
      </c>
      <c r="I88" s="17" t="str">
        <f t="shared" si="7"/>
        <v/>
      </c>
      <c r="J88" s="15" t="str">
        <f t="shared" si="8"/>
        <v/>
      </c>
      <c r="K88" s="19" t="str">
        <f t="shared" si="9"/>
        <v/>
      </c>
      <c r="L88" s="33"/>
      <c r="M88" s="15" t="str">
        <f>IF(B88="","",SUMIF($B$6:B87,B88,$I$6:I87))</f>
        <v/>
      </c>
      <c r="N88" s="15" t="str">
        <f>IF(B88="","",SUMIF($B$6:B87,B88,$H$6:H87))</f>
        <v/>
      </c>
      <c r="O88" s="15" t="str">
        <f>IF(B88="","",COUNTIFS($B$6:B87,B88,$K$6:K87,"&lt;&gt;已记录"))</f>
        <v/>
      </c>
      <c r="P88" s="34"/>
    </row>
    <row r="89" spans="1:16" ht="21.75" customHeight="1">
      <c r="A89" s="16"/>
      <c r="B89" s="30"/>
      <c r="C89" s="31"/>
      <c r="D89" s="10"/>
      <c r="E89" s="10"/>
      <c r="F89" s="32"/>
      <c r="G89" s="15" t="str">
        <f t="shared" si="5"/>
        <v/>
      </c>
      <c r="H89" s="15" t="str">
        <f t="shared" si="6"/>
        <v/>
      </c>
      <c r="I89" s="17" t="str">
        <f t="shared" si="7"/>
        <v/>
      </c>
      <c r="J89" s="15" t="str">
        <f t="shared" si="8"/>
        <v/>
      </c>
      <c r="K89" s="19" t="str">
        <f t="shared" si="9"/>
        <v/>
      </c>
      <c r="L89" s="33"/>
      <c r="M89" s="15" t="str">
        <f>IF(B89="","",SUMIF($B$6:B88,B89,$I$6:I88))</f>
        <v/>
      </c>
      <c r="N89" s="15" t="str">
        <f>IF(B89="","",SUMIF($B$6:B88,B89,$H$6:H88))</f>
        <v/>
      </c>
      <c r="O89" s="15" t="str">
        <f>IF(B89="","",COUNTIFS($B$6:B88,B89,$K$6:K88,"&lt;&gt;已记录"))</f>
        <v/>
      </c>
      <c r="P89" s="34"/>
    </row>
    <row r="90" spans="1:16" ht="21.75" customHeight="1">
      <c r="A90" s="16"/>
      <c r="B90" s="30"/>
      <c r="C90" s="31"/>
      <c r="D90" s="10"/>
      <c r="E90" s="10"/>
      <c r="F90" s="32"/>
      <c r="G90" s="15" t="str">
        <f t="shared" si="5"/>
        <v/>
      </c>
      <c r="H90" s="15" t="str">
        <f t="shared" si="6"/>
        <v/>
      </c>
      <c r="I90" s="17" t="str">
        <f t="shared" si="7"/>
        <v/>
      </c>
      <c r="J90" s="15" t="str">
        <f t="shared" si="8"/>
        <v/>
      </c>
      <c r="K90" s="19" t="str">
        <f t="shared" si="9"/>
        <v/>
      </c>
      <c r="L90" s="33"/>
      <c r="M90" s="15" t="str">
        <f>IF(B90="","",SUMIF($B$6:B89,B90,$I$6:I89))</f>
        <v/>
      </c>
      <c r="N90" s="15" t="str">
        <f>IF(B90="","",SUMIF($B$6:B89,B90,$H$6:H89))</f>
        <v/>
      </c>
      <c r="O90" s="15" t="str">
        <f>IF(B90="","",COUNTIFS($B$6:B89,B90,$K$6:K89,"&lt;&gt;已记录"))</f>
        <v/>
      </c>
      <c r="P90" s="34"/>
    </row>
    <row r="91" spans="1:16" ht="21.75" customHeight="1">
      <c r="A91" s="16"/>
      <c r="B91" s="30"/>
      <c r="C91" s="31"/>
      <c r="D91" s="10"/>
      <c r="E91" s="10"/>
      <c r="F91" s="32"/>
      <c r="G91" s="15" t="str">
        <f t="shared" si="5"/>
        <v/>
      </c>
      <c r="H91" s="15" t="str">
        <f t="shared" si="6"/>
        <v/>
      </c>
      <c r="I91" s="17" t="str">
        <f t="shared" si="7"/>
        <v/>
      </c>
      <c r="J91" s="15" t="str">
        <f t="shared" si="8"/>
        <v/>
      </c>
      <c r="K91" s="19" t="str">
        <f t="shared" si="9"/>
        <v/>
      </c>
      <c r="L91" s="33"/>
      <c r="M91" s="15" t="str">
        <f>IF(B91="","",SUMIF($B$6:B90,B91,$I$6:I90))</f>
        <v/>
      </c>
      <c r="N91" s="15" t="str">
        <f>IF(B91="","",SUMIF($B$6:B90,B91,$H$6:H90))</f>
        <v/>
      </c>
      <c r="O91" s="15" t="str">
        <f>IF(B91="","",COUNTIFS($B$6:B90,B91,$K$6:K90,"&lt;&gt;已记录"))</f>
        <v/>
      </c>
      <c r="P91" s="34"/>
    </row>
    <row r="92" spans="1:16" ht="21.75" customHeight="1">
      <c r="A92" s="16"/>
      <c r="B92" s="30"/>
      <c r="C92" s="31"/>
      <c r="D92" s="10"/>
      <c r="E92" s="10"/>
      <c r="F92" s="32"/>
      <c r="G92" s="15" t="str">
        <f t="shared" si="5"/>
        <v/>
      </c>
      <c r="H92" s="15" t="str">
        <f t="shared" si="6"/>
        <v/>
      </c>
      <c r="I92" s="17" t="str">
        <f t="shared" si="7"/>
        <v/>
      </c>
      <c r="J92" s="15" t="str">
        <f t="shared" si="8"/>
        <v/>
      </c>
      <c r="K92" s="19" t="str">
        <f t="shared" si="9"/>
        <v/>
      </c>
      <c r="L92" s="33"/>
      <c r="M92" s="15" t="str">
        <f>IF(B92="","",SUMIF($B$6:B91,B92,$I$6:I91))</f>
        <v/>
      </c>
      <c r="N92" s="15" t="str">
        <f>IF(B92="","",SUMIF($B$6:B91,B92,$H$6:H91))</f>
        <v/>
      </c>
      <c r="O92" s="15" t="str">
        <f>IF(B92="","",COUNTIFS($B$6:B91,B92,$K$6:K91,"&lt;&gt;已记录"))</f>
        <v/>
      </c>
      <c r="P92" s="34"/>
    </row>
    <row r="93" spans="1:16" ht="21.75" customHeight="1">
      <c r="A93" s="16"/>
      <c r="B93" s="30"/>
      <c r="C93" s="31"/>
      <c r="D93" s="10"/>
      <c r="E93" s="10"/>
      <c r="F93" s="32"/>
      <c r="G93" s="15" t="str">
        <f t="shared" si="5"/>
        <v/>
      </c>
      <c r="H93" s="15" t="str">
        <f t="shared" si="6"/>
        <v/>
      </c>
      <c r="I93" s="17" t="str">
        <f t="shared" si="7"/>
        <v/>
      </c>
      <c r="J93" s="15" t="str">
        <f t="shared" si="8"/>
        <v/>
      </c>
      <c r="K93" s="19" t="str">
        <f t="shared" si="9"/>
        <v/>
      </c>
      <c r="L93" s="33"/>
      <c r="M93" s="15" t="str">
        <f>IF(B93="","",SUMIF($B$6:B92,B93,$I$6:I92))</f>
        <v/>
      </c>
      <c r="N93" s="15" t="str">
        <f>IF(B93="","",SUMIF($B$6:B92,B93,$H$6:H92))</f>
        <v/>
      </c>
      <c r="O93" s="15" t="str">
        <f>IF(B93="","",COUNTIFS($B$6:B92,B93,$K$6:K92,"&lt;&gt;已记录"))</f>
        <v/>
      </c>
      <c r="P93" s="34"/>
    </row>
    <row r="94" spans="1:16" ht="21.75" customHeight="1">
      <c r="A94" s="16"/>
      <c r="B94" s="30"/>
      <c r="C94" s="31"/>
      <c r="D94" s="10"/>
      <c r="E94" s="10"/>
      <c r="F94" s="32"/>
      <c r="G94" s="15" t="str">
        <f t="shared" si="5"/>
        <v/>
      </c>
      <c r="H94" s="15" t="str">
        <f t="shared" si="6"/>
        <v/>
      </c>
      <c r="I94" s="17" t="str">
        <f t="shared" si="7"/>
        <v/>
      </c>
      <c r="J94" s="15" t="str">
        <f t="shared" si="8"/>
        <v/>
      </c>
      <c r="K94" s="19" t="str">
        <f t="shared" si="9"/>
        <v/>
      </c>
      <c r="L94" s="33"/>
      <c r="M94" s="15" t="str">
        <f>IF(B94="","",SUMIF($B$6:B93,B94,$I$6:I93))</f>
        <v/>
      </c>
      <c r="N94" s="15" t="str">
        <f>IF(B94="","",SUMIF($B$6:B93,B94,$H$6:H93))</f>
        <v/>
      </c>
      <c r="O94" s="15" t="str">
        <f>IF(B94="","",COUNTIFS($B$6:B93,B94,$K$6:K93,"&lt;&gt;已记录"))</f>
        <v/>
      </c>
      <c r="P94" s="34"/>
    </row>
    <row r="95" spans="1:16" ht="21.75" customHeight="1">
      <c r="A95" s="16"/>
      <c r="B95" s="30"/>
      <c r="C95" s="31"/>
      <c r="D95" s="10"/>
      <c r="E95" s="10"/>
      <c r="F95" s="32"/>
      <c r="G95" s="15" t="str">
        <f t="shared" si="5"/>
        <v/>
      </c>
      <c r="H95" s="15" t="str">
        <f t="shared" si="6"/>
        <v/>
      </c>
      <c r="I95" s="17" t="str">
        <f t="shared" si="7"/>
        <v/>
      </c>
      <c r="J95" s="15" t="str">
        <f t="shared" si="8"/>
        <v/>
      </c>
      <c r="K95" s="19" t="str">
        <f t="shared" si="9"/>
        <v/>
      </c>
      <c r="L95" s="33"/>
      <c r="M95" s="15" t="str">
        <f>IF(B95="","",SUMIF($B$6:B94,B95,$I$6:I94))</f>
        <v/>
      </c>
      <c r="N95" s="15" t="str">
        <f>IF(B95="","",SUMIF($B$6:B94,B95,$H$6:H94))</f>
        <v/>
      </c>
      <c r="O95" s="15" t="str">
        <f>IF(B95="","",COUNTIFS($B$6:B94,B95,$K$6:K94,"&lt;&gt;已记录"))</f>
        <v/>
      </c>
      <c r="P95" s="34"/>
    </row>
    <row r="96" spans="1:16" ht="21.75" customHeight="1">
      <c r="A96" s="16"/>
      <c r="B96" s="30"/>
      <c r="C96" s="31"/>
      <c r="D96" s="10"/>
      <c r="E96" s="10"/>
      <c r="F96" s="32"/>
      <c r="G96" s="15" t="str">
        <f t="shared" si="5"/>
        <v/>
      </c>
      <c r="H96" s="15" t="str">
        <f t="shared" si="6"/>
        <v/>
      </c>
      <c r="I96" s="17" t="str">
        <f t="shared" si="7"/>
        <v/>
      </c>
      <c r="J96" s="15" t="str">
        <f t="shared" si="8"/>
        <v/>
      </c>
      <c r="K96" s="19" t="str">
        <f t="shared" si="9"/>
        <v/>
      </c>
      <c r="L96" s="33"/>
      <c r="M96" s="15" t="str">
        <f>IF(B96="","",SUMIF($B$6:B95,B96,$I$6:I95))</f>
        <v/>
      </c>
      <c r="N96" s="15" t="str">
        <f>IF(B96="","",SUMIF($B$6:B95,B96,$H$6:H95))</f>
        <v/>
      </c>
      <c r="O96" s="15" t="str">
        <f>IF(B96="","",COUNTIFS($B$6:B95,B96,$K$6:K95,"&lt;&gt;已记录"))</f>
        <v/>
      </c>
      <c r="P96" s="34"/>
    </row>
    <row r="97" spans="1:16" ht="21.75" customHeight="1">
      <c r="A97" s="16"/>
      <c r="B97" s="30"/>
      <c r="C97" s="31"/>
      <c r="D97" s="10"/>
      <c r="E97" s="10"/>
      <c r="F97" s="32"/>
      <c r="G97" s="15" t="str">
        <f t="shared" si="5"/>
        <v/>
      </c>
      <c r="H97" s="15" t="str">
        <f t="shared" si="6"/>
        <v/>
      </c>
      <c r="I97" s="17" t="str">
        <f t="shared" si="7"/>
        <v/>
      </c>
      <c r="J97" s="15" t="str">
        <f t="shared" si="8"/>
        <v/>
      </c>
      <c r="K97" s="19" t="str">
        <f t="shared" si="9"/>
        <v/>
      </c>
      <c r="L97" s="33"/>
      <c r="M97" s="15" t="str">
        <f>IF(B97="","",SUMIF($B$6:B96,B97,$I$6:I96))</f>
        <v/>
      </c>
      <c r="N97" s="15" t="str">
        <f>IF(B97="","",SUMIF($B$6:B96,B97,$H$6:H96))</f>
        <v/>
      </c>
      <c r="O97" s="15" t="str">
        <f>IF(B97="","",COUNTIFS($B$6:B96,B97,$K$6:K96,"&lt;&gt;已记录"))</f>
        <v/>
      </c>
      <c r="P97" s="34"/>
    </row>
    <row r="98" spans="1:16" ht="21.75" customHeight="1">
      <c r="A98" s="16"/>
      <c r="B98" s="30"/>
      <c r="C98" s="31"/>
      <c r="D98" s="10"/>
      <c r="E98" s="10"/>
      <c r="F98" s="32"/>
      <c r="G98" s="15" t="str">
        <f t="shared" si="5"/>
        <v/>
      </c>
      <c r="H98" s="15" t="str">
        <f t="shared" si="6"/>
        <v/>
      </c>
      <c r="I98" s="17" t="str">
        <f t="shared" si="7"/>
        <v/>
      </c>
      <c r="J98" s="15" t="str">
        <f t="shared" si="8"/>
        <v/>
      </c>
      <c r="K98" s="19" t="str">
        <f t="shared" si="9"/>
        <v/>
      </c>
      <c r="L98" s="33"/>
      <c r="M98" s="15" t="str">
        <f>IF(B98="","",SUMIF($B$6:B97,B98,$I$6:I97))</f>
        <v/>
      </c>
      <c r="N98" s="15" t="str">
        <f>IF(B98="","",SUMIF($B$6:B97,B98,$H$6:H97))</f>
        <v/>
      </c>
      <c r="O98" s="15" t="str">
        <f>IF(B98="","",COUNTIFS($B$6:B97,B98,$K$6:K97,"&lt;&gt;已记录"))</f>
        <v/>
      </c>
      <c r="P98" s="34"/>
    </row>
    <row r="99" spans="1:16" ht="21.75" customHeight="1">
      <c r="A99" s="16"/>
      <c r="B99" s="30"/>
      <c r="C99" s="31"/>
      <c r="D99" s="10"/>
      <c r="E99" s="10"/>
      <c r="F99" s="32"/>
      <c r="G99" s="15" t="str">
        <f t="shared" si="5"/>
        <v/>
      </c>
      <c r="H99" s="15" t="str">
        <f t="shared" si="6"/>
        <v/>
      </c>
      <c r="I99" s="17" t="str">
        <f t="shared" si="7"/>
        <v/>
      </c>
      <c r="J99" s="15" t="str">
        <f t="shared" si="8"/>
        <v/>
      </c>
      <c r="K99" s="19" t="str">
        <f t="shared" si="9"/>
        <v/>
      </c>
      <c r="L99" s="33"/>
      <c r="M99" s="15" t="str">
        <f>IF(B99="","",SUMIF($B$6:B98,B99,$I$6:I98))</f>
        <v/>
      </c>
      <c r="N99" s="15" t="str">
        <f>IF(B99="","",SUMIF($B$6:B98,B99,$H$6:H98))</f>
        <v/>
      </c>
      <c r="O99" s="15" t="str">
        <f>IF(B99="","",COUNTIFS($B$6:B98,B99,$K$6:K98,"&lt;&gt;已记录"))</f>
        <v/>
      </c>
      <c r="P99" s="34"/>
    </row>
    <row r="100" spans="1:16" ht="21.75" customHeight="1">
      <c r="A100" s="16"/>
      <c r="B100" s="30"/>
      <c r="C100" s="31"/>
      <c r="D100" s="10"/>
      <c r="E100" s="10"/>
      <c r="F100" s="32"/>
      <c r="G100" s="15" t="str">
        <f t="shared" si="5"/>
        <v/>
      </c>
      <c r="H100" s="15" t="str">
        <f t="shared" si="6"/>
        <v/>
      </c>
      <c r="I100" s="17" t="str">
        <f t="shared" si="7"/>
        <v/>
      </c>
      <c r="J100" s="15" t="str">
        <f t="shared" si="8"/>
        <v/>
      </c>
      <c r="K100" s="19" t="str">
        <f t="shared" si="9"/>
        <v/>
      </c>
      <c r="L100" s="33"/>
      <c r="M100" s="15" t="str">
        <f>IF(B100="","",SUMIF($B$6:B99,B100,$I$6:I99))</f>
        <v/>
      </c>
      <c r="N100" s="15" t="str">
        <f>IF(B100="","",SUMIF($B$6:B99,B100,$H$6:H99))</f>
        <v/>
      </c>
      <c r="O100" s="15" t="str">
        <f>IF(B100="","",COUNTIFS($B$6:B99,B100,$K$6:K99,"&lt;&gt;已记录"))</f>
        <v/>
      </c>
      <c r="P100" s="34"/>
    </row>
    <row r="101" spans="1:16" ht="21.75" customHeight="1">
      <c r="A101" s="16"/>
      <c r="B101" s="30"/>
      <c r="C101" s="31"/>
      <c r="D101" s="10"/>
      <c r="E101" s="10"/>
      <c r="F101" s="32"/>
      <c r="G101" s="15" t="str">
        <f t="shared" si="5"/>
        <v/>
      </c>
      <c r="H101" s="15" t="str">
        <f t="shared" si="6"/>
        <v/>
      </c>
      <c r="I101" s="17" t="str">
        <f t="shared" si="7"/>
        <v/>
      </c>
      <c r="J101" s="15" t="str">
        <f t="shared" si="8"/>
        <v/>
      </c>
      <c r="K101" s="19" t="str">
        <f t="shared" si="9"/>
        <v/>
      </c>
      <c r="L101" s="33"/>
      <c r="M101" s="15" t="str">
        <f>IF(B101="","",SUMIF($B$6:B100,B101,$I$6:I100))</f>
        <v/>
      </c>
      <c r="N101" s="15" t="str">
        <f>IF(B101="","",SUMIF($B$6:B100,B101,$H$6:H100))</f>
        <v/>
      </c>
      <c r="O101" s="15" t="str">
        <f>IF(B101="","",COUNTIFS($B$6:B100,B101,$K$6:K100,"&lt;&gt;已记录"))</f>
        <v/>
      </c>
      <c r="P101" s="34"/>
    </row>
    <row r="102" spans="1:16" ht="21.75" customHeight="1">
      <c r="A102" s="16"/>
      <c r="B102" s="30"/>
      <c r="C102" s="31"/>
      <c r="D102" s="10"/>
      <c r="E102" s="10"/>
      <c r="F102" s="32"/>
      <c r="G102" s="15" t="str">
        <f t="shared" si="5"/>
        <v/>
      </c>
      <c r="H102" s="15" t="str">
        <f t="shared" si="6"/>
        <v/>
      </c>
      <c r="I102" s="17" t="str">
        <f t="shared" si="7"/>
        <v/>
      </c>
      <c r="J102" s="15" t="str">
        <f t="shared" si="8"/>
        <v/>
      </c>
      <c r="K102" s="19" t="str">
        <f t="shared" si="9"/>
        <v/>
      </c>
      <c r="L102" s="33"/>
      <c r="M102" s="15" t="str">
        <f>IF(B102="","",SUMIF($B$6:B101,B102,$I$6:I101))</f>
        <v/>
      </c>
      <c r="N102" s="15" t="str">
        <f>IF(B102="","",SUMIF($B$6:B101,B102,$H$6:H101))</f>
        <v/>
      </c>
      <c r="O102" s="15" t="str">
        <f>IF(B102="","",COUNTIFS($B$6:B101,B102,$K$6:K101,"&lt;&gt;已记录"))</f>
        <v/>
      </c>
      <c r="P102" s="34"/>
    </row>
    <row r="103" spans="1:16" ht="21.75" customHeight="1">
      <c r="A103" s="16"/>
      <c r="B103" s="30"/>
      <c r="C103" s="31"/>
      <c r="D103" s="10"/>
      <c r="E103" s="10"/>
      <c r="F103" s="32"/>
      <c r="G103" s="15" t="str">
        <f t="shared" si="5"/>
        <v/>
      </c>
      <c r="H103" s="15" t="str">
        <f t="shared" si="6"/>
        <v/>
      </c>
      <c r="I103" s="17" t="str">
        <f t="shared" si="7"/>
        <v/>
      </c>
      <c r="J103" s="15" t="str">
        <f t="shared" si="8"/>
        <v/>
      </c>
      <c r="K103" s="19" t="str">
        <f t="shared" si="9"/>
        <v/>
      </c>
      <c r="L103" s="33"/>
      <c r="M103" s="15" t="str">
        <f>IF(B103="","",SUMIF($B$6:B102,B103,$I$6:I102))</f>
        <v/>
      </c>
      <c r="N103" s="15" t="str">
        <f>IF(B103="","",SUMIF($B$6:B102,B103,$H$6:H102))</f>
        <v/>
      </c>
      <c r="O103" s="15" t="str">
        <f>IF(B103="","",COUNTIFS($B$6:B102,B103,$K$6:K102,"&lt;&gt;已记录"))</f>
        <v/>
      </c>
      <c r="P103" s="34"/>
    </row>
    <row r="104" spans="1:16" ht="21.75" customHeight="1">
      <c r="A104" s="16"/>
      <c r="B104" s="30"/>
      <c r="C104" s="31"/>
      <c r="D104" s="10"/>
      <c r="E104" s="10"/>
      <c r="F104" s="32"/>
      <c r="G104" s="15" t="str">
        <f t="shared" si="5"/>
        <v/>
      </c>
      <c r="H104" s="15" t="str">
        <f t="shared" si="6"/>
        <v/>
      </c>
      <c r="I104" s="17" t="str">
        <f t="shared" si="7"/>
        <v/>
      </c>
      <c r="J104" s="15" t="str">
        <f t="shared" si="8"/>
        <v/>
      </c>
      <c r="K104" s="19" t="str">
        <f t="shared" si="9"/>
        <v/>
      </c>
      <c r="L104" s="33"/>
      <c r="M104" s="15" t="str">
        <f>IF(B104="","",SUMIF($B$6:B103,B104,$I$6:I103))</f>
        <v/>
      </c>
      <c r="N104" s="15" t="str">
        <f>IF(B104="","",SUMIF($B$6:B103,B104,$H$6:H103))</f>
        <v/>
      </c>
      <c r="O104" s="15" t="str">
        <f>IF(B104="","",COUNTIFS($B$6:B103,B104,$K$6:K103,"&lt;&gt;已记录"))</f>
        <v/>
      </c>
      <c r="P104" s="34"/>
    </row>
    <row r="105" spans="1:16" ht="21.75" customHeight="1">
      <c r="A105" s="16"/>
      <c r="B105" s="30"/>
      <c r="C105" s="31"/>
      <c r="D105" s="10"/>
      <c r="E105" s="10"/>
      <c r="F105" s="32"/>
      <c r="G105" s="15" t="str">
        <f t="shared" si="5"/>
        <v/>
      </c>
      <c r="H105" s="15" t="str">
        <f t="shared" si="6"/>
        <v/>
      </c>
      <c r="I105" s="17" t="str">
        <f t="shared" si="7"/>
        <v/>
      </c>
      <c r="J105" s="15" t="str">
        <f t="shared" si="8"/>
        <v/>
      </c>
      <c r="K105" s="19" t="str">
        <f t="shared" si="9"/>
        <v/>
      </c>
      <c r="L105" s="33"/>
      <c r="M105" s="15" t="str">
        <f>IF(B105="","",SUMIF($B$6:B104,B105,$I$6:I104))</f>
        <v/>
      </c>
      <c r="N105" s="15" t="str">
        <f>IF(B105="","",SUMIF($B$6:B104,B105,$H$6:H104))</f>
        <v/>
      </c>
      <c r="O105" s="15" t="str">
        <f>IF(B105="","",COUNTIFS($B$6:B104,B105,$K$6:K104,"&lt;&gt;已记录"))</f>
        <v/>
      </c>
      <c r="P105" s="34"/>
    </row>
    <row r="106" spans="1:16" ht="21.75" customHeight="1">
      <c r="A106" s="16"/>
      <c r="B106" s="30"/>
      <c r="C106" s="31"/>
      <c r="D106" s="10"/>
      <c r="E106" s="10"/>
      <c r="F106" s="32"/>
      <c r="G106" s="15" t="str">
        <f t="shared" si="5"/>
        <v/>
      </c>
      <c r="H106" s="15" t="str">
        <f t="shared" si="6"/>
        <v/>
      </c>
      <c r="I106" s="17" t="str">
        <f t="shared" si="7"/>
        <v/>
      </c>
      <c r="J106" s="15" t="str">
        <f t="shared" si="8"/>
        <v/>
      </c>
      <c r="K106" s="19" t="str">
        <f t="shared" si="9"/>
        <v/>
      </c>
      <c r="L106" s="33"/>
      <c r="M106" s="15" t="str">
        <f>IF(B106="","",SUMIF($B$6:B105,B106,$I$6:I105))</f>
        <v/>
      </c>
      <c r="N106" s="15" t="str">
        <f>IF(B106="","",SUMIF($B$6:B105,B106,$H$6:H105))</f>
        <v/>
      </c>
      <c r="O106" s="15" t="str">
        <f>IF(B106="","",COUNTIFS($B$6:B105,B106,$K$6:K105,"&lt;&gt;已记录"))</f>
        <v/>
      </c>
      <c r="P106" s="34"/>
    </row>
    <row r="107" spans="1:16" ht="21.75" customHeight="1">
      <c r="A107" s="16"/>
      <c r="B107" s="30"/>
      <c r="C107" s="31"/>
      <c r="D107" s="10"/>
      <c r="E107" s="10"/>
      <c r="F107" s="32"/>
      <c r="G107" s="15" t="str">
        <f t="shared" si="5"/>
        <v/>
      </c>
      <c r="H107" s="15" t="str">
        <f t="shared" si="6"/>
        <v/>
      </c>
      <c r="I107" s="17" t="str">
        <f t="shared" si="7"/>
        <v/>
      </c>
      <c r="J107" s="15" t="str">
        <f t="shared" si="8"/>
        <v/>
      </c>
      <c r="K107" s="19" t="str">
        <f t="shared" si="9"/>
        <v/>
      </c>
      <c r="L107" s="33"/>
      <c r="M107" s="15" t="str">
        <f>IF(B107="","",SUMIF($B$6:B106,B107,$I$6:I106))</f>
        <v/>
      </c>
      <c r="N107" s="15" t="str">
        <f>IF(B107="","",SUMIF($B$6:B106,B107,$H$6:H106))</f>
        <v/>
      </c>
      <c r="O107" s="15" t="str">
        <f>IF(B107="","",COUNTIFS($B$6:B106,B107,$K$6:K106,"&lt;&gt;已记录"))</f>
        <v/>
      </c>
      <c r="P107" s="34"/>
    </row>
    <row r="108" spans="1:16" ht="21.75" customHeight="1">
      <c r="A108" s="16"/>
      <c r="B108" s="30"/>
      <c r="C108" s="31"/>
      <c r="D108" s="10"/>
      <c r="E108" s="10"/>
      <c r="F108" s="32"/>
      <c r="G108" s="15" t="str">
        <f t="shared" si="5"/>
        <v/>
      </c>
      <c r="H108" s="15" t="str">
        <f t="shared" si="6"/>
        <v/>
      </c>
      <c r="I108" s="17" t="str">
        <f t="shared" si="7"/>
        <v/>
      </c>
      <c r="J108" s="15" t="str">
        <f t="shared" si="8"/>
        <v/>
      </c>
      <c r="K108" s="19" t="str">
        <f t="shared" si="9"/>
        <v/>
      </c>
      <c r="L108" s="33"/>
      <c r="M108" s="15" t="str">
        <f>IF(B108="","",SUMIF($B$6:B107,B108,$I$6:I107))</f>
        <v/>
      </c>
      <c r="N108" s="15" t="str">
        <f>IF(B108="","",SUMIF($B$6:B107,B108,$H$6:H107))</f>
        <v/>
      </c>
      <c r="O108" s="15" t="str">
        <f>IF(B108="","",COUNTIFS($B$6:B107,B108,$K$6:K107,"&lt;&gt;已记录"))</f>
        <v/>
      </c>
      <c r="P108" s="34"/>
    </row>
    <row r="109" spans="1:16" ht="21.75" customHeight="1">
      <c r="A109" s="16"/>
      <c r="B109" s="30"/>
      <c r="C109" s="31"/>
      <c r="D109" s="10"/>
      <c r="E109" s="10"/>
      <c r="F109" s="32"/>
      <c r="G109" s="15" t="str">
        <f t="shared" si="5"/>
        <v/>
      </c>
      <c r="H109" s="15" t="str">
        <f t="shared" si="6"/>
        <v/>
      </c>
      <c r="I109" s="17" t="str">
        <f t="shared" si="7"/>
        <v/>
      </c>
      <c r="J109" s="15" t="str">
        <f t="shared" si="8"/>
        <v/>
      </c>
      <c r="K109" s="19" t="str">
        <f t="shared" si="9"/>
        <v/>
      </c>
      <c r="L109" s="33"/>
      <c r="M109" s="15" t="str">
        <f>IF(B109="","",SUMIF($B$6:B108,B109,$I$6:I108))</f>
        <v/>
      </c>
      <c r="N109" s="15" t="str">
        <f>IF(B109="","",SUMIF($B$6:B108,B109,$H$6:H108))</f>
        <v/>
      </c>
      <c r="O109" s="15" t="str">
        <f>IF(B109="","",COUNTIFS($B$6:B108,B109,$K$6:K108,"&lt;&gt;已记录"))</f>
        <v/>
      </c>
      <c r="P109" s="34"/>
    </row>
    <row r="110" spans="1:16" ht="21.75" customHeight="1">
      <c r="A110" s="16"/>
      <c r="B110" s="30"/>
      <c r="C110" s="31"/>
      <c r="D110" s="10"/>
      <c r="E110" s="10"/>
      <c r="F110" s="32"/>
      <c r="G110" s="15" t="str">
        <f t="shared" si="5"/>
        <v/>
      </c>
      <c r="H110" s="15" t="str">
        <f t="shared" si="6"/>
        <v/>
      </c>
      <c r="I110" s="17" t="str">
        <f t="shared" si="7"/>
        <v/>
      </c>
      <c r="J110" s="15" t="str">
        <f t="shared" si="8"/>
        <v/>
      </c>
      <c r="K110" s="19" t="str">
        <f t="shared" si="9"/>
        <v/>
      </c>
      <c r="L110" s="33"/>
      <c r="M110" s="15" t="str">
        <f>IF(B110="","",SUMIF($B$6:B109,B110,$I$6:I109))</f>
        <v/>
      </c>
      <c r="N110" s="15" t="str">
        <f>IF(B110="","",SUMIF($B$6:B109,B110,$H$6:H109))</f>
        <v/>
      </c>
      <c r="O110" s="15" t="str">
        <f>IF(B110="","",COUNTIFS($B$6:B109,B110,$K$6:K109,"&lt;&gt;已记录"))</f>
        <v/>
      </c>
      <c r="P110" s="34"/>
    </row>
    <row r="111" spans="1:16" ht="21.75" customHeight="1">
      <c r="A111" s="16"/>
      <c r="B111" s="30"/>
      <c r="C111" s="31"/>
      <c r="D111" s="10"/>
      <c r="E111" s="10"/>
      <c r="F111" s="32"/>
      <c r="G111" s="15" t="str">
        <f t="shared" si="5"/>
        <v/>
      </c>
      <c r="H111" s="15" t="str">
        <f t="shared" si="6"/>
        <v/>
      </c>
      <c r="I111" s="17" t="str">
        <f t="shared" si="7"/>
        <v/>
      </c>
      <c r="J111" s="15" t="str">
        <f t="shared" si="8"/>
        <v/>
      </c>
      <c r="K111" s="19" t="str">
        <f t="shared" si="9"/>
        <v/>
      </c>
      <c r="L111" s="33"/>
      <c r="M111" s="15" t="str">
        <f>IF(B111="","",SUMIF($B$6:B110,B111,$I$6:I110))</f>
        <v/>
      </c>
      <c r="N111" s="15" t="str">
        <f>IF(B111="","",SUMIF($B$6:B110,B111,$H$6:H110))</f>
        <v/>
      </c>
      <c r="O111" s="15" t="str">
        <f>IF(B111="","",COUNTIFS($B$6:B110,B111,$K$6:K110,"&lt;&gt;已记录"))</f>
        <v/>
      </c>
      <c r="P111" s="34"/>
    </row>
    <row r="112" spans="1:16" ht="21.75" customHeight="1">
      <c r="A112" s="16"/>
      <c r="B112" s="30"/>
      <c r="C112" s="31"/>
      <c r="D112" s="10"/>
      <c r="E112" s="10"/>
      <c r="F112" s="32"/>
      <c r="G112" s="15" t="str">
        <f t="shared" si="5"/>
        <v/>
      </c>
      <c r="H112" s="15" t="str">
        <f t="shared" si="6"/>
        <v/>
      </c>
      <c r="I112" s="17" t="str">
        <f t="shared" si="7"/>
        <v/>
      </c>
      <c r="J112" s="15" t="str">
        <f t="shared" si="8"/>
        <v/>
      </c>
      <c r="K112" s="19" t="str">
        <f t="shared" si="9"/>
        <v/>
      </c>
      <c r="L112" s="33"/>
      <c r="M112" s="15" t="str">
        <f>IF(B112="","",SUMIF($B$6:B111,B112,$I$6:I111))</f>
        <v/>
      </c>
      <c r="N112" s="15" t="str">
        <f>IF(B112="","",SUMIF($B$6:B111,B112,$H$6:H111))</f>
        <v/>
      </c>
      <c r="O112" s="15" t="str">
        <f>IF(B112="","",COUNTIFS($B$6:B111,B112,$K$6:K111,"&lt;&gt;已记录"))</f>
        <v/>
      </c>
      <c r="P112" s="34"/>
    </row>
    <row r="113" spans="1:16" ht="21.75" customHeight="1">
      <c r="A113" s="16"/>
      <c r="B113" s="30"/>
      <c r="C113" s="31"/>
      <c r="D113" s="10"/>
      <c r="E113" s="10"/>
      <c r="F113" s="32"/>
      <c r="G113" s="15" t="str">
        <f t="shared" si="5"/>
        <v/>
      </c>
      <c r="H113" s="15" t="str">
        <f t="shared" si="6"/>
        <v/>
      </c>
      <c r="I113" s="17" t="str">
        <f t="shared" si="7"/>
        <v/>
      </c>
      <c r="J113" s="15" t="str">
        <f t="shared" si="8"/>
        <v/>
      </c>
      <c r="K113" s="19" t="str">
        <f t="shared" si="9"/>
        <v/>
      </c>
      <c r="L113" s="33"/>
      <c r="M113" s="15" t="str">
        <f>IF(B113="","",SUMIF($B$6:B112,B113,$I$6:I112))</f>
        <v/>
      </c>
      <c r="N113" s="15" t="str">
        <f>IF(B113="","",SUMIF($B$6:B112,B113,$H$6:H112))</f>
        <v/>
      </c>
      <c r="O113" s="15" t="str">
        <f>IF(B113="","",COUNTIFS($B$6:B112,B113,$K$6:K112,"&lt;&gt;已记录"))</f>
        <v/>
      </c>
      <c r="P113" s="34"/>
    </row>
    <row r="114" spans="1:16" ht="21.75" customHeight="1">
      <c r="A114" s="16"/>
      <c r="B114" s="30"/>
      <c r="C114" s="31"/>
      <c r="D114" s="10"/>
      <c r="E114" s="10"/>
      <c r="F114" s="32"/>
      <c r="G114" s="15" t="str">
        <f t="shared" si="5"/>
        <v/>
      </c>
      <c r="H114" s="15" t="str">
        <f t="shared" si="6"/>
        <v/>
      </c>
      <c r="I114" s="17" t="str">
        <f t="shared" si="7"/>
        <v/>
      </c>
      <c r="J114" s="15" t="str">
        <f t="shared" si="8"/>
        <v/>
      </c>
      <c r="K114" s="19" t="str">
        <f t="shared" si="9"/>
        <v/>
      </c>
      <c r="L114" s="33"/>
      <c r="M114" s="15" t="str">
        <f>IF(B114="","",SUMIF($B$6:B113,B114,$I$6:I113))</f>
        <v/>
      </c>
      <c r="N114" s="15" t="str">
        <f>IF(B114="","",SUMIF($B$6:B113,B114,$H$6:H113))</f>
        <v/>
      </c>
      <c r="O114" s="15" t="str">
        <f>IF(B114="","",COUNTIFS($B$6:B113,B114,$K$6:K113,"&lt;&gt;已记录"))</f>
        <v/>
      </c>
      <c r="P114" s="34"/>
    </row>
    <row r="115" spans="1:16" ht="21.75" customHeight="1">
      <c r="A115" s="16"/>
      <c r="B115" s="30"/>
      <c r="C115" s="31"/>
      <c r="D115" s="10"/>
      <c r="E115" s="10"/>
      <c r="F115" s="32"/>
      <c r="G115" s="15" t="str">
        <f t="shared" si="5"/>
        <v/>
      </c>
      <c r="H115" s="15" t="str">
        <f t="shared" si="6"/>
        <v/>
      </c>
      <c r="I115" s="17" t="str">
        <f t="shared" si="7"/>
        <v/>
      </c>
      <c r="J115" s="15" t="str">
        <f t="shared" si="8"/>
        <v/>
      </c>
      <c r="K115" s="19" t="str">
        <f t="shared" si="9"/>
        <v/>
      </c>
      <c r="L115" s="33"/>
      <c r="M115" s="15" t="str">
        <f>IF(B115="","",SUMIF($B$6:B114,B115,$I$6:I114))</f>
        <v/>
      </c>
      <c r="N115" s="15" t="str">
        <f>IF(B115="","",SUMIF($B$6:B114,B115,$H$6:H114))</f>
        <v/>
      </c>
      <c r="O115" s="15" t="str">
        <f>IF(B115="","",COUNTIFS($B$6:B114,B115,$K$6:K114,"&lt;&gt;已记录"))</f>
        <v/>
      </c>
      <c r="P115" s="34"/>
    </row>
    <row r="116" spans="1:16" ht="21.75" customHeight="1">
      <c r="A116" s="16"/>
      <c r="B116" s="30"/>
      <c r="C116" s="31"/>
      <c r="D116" s="10"/>
      <c r="E116" s="10"/>
      <c r="F116" s="32"/>
      <c r="G116" s="15" t="str">
        <f t="shared" si="5"/>
        <v/>
      </c>
      <c r="H116" s="15" t="str">
        <f t="shared" si="6"/>
        <v/>
      </c>
      <c r="I116" s="17" t="str">
        <f t="shared" si="7"/>
        <v/>
      </c>
      <c r="J116" s="15" t="str">
        <f t="shared" si="8"/>
        <v/>
      </c>
      <c r="K116" s="19" t="str">
        <f t="shared" si="9"/>
        <v/>
      </c>
      <c r="L116" s="33"/>
      <c r="M116" s="15" t="str">
        <f>IF(B116="","",SUMIF($B$6:B115,B116,$I$6:I115))</f>
        <v/>
      </c>
      <c r="N116" s="15" t="str">
        <f>IF(B116="","",SUMIF($B$6:B115,B116,$H$6:H115))</f>
        <v/>
      </c>
      <c r="O116" s="15" t="str">
        <f>IF(B116="","",COUNTIFS($B$6:B115,B116,$K$6:K115,"&lt;&gt;已记录"))</f>
        <v/>
      </c>
      <c r="P116" s="34"/>
    </row>
    <row r="117" spans="1:16" ht="21.75" customHeight="1">
      <c r="A117" s="16"/>
      <c r="B117" s="30"/>
      <c r="C117" s="31"/>
      <c r="D117" s="10"/>
      <c r="E117" s="10"/>
      <c r="F117" s="32"/>
      <c r="G117" s="15" t="str">
        <f t="shared" si="5"/>
        <v/>
      </c>
      <c r="H117" s="15" t="str">
        <f t="shared" si="6"/>
        <v/>
      </c>
      <c r="I117" s="17" t="str">
        <f t="shared" si="7"/>
        <v/>
      </c>
      <c r="J117" s="15" t="str">
        <f t="shared" si="8"/>
        <v/>
      </c>
      <c r="K117" s="19" t="str">
        <f t="shared" si="9"/>
        <v/>
      </c>
      <c r="L117" s="33"/>
      <c r="M117" s="15" t="str">
        <f>IF(B117="","",SUMIF($B$6:B116,B117,$I$6:I116))</f>
        <v/>
      </c>
      <c r="N117" s="15" t="str">
        <f>IF(B117="","",SUMIF($B$6:B116,B117,$H$6:H116))</f>
        <v/>
      </c>
      <c r="O117" s="15" t="str">
        <f>IF(B117="","",COUNTIFS($B$6:B116,B117,$K$6:K116,"&lt;&gt;已记录"))</f>
        <v/>
      </c>
      <c r="P117" s="34"/>
    </row>
    <row r="118" spans="1:16" ht="21.75" customHeight="1">
      <c r="A118" s="16"/>
      <c r="B118" s="30"/>
      <c r="C118" s="31"/>
      <c r="D118" s="10"/>
      <c r="E118" s="10"/>
      <c r="F118" s="32"/>
      <c r="G118" s="15" t="str">
        <f t="shared" si="5"/>
        <v/>
      </c>
      <c r="H118" s="15" t="str">
        <f t="shared" si="6"/>
        <v/>
      </c>
      <c r="I118" s="17" t="str">
        <f t="shared" si="7"/>
        <v/>
      </c>
      <c r="J118" s="15" t="str">
        <f t="shared" si="8"/>
        <v/>
      </c>
      <c r="K118" s="19" t="str">
        <f t="shared" si="9"/>
        <v/>
      </c>
      <c r="L118" s="33"/>
      <c r="M118" s="15" t="str">
        <f>IF(B118="","",SUMIF($B$6:B117,B118,$I$6:I117))</f>
        <v/>
      </c>
      <c r="N118" s="15" t="str">
        <f>IF(B118="","",SUMIF($B$6:B117,B118,$H$6:H117))</f>
        <v/>
      </c>
      <c r="O118" s="15" t="str">
        <f>IF(B118="","",COUNTIFS($B$6:B117,B118,$K$6:K117,"&lt;&gt;已记录"))</f>
        <v/>
      </c>
      <c r="P118" s="34"/>
    </row>
    <row r="119" spans="1:16" ht="21.75" customHeight="1">
      <c r="A119" s="16"/>
      <c r="B119" s="30"/>
      <c r="C119" s="31"/>
      <c r="D119" s="10"/>
      <c r="E119" s="10"/>
      <c r="F119" s="32"/>
      <c r="G119" s="15" t="str">
        <f t="shared" si="5"/>
        <v/>
      </c>
      <c r="H119" s="15" t="str">
        <f t="shared" si="6"/>
        <v/>
      </c>
      <c r="I119" s="17" t="str">
        <f t="shared" si="7"/>
        <v/>
      </c>
      <c r="J119" s="15" t="str">
        <f t="shared" si="8"/>
        <v/>
      </c>
      <c r="K119" s="19" t="str">
        <f t="shared" si="9"/>
        <v/>
      </c>
      <c r="L119" s="33"/>
      <c r="M119" s="15" t="str">
        <f>IF(B119="","",SUMIF($B$6:B118,B119,$I$6:I118))</f>
        <v/>
      </c>
      <c r="N119" s="15" t="str">
        <f>IF(B119="","",SUMIF($B$6:B118,B119,$H$6:H118))</f>
        <v/>
      </c>
      <c r="O119" s="15" t="str">
        <f>IF(B119="","",COUNTIFS($B$6:B118,B119,$K$6:K118,"&lt;&gt;已记录"))</f>
        <v/>
      </c>
      <c r="P119" s="34"/>
    </row>
    <row r="120" spans="1:16" ht="21.75" customHeight="1">
      <c r="A120" s="16"/>
      <c r="B120" s="30"/>
      <c r="C120" s="31"/>
      <c r="D120" s="10"/>
      <c r="E120" s="10"/>
      <c r="F120" s="32"/>
      <c r="G120" s="15" t="str">
        <f t="shared" si="5"/>
        <v/>
      </c>
      <c r="H120" s="15" t="str">
        <f t="shared" si="6"/>
        <v/>
      </c>
      <c r="I120" s="17" t="str">
        <f t="shared" si="7"/>
        <v/>
      </c>
      <c r="J120" s="15" t="str">
        <f t="shared" si="8"/>
        <v/>
      </c>
      <c r="K120" s="19" t="str">
        <f t="shared" si="9"/>
        <v/>
      </c>
      <c r="L120" s="33"/>
      <c r="M120" s="15" t="str">
        <f>IF(B120="","",SUMIF($B$6:B119,B120,$I$6:I119))</f>
        <v/>
      </c>
      <c r="N120" s="15" t="str">
        <f>IF(B120="","",SUMIF($B$6:B119,B120,$H$6:H119))</f>
        <v/>
      </c>
      <c r="O120" s="15" t="str">
        <f>IF(B120="","",COUNTIFS($B$6:B119,B120,$K$6:K119,"&lt;&gt;已记录"))</f>
        <v/>
      </c>
      <c r="P120" s="34"/>
    </row>
    <row r="121" spans="1:16" ht="21.75" customHeight="1">
      <c r="A121" s="16"/>
      <c r="B121" s="30"/>
      <c r="C121" s="31"/>
      <c r="D121" s="10"/>
      <c r="E121" s="10"/>
      <c r="F121" s="32"/>
      <c r="G121" s="15" t="str">
        <f t="shared" si="5"/>
        <v/>
      </c>
      <c r="H121" s="15" t="str">
        <f t="shared" si="6"/>
        <v/>
      </c>
      <c r="I121" s="17" t="str">
        <f t="shared" si="7"/>
        <v/>
      </c>
      <c r="J121" s="15" t="str">
        <f t="shared" si="8"/>
        <v/>
      </c>
      <c r="K121" s="19" t="str">
        <f t="shared" si="9"/>
        <v/>
      </c>
      <c r="L121" s="33"/>
      <c r="M121" s="15" t="str">
        <f>IF(B121="","",SUMIF($B$6:B120,B121,$I$6:I120))</f>
        <v/>
      </c>
      <c r="N121" s="15" t="str">
        <f>IF(B121="","",SUMIF($B$6:B120,B121,$H$6:H120))</f>
        <v/>
      </c>
      <c r="O121" s="15" t="str">
        <f>IF(B121="","",COUNTIFS($B$6:B120,B121,$K$6:K120,"&lt;&gt;已记录"))</f>
        <v/>
      </c>
      <c r="P121" s="34"/>
    </row>
    <row r="122" spans="1:16" ht="21.75" customHeight="1">
      <c r="A122" s="16"/>
      <c r="B122" s="30"/>
      <c r="C122" s="31"/>
      <c r="D122" s="10"/>
      <c r="E122" s="10"/>
      <c r="F122" s="32"/>
      <c r="G122" s="15" t="str">
        <f t="shared" si="5"/>
        <v/>
      </c>
      <c r="H122" s="15" t="str">
        <f t="shared" si="6"/>
        <v/>
      </c>
      <c r="I122" s="17" t="str">
        <f t="shared" si="7"/>
        <v/>
      </c>
      <c r="J122" s="15" t="str">
        <f t="shared" si="8"/>
        <v/>
      </c>
      <c r="K122" s="19" t="str">
        <f t="shared" si="9"/>
        <v/>
      </c>
      <c r="L122" s="33"/>
      <c r="M122" s="15" t="str">
        <f>IF(B122="","",SUMIF($B$6:B121,B122,$I$6:I121))</f>
        <v/>
      </c>
      <c r="N122" s="15" t="str">
        <f>IF(B122="","",SUMIF($B$6:B121,B122,$H$6:H121))</f>
        <v/>
      </c>
      <c r="O122" s="15" t="str">
        <f>IF(B122="","",COUNTIFS($B$6:B121,B122,$K$6:K121,"&lt;&gt;已记录"))</f>
        <v/>
      </c>
      <c r="P122" s="34"/>
    </row>
    <row r="123" spans="1:16" ht="21.75" customHeight="1">
      <c r="A123" s="16"/>
      <c r="B123" s="30"/>
      <c r="C123" s="31"/>
      <c r="D123" s="10"/>
      <c r="E123" s="10"/>
      <c r="F123" s="32"/>
      <c r="G123" s="15" t="str">
        <f t="shared" si="5"/>
        <v/>
      </c>
      <c r="H123" s="15" t="str">
        <f t="shared" si="6"/>
        <v/>
      </c>
      <c r="I123" s="17" t="str">
        <f t="shared" si="7"/>
        <v/>
      </c>
      <c r="J123" s="15" t="str">
        <f t="shared" si="8"/>
        <v/>
      </c>
      <c r="K123" s="19" t="str">
        <f t="shared" si="9"/>
        <v/>
      </c>
      <c r="L123" s="33"/>
      <c r="M123" s="15" t="str">
        <f>IF(B123="","",SUMIF($B$6:B122,B123,$I$6:I122))</f>
        <v/>
      </c>
      <c r="N123" s="15" t="str">
        <f>IF(B123="","",SUMIF($B$6:B122,B123,$H$6:H122))</f>
        <v/>
      </c>
      <c r="O123" s="15" t="str">
        <f>IF(B123="","",COUNTIFS($B$6:B122,B123,$K$6:K122,"&lt;&gt;已记录"))</f>
        <v/>
      </c>
      <c r="P123" s="34"/>
    </row>
    <row r="124" spans="1:16" ht="21.75" customHeight="1">
      <c r="A124" s="16"/>
      <c r="B124" s="30"/>
      <c r="C124" s="31"/>
      <c r="D124" s="10"/>
      <c r="E124" s="10"/>
      <c r="F124" s="32"/>
      <c r="G124" s="15" t="str">
        <f t="shared" si="5"/>
        <v/>
      </c>
      <c r="H124" s="15" t="str">
        <f t="shared" si="6"/>
        <v/>
      </c>
      <c r="I124" s="17" t="str">
        <f t="shared" si="7"/>
        <v/>
      </c>
      <c r="J124" s="15" t="str">
        <f t="shared" si="8"/>
        <v/>
      </c>
      <c r="K124" s="19" t="str">
        <f t="shared" si="9"/>
        <v/>
      </c>
      <c r="L124" s="33"/>
      <c r="M124" s="15" t="str">
        <f>IF(B124="","",SUMIF($B$6:B123,B124,$I$6:I123))</f>
        <v/>
      </c>
      <c r="N124" s="15" t="str">
        <f>IF(B124="","",SUMIF($B$6:B123,B124,$H$6:H123))</f>
        <v/>
      </c>
      <c r="O124" s="15" t="str">
        <f>IF(B124="","",COUNTIFS($B$6:B123,B124,$K$6:K123,"&lt;&gt;已记录"))</f>
        <v/>
      </c>
      <c r="P124" s="34"/>
    </row>
    <row r="125" spans="1:16" ht="21.75" customHeight="1">
      <c r="A125" s="16"/>
      <c r="B125" s="30"/>
      <c r="C125" s="31"/>
      <c r="D125" s="10"/>
      <c r="E125" s="10"/>
      <c r="F125" s="32"/>
      <c r="G125" s="15" t="str">
        <f t="shared" si="5"/>
        <v/>
      </c>
      <c r="H125" s="15" t="str">
        <f t="shared" si="6"/>
        <v/>
      </c>
      <c r="I125" s="17" t="str">
        <f t="shared" si="7"/>
        <v/>
      </c>
      <c r="J125" s="15" t="str">
        <f t="shared" si="8"/>
        <v/>
      </c>
      <c r="K125" s="19" t="str">
        <f t="shared" si="9"/>
        <v/>
      </c>
      <c r="L125" s="33"/>
      <c r="M125" s="15" t="str">
        <f>IF(B125="","",SUMIF($B$6:B124,B125,$I$6:I124))</f>
        <v/>
      </c>
      <c r="N125" s="15" t="str">
        <f>IF(B125="","",SUMIF($B$6:B124,B125,$H$6:H124))</f>
        <v/>
      </c>
      <c r="O125" s="15" t="str">
        <f>IF(B125="","",COUNTIFS($B$6:B124,B125,$K$6:K124,"&lt;&gt;已记录"))</f>
        <v/>
      </c>
      <c r="P125" s="34"/>
    </row>
    <row r="126" spans="1:16" ht="21.75" customHeight="1">
      <c r="A126" s="16"/>
      <c r="B126" s="30"/>
      <c r="C126" s="31"/>
      <c r="D126" s="10"/>
      <c r="E126" s="10"/>
      <c r="F126" s="32"/>
      <c r="G126" s="15" t="str">
        <f t="shared" si="5"/>
        <v/>
      </c>
      <c r="H126" s="15" t="str">
        <f t="shared" si="6"/>
        <v/>
      </c>
      <c r="I126" s="17" t="str">
        <f t="shared" si="7"/>
        <v/>
      </c>
      <c r="J126" s="15" t="str">
        <f t="shared" si="8"/>
        <v/>
      </c>
      <c r="K126" s="19" t="str">
        <f t="shared" si="9"/>
        <v/>
      </c>
      <c r="L126" s="33"/>
      <c r="M126" s="15" t="str">
        <f>IF(B126="","",SUMIF($B$6:B125,B126,$I$6:I125))</f>
        <v/>
      </c>
      <c r="N126" s="15" t="str">
        <f>IF(B126="","",SUMIF($B$6:B125,B126,$H$6:H125))</f>
        <v/>
      </c>
      <c r="O126" s="15" t="str">
        <f>IF(B126="","",COUNTIFS($B$6:B125,B126,$K$6:K125,"&lt;&gt;已记录"))</f>
        <v/>
      </c>
      <c r="P126" s="34"/>
    </row>
    <row r="127" spans="1:16" ht="21.75" customHeight="1">
      <c r="A127" s="16"/>
      <c r="B127" s="30"/>
      <c r="C127" s="31"/>
      <c r="D127" s="10"/>
      <c r="E127" s="10"/>
      <c r="F127" s="32"/>
      <c r="G127" s="15" t="str">
        <f t="shared" si="5"/>
        <v/>
      </c>
      <c r="H127" s="15" t="str">
        <f t="shared" si="6"/>
        <v/>
      </c>
      <c r="I127" s="17" t="str">
        <f t="shared" si="7"/>
        <v/>
      </c>
      <c r="J127" s="15" t="str">
        <f t="shared" si="8"/>
        <v/>
      </c>
      <c r="K127" s="19" t="str">
        <f t="shared" si="9"/>
        <v/>
      </c>
      <c r="L127" s="33"/>
      <c r="M127" s="15" t="str">
        <f>IF(B127="","",SUMIF($B$6:B126,B127,$I$6:I126))</f>
        <v/>
      </c>
      <c r="N127" s="15" t="str">
        <f>IF(B127="","",SUMIF($B$6:B126,B127,$H$6:H126))</f>
        <v/>
      </c>
      <c r="O127" s="15" t="str">
        <f>IF(B127="","",COUNTIFS($B$6:B126,B127,$K$6:K126,"&lt;&gt;已记录"))</f>
        <v/>
      </c>
      <c r="P127" s="34"/>
    </row>
    <row r="128" spans="1:16" ht="21.75" customHeight="1">
      <c r="A128" s="16"/>
      <c r="B128" s="30"/>
      <c r="C128" s="31"/>
      <c r="D128" s="10"/>
      <c r="E128" s="10"/>
      <c r="F128" s="32"/>
      <c r="G128" s="15" t="str">
        <f t="shared" si="5"/>
        <v/>
      </c>
      <c r="H128" s="15" t="str">
        <f t="shared" si="6"/>
        <v/>
      </c>
      <c r="I128" s="17" t="str">
        <f t="shared" si="7"/>
        <v/>
      </c>
      <c r="J128" s="15" t="str">
        <f t="shared" si="8"/>
        <v/>
      </c>
      <c r="K128" s="19" t="str">
        <f t="shared" si="9"/>
        <v/>
      </c>
      <c r="L128" s="33"/>
      <c r="M128" s="15" t="str">
        <f>IF(B128="","",SUMIF($B$6:B127,B128,$I$6:I127))</f>
        <v/>
      </c>
      <c r="N128" s="15" t="str">
        <f>IF(B128="","",SUMIF($B$6:B127,B128,$H$6:H127))</f>
        <v/>
      </c>
      <c r="O128" s="15" t="str">
        <f>IF(B128="","",COUNTIFS($B$6:B127,B128,$K$6:K127,"&lt;&gt;已记录"))</f>
        <v/>
      </c>
      <c r="P128" s="34"/>
    </row>
    <row r="129" spans="1:16" ht="21.75" customHeight="1">
      <c r="A129" s="16"/>
      <c r="B129" s="30"/>
      <c r="C129" s="31"/>
      <c r="D129" s="10"/>
      <c r="E129" s="10"/>
      <c r="F129" s="32"/>
      <c r="G129" s="15" t="str">
        <f t="shared" si="5"/>
        <v/>
      </c>
      <c r="H129" s="15" t="str">
        <f t="shared" si="6"/>
        <v/>
      </c>
      <c r="I129" s="17" t="str">
        <f t="shared" si="7"/>
        <v/>
      </c>
      <c r="J129" s="15" t="str">
        <f t="shared" si="8"/>
        <v/>
      </c>
      <c r="K129" s="19" t="str">
        <f t="shared" si="9"/>
        <v/>
      </c>
      <c r="L129" s="33"/>
      <c r="M129" s="15" t="str">
        <f>IF(B129="","",SUMIF($B$6:B128,B129,$I$6:I128))</f>
        <v/>
      </c>
      <c r="N129" s="15" t="str">
        <f>IF(B129="","",SUMIF($B$6:B128,B129,$H$6:H128))</f>
        <v/>
      </c>
      <c r="O129" s="15" t="str">
        <f>IF(B129="","",COUNTIFS($B$6:B128,B129,$K$6:K128,"&lt;&gt;已记录"))</f>
        <v/>
      </c>
      <c r="P129" s="34"/>
    </row>
    <row r="130" spans="1:16" ht="21.75" customHeight="1">
      <c r="A130" s="16"/>
      <c r="B130" s="30"/>
      <c r="C130" s="31"/>
      <c r="D130" s="10"/>
      <c r="E130" s="10"/>
      <c r="F130" s="32"/>
      <c r="G130" s="15" t="str">
        <f t="shared" si="5"/>
        <v/>
      </c>
      <c r="H130" s="15" t="str">
        <f t="shared" si="6"/>
        <v/>
      </c>
      <c r="I130" s="17" t="str">
        <f t="shared" si="7"/>
        <v/>
      </c>
      <c r="J130" s="15" t="str">
        <f t="shared" si="8"/>
        <v/>
      </c>
      <c r="K130" s="19" t="str">
        <f t="shared" si="9"/>
        <v/>
      </c>
      <c r="L130" s="33"/>
      <c r="M130" s="15" t="str">
        <f>IF(B130="","",SUMIF($B$6:B129,B130,$I$6:I129))</f>
        <v/>
      </c>
      <c r="N130" s="15" t="str">
        <f>IF(B130="","",SUMIF($B$6:B129,B130,$H$6:H129))</f>
        <v/>
      </c>
      <c r="O130" s="15" t="str">
        <f>IF(B130="","",COUNTIFS($B$6:B129,B130,$K$6:K129,"&lt;&gt;已记录"))</f>
        <v/>
      </c>
      <c r="P130" s="34"/>
    </row>
    <row r="131" spans="1:16" ht="21.75" customHeight="1">
      <c r="A131" s="16"/>
      <c r="B131" s="30"/>
      <c r="C131" s="31"/>
      <c r="D131" s="10"/>
      <c r="E131" s="10"/>
      <c r="F131" s="32"/>
      <c r="G131" s="15" t="str">
        <f t="shared" si="5"/>
        <v/>
      </c>
      <c r="H131" s="15" t="str">
        <f t="shared" si="6"/>
        <v/>
      </c>
      <c r="I131" s="17" t="str">
        <f t="shared" si="7"/>
        <v/>
      </c>
      <c r="J131" s="15" t="str">
        <f t="shared" si="8"/>
        <v/>
      </c>
      <c r="K131" s="19" t="str">
        <f t="shared" si="9"/>
        <v/>
      </c>
      <c r="L131" s="33"/>
      <c r="M131" s="15" t="str">
        <f>IF(B131="","",SUMIF($B$6:B130,B131,$I$6:I130))</f>
        <v/>
      </c>
      <c r="N131" s="15" t="str">
        <f>IF(B131="","",SUMIF($B$6:B130,B131,$H$6:H130))</f>
        <v/>
      </c>
      <c r="O131" s="15" t="str">
        <f>IF(B131="","",COUNTIFS($B$6:B130,B131,$K$6:K130,"&lt;&gt;已记录"))</f>
        <v/>
      </c>
      <c r="P131" s="34"/>
    </row>
    <row r="132" spans="1:16" ht="21.75" customHeight="1">
      <c r="A132" s="16"/>
      <c r="B132" s="30"/>
      <c r="C132" s="31"/>
      <c r="D132" s="10"/>
      <c r="E132" s="10"/>
      <c r="F132" s="32"/>
      <c r="G132" s="15" t="str">
        <f t="shared" si="5"/>
        <v/>
      </c>
      <c r="H132" s="15" t="str">
        <f t="shared" si="6"/>
        <v/>
      </c>
      <c r="I132" s="17" t="str">
        <f t="shared" si="7"/>
        <v/>
      </c>
      <c r="J132" s="15" t="str">
        <f t="shared" si="8"/>
        <v/>
      </c>
      <c r="K132" s="19" t="str">
        <f t="shared" si="9"/>
        <v/>
      </c>
      <c r="L132" s="33"/>
      <c r="M132" s="15" t="str">
        <f>IF(B132="","",SUMIF($B$6:B131,B132,$I$6:I131))</f>
        <v/>
      </c>
      <c r="N132" s="15" t="str">
        <f>IF(B132="","",SUMIF($B$6:B131,B132,$H$6:H131))</f>
        <v/>
      </c>
      <c r="O132" s="15" t="str">
        <f>IF(B132="","",COUNTIFS($B$6:B131,B132,$K$6:K131,"&lt;&gt;已记录"))</f>
        <v/>
      </c>
      <c r="P132" s="34"/>
    </row>
    <row r="133" spans="1:16" ht="21.75" customHeight="1">
      <c r="A133" s="16"/>
      <c r="B133" s="30"/>
      <c r="C133" s="31"/>
      <c r="D133" s="10"/>
      <c r="E133" s="10"/>
      <c r="F133" s="32"/>
      <c r="G133" s="15" t="str">
        <f t="shared" si="5"/>
        <v/>
      </c>
      <c r="H133" s="15" t="str">
        <f t="shared" si="6"/>
        <v/>
      </c>
      <c r="I133" s="17" t="str">
        <f t="shared" si="7"/>
        <v/>
      </c>
      <c r="J133" s="15" t="str">
        <f t="shared" si="8"/>
        <v/>
      </c>
      <c r="K133" s="19" t="str">
        <f t="shared" si="9"/>
        <v/>
      </c>
      <c r="L133" s="33"/>
      <c r="M133" s="15" t="str">
        <f>IF(B133="","",SUMIF($B$6:B132,B133,$I$6:I132))</f>
        <v/>
      </c>
      <c r="N133" s="15" t="str">
        <f>IF(B133="","",SUMIF($B$6:B132,B133,$H$6:H132))</f>
        <v/>
      </c>
      <c r="O133" s="15" t="str">
        <f>IF(B133="","",COUNTIFS($B$6:B132,B133,$K$6:K132,"&lt;&gt;已记录"))</f>
        <v/>
      </c>
      <c r="P133" s="34"/>
    </row>
    <row r="134" spans="1:16" ht="21.75" customHeight="1">
      <c r="A134" s="16"/>
      <c r="B134" s="30"/>
      <c r="C134" s="31"/>
      <c r="D134" s="10"/>
      <c r="E134" s="10"/>
      <c r="F134" s="32"/>
      <c r="G134" s="15" t="str">
        <f t="shared" ref="G134:G197" si="10">IF(OR(B134="",D134="",C134=""),"",IF(C134="买入",-(D134+E134),IF(C134="卖出",D134-E134,"")))</f>
        <v/>
      </c>
      <c r="H134" s="15" t="str">
        <f t="shared" ref="H134:H197" si="11">IF(K134&lt;&gt;"已记录","",IF(C134="买入",D134+E134,-IF(M134=0,0,N134/M134*F134)))</f>
        <v/>
      </c>
      <c r="I134" s="17" t="str">
        <f t="shared" ref="I134:I197" si="12">IF(K134&lt;&gt;"已记录","",IF(C134="买入",F134,-F134))</f>
        <v/>
      </c>
      <c r="J134" s="15" t="str">
        <f t="shared" ref="J134:J197" si="13">IF(K134&lt;&gt;"已记录","",IF(C134="卖出",D134-E134+H134,0))</f>
        <v/>
      </c>
      <c r="K134" s="19" t="str">
        <f t="shared" ref="K134:K197" si="14">IF(B134="","",IF(OR(A134="",D134="",F134="",C134=""),"待补日期／金额／份额",IF(OR(D134&lt;=0,F134&lt;=0,E134&lt;0,AND(C134&lt;&gt;"买入",C134&lt;&gt;"卖出"),AND(C134="卖出",E134&gt;D134)),"请检查输入",IF(O134&gt;0,"待补前序记录",IF(AND(C134="卖出",F134&gt;M134+0.00000001),"卖出超过持仓","已记录")))))</f>
        <v/>
      </c>
      <c r="L134" s="33"/>
      <c r="M134" s="15" t="str">
        <f>IF(B134="","",SUMIF($B$6:B133,B134,$I$6:I133))</f>
        <v/>
      </c>
      <c r="N134" s="15" t="str">
        <f>IF(B134="","",SUMIF($B$6:B133,B134,$H$6:H133))</f>
        <v/>
      </c>
      <c r="O134" s="15" t="str">
        <f>IF(B134="","",COUNTIFS($B$6:B133,B134,$K$6:K133,"&lt;&gt;已记录"))</f>
        <v/>
      </c>
      <c r="P134" s="34"/>
    </row>
    <row r="135" spans="1:16" ht="21.75" customHeight="1">
      <c r="A135" s="16"/>
      <c r="B135" s="30"/>
      <c r="C135" s="31"/>
      <c r="D135" s="10"/>
      <c r="E135" s="10"/>
      <c r="F135" s="32"/>
      <c r="G135" s="15" t="str">
        <f t="shared" si="10"/>
        <v/>
      </c>
      <c r="H135" s="15" t="str">
        <f t="shared" si="11"/>
        <v/>
      </c>
      <c r="I135" s="17" t="str">
        <f t="shared" si="12"/>
        <v/>
      </c>
      <c r="J135" s="15" t="str">
        <f t="shared" si="13"/>
        <v/>
      </c>
      <c r="K135" s="19" t="str">
        <f t="shared" si="14"/>
        <v/>
      </c>
      <c r="L135" s="33"/>
      <c r="M135" s="15" t="str">
        <f>IF(B135="","",SUMIF($B$6:B134,B135,$I$6:I134))</f>
        <v/>
      </c>
      <c r="N135" s="15" t="str">
        <f>IF(B135="","",SUMIF($B$6:B134,B135,$H$6:H134))</f>
        <v/>
      </c>
      <c r="O135" s="15" t="str">
        <f>IF(B135="","",COUNTIFS($B$6:B134,B135,$K$6:K134,"&lt;&gt;已记录"))</f>
        <v/>
      </c>
      <c r="P135" s="34"/>
    </row>
    <row r="136" spans="1:16" ht="21.75" customHeight="1">
      <c r="A136" s="16"/>
      <c r="B136" s="30"/>
      <c r="C136" s="31"/>
      <c r="D136" s="10"/>
      <c r="E136" s="10"/>
      <c r="F136" s="32"/>
      <c r="G136" s="15" t="str">
        <f t="shared" si="10"/>
        <v/>
      </c>
      <c r="H136" s="15" t="str">
        <f t="shared" si="11"/>
        <v/>
      </c>
      <c r="I136" s="17" t="str">
        <f t="shared" si="12"/>
        <v/>
      </c>
      <c r="J136" s="15" t="str">
        <f t="shared" si="13"/>
        <v/>
      </c>
      <c r="K136" s="19" t="str">
        <f t="shared" si="14"/>
        <v/>
      </c>
      <c r="L136" s="33"/>
      <c r="M136" s="15" t="str">
        <f>IF(B136="","",SUMIF($B$6:B135,B136,$I$6:I135))</f>
        <v/>
      </c>
      <c r="N136" s="15" t="str">
        <f>IF(B136="","",SUMIF($B$6:B135,B136,$H$6:H135))</f>
        <v/>
      </c>
      <c r="O136" s="15" t="str">
        <f>IF(B136="","",COUNTIFS($B$6:B135,B136,$K$6:K135,"&lt;&gt;已记录"))</f>
        <v/>
      </c>
      <c r="P136" s="34"/>
    </row>
    <row r="137" spans="1:16" ht="21.75" customHeight="1">
      <c r="A137" s="16"/>
      <c r="B137" s="30"/>
      <c r="C137" s="31"/>
      <c r="D137" s="10"/>
      <c r="E137" s="10"/>
      <c r="F137" s="32"/>
      <c r="G137" s="15" t="str">
        <f t="shared" si="10"/>
        <v/>
      </c>
      <c r="H137" s="15" t="str">
        <f t="shared" si="11"/>
        <v/>
      </c>
      <c r="I137" s="17" t="str">
        <f t="shared" si="12"/>
        <v/>
      </c>
      <c r="J137" s="15" t="str">
        <f t="shared" si="13"/>
        <v/>
      </c>
      <c r="K137" s="19" t="str">
        <f t="shared" si="14"/>
        <v/>
      </c>
      <c r="L137" s="33"/>
      <c r="M137" s="15" t="str">
        <f>IF(B137="","",SUMIF($B$6:B136,B137,$I$6:I136))</f>
        <v/>
      </c>
      <c r="N137" s="15" t="str">
        <f>IF(B137="","",SUMIF($B$6:B136,B137,$H$6:H136))</f>
        <v/>
      </c>
      <c r="O137" s="15" t="str">
        <f>IF(B137="","",COUNTIFS($B$6:B136,B137,$K$6:K136,"&lt;&gt;已记录"))</f>
        <v/>
      </c>
      <c r="P137" s="34"/>
    </row>
    <row r="138" spans="1:16" ht="21.75" customHeight="1">
      <c r="A138" s="16"/>
      <c r="B138" s="30"/>
      <c r="C138" s="31"/>
      <c r="D138" s="10"/>
      <c r="E138" s="10"/>
      <c r="F138" s="32"/>
      <c r="G138" s="15" t="str">
        <f t="shared" si="10"/>
        <v/>
      </c>
      <c r="H138" s="15" t="str">
        <f t="shared" si="11"/>
        <v/>
      </c>
      <c r="I138" s="17" t="str">
        <f t="shared" si="12"/>
        <v/>
      </c>
      <c r="J138" s="15" t="str">
        <f t="shared" si="13"/>
        <v/>
      </c>
      <c r="K138" s="19" t="str">
        <f t="shared" si="14"/>
        <v/>
      </c>
      <c r="L138" s="33"/>
      <c r="M138" s="15" t="str">
        <f>IF(B138="","",SUMIF($B$6:B137,B138,$I$6:I137))</f>
        <v/>
      </c>
      <c r="N138" s="15" t="str">
        <f>IF(B138="","",SUMIF($B$6:B137,B138,$H$6:H137))</f>
        <v/>
      </c>
      <c r="O138" s="15" t="str">
        <f>IF(B138="","",COUNTIFS($B$6:B137,B138,$K$6:K137,"&lt;&gt;已记录"))</f>
        <v/>
      </c>
      <c r="P138" s="34"/>
    </row>
    <row r="139" spans="1:16" ht="21.75" customHeight="1">
      <c r="A139" s="16"/>
      <c r="B139" s="30"/>
      <c r="C139" s="31"/>
      <c r="D139" s="10"/>
      <c r="E139" s="10"/>
      <c r="F139" s="32"/>
      <c r="G139" s="15" t="str">
        <f t="shared" si="10"/>
        <v/>
      </c>
      <c r="H139" s="15" t="str">
        <f t="shared" si="11"/>
        <v/>
      </c>
      <c r="I139" s="17" t="str">
        <f t="shared" si="12"/>
        <v/>
      </c>
      <c r="J139" s="15" t="str">
        <f t="shared" si="13"/>
        <v/>
      </c>
      <c r="K139" s="19" t="str">
        <f t="shared" si="14"/>
        <v/>
      </c>
      <c r="L139" s="33"/>
      <c r="M139" s="15" t="str">
        <f>IF(B139="","",SUMIF($B$6:B138,B139,$I$6:I138))</f>
        <v/>
      </c>
      <c r="N139" s="15" t="str">
        <f>IF(B139="","",SUMIF($B$6:B138,B139,$H$6:H138))</f>
        <v/>
      </c>
      <c r="O139" s="15" t="str">
        <f>IF(B139="","",COUNTIFS($B$6:B138,B139,$K$6:K138,"&lt;&gt;已记录"))</f>
        <v/>
      </c>
      <c r="P139" s="34"/>
    </row>
    <row r="140" spans="1:16" ht="21.75" customHeight="1">
      <c r="A140" s="16"/>
      <c r="B140" s="30"/>
      <c r="C140" s="31"/>
      <c r="D140" s="10"/>
      <c r="E140" s="10"/>
      <c r="F140" s="32"/>
      <c r="G140" s="15" t="str">
        <f t="shared" si="10"/>
        <v/>
      </c>
      <c r="H140" s="15" t="str">
        <f t="shared" si="11"/>
        <v/>
      </c>
      <c r="I140" s="17" t="str">
        <f t="shared" si="12"/>
        <v/>
      </c>
      <c r="J140" s="15" t="str">
        <f t="shared" si="13"/>
        <v/>
      </c>
      <c r="K140" s="19" t="str">
        <f t="shared" si="14"/>
        <v/>
      </c>
      <c r="L140" s="33"/>
      <c r="M140" s="15" t="str">
        <f>IF(B140="","",SUMIF($B$6:B139,B140,$I$6:I139))</f>
        <v/>
      </c>
      <c r="N140" s="15" t="str">
        <f>IF(B140="","",SUMIF($B$6:B139,B140,$H$6:H139))</f>
        <v/>
      </c>
      <c r="O140" s="15" t="str">
        <f>IF(B140="","",COUNTIFS($B$6:B139,B140,$K$6:K139,"&lt;&gt;已记录"))</f>
        <v/>
      </c>
      <c r="P140" s="34"/>
    </row>
    <row r="141" spans="1:16" ht="21.75" customHeight="1">
      <c r="A141" s="16"/>
      <c r="B141" s="30"/>
      <c r="C141" s="31"/>
      <c r="D141" s="10"/>
      <c r="E141" s="10"/>
      <c r="F141" s="32"/>
      <c r="G141" s="15" t="str">
        <f t="shared" si="10"/>
        <v/>
      </c>
      <c r="H141" s="15" t="str">
        <f t="shared" si="11"/>
        <v/>
      </c>
      <c r="I141" s="17" t="str">
        <f t="shared" si="12"/>
        <v/>
      </c>
      <c r="J141" s="15" t="str">
        <f t="shared" si="13"/>
        <v/>
      </c>
      <c r="K141" s="19" t="str">
        <f t="shared" si="14"/>
        <v/>
      </c>
      <c r="L141" s="33"/>
      <c r="M141" s="15" t="str">
        <f>IF(B141="","",SUMIF($B$6:B140,B141,$I$6:I140))</f>
        <v/>
      </c>
      <c r="N141" s="15" t="str">
        <f>IF(B141="","",SUMIF($B$6:B140,B141,$H$6:H140))</f>
        <v/>
      </c>
      <c r="O141" s="15" t="str">
        <f>IF(B141="","",COUNTIFS($B$6:B140,B141,$K$6:K140,"&lt;&gt;已记录"))</f>
        <v/>
      </c>
      <c r="P141" s="34"/>
    </row>
    <row r="142" spans="1:16" ht="21.75" customHeight="1">
      <c r="A142" s="16"/>
      <c r="B142" s="30"/>
      <c r="C142" s="31"/>
      <c r="D142" s="10"/>
      <c r="E142" s="10"/>
      <c r="F142" s="32"/>
      <c r="G142" s="15" t="str">
        <f t="shared" si="10"/>
        <v/>
      </c>
      <c r="H142" s="15" t="str">
        <f t="shared" si="11"/>
        <v/>
      </c>
      <c r="I142" s="17" t="str">
        <f t="shared" si="12"/>
        <v/>
      </c>
      <c r="J142" s="15" t="str">
        <f t="shared" si="13"/>
        <v/>
      </c>
      <c r="K142" s="19" t="str">
        <f t="shared" si="14"/>
        <v/>
      </c>
      <c r="L142" s="33"/>
      <c r="M142" s="15" t="str">
        <f>IF(B142="","",SUMIF($B$6:B141,B142,$I$6:I141))</f>
        <v/>
      </c>
      <c r="N142" s="15" t="str">
        <f>IF(B142="","",SUMIF($B$6:B141,B142,$H$6:H141))</f>
        <v/>
      </c>
      <c r="O142" s="15" t="str">
        <f>IF(B142="","",COUNTIFS($B$6:B141,B142,$K$6:K141,"&lt;&gt;已记录"))</f>
        <v/>
      </c>
      <c r="P142" s="34"/>
    </row>
    <row r="143" spans="1:16" ht="21.75" customHeight="1">
      <c r="A143" s="16"/>
      <c r="B143" s="30"/>
      <c r="C143" s="31"/>
      <c r="D143" s="10"/>
      <c r="E143" s="10"/>
      <c r="F143" s="32"/>
      <c r="G143" s="15" t="str">
        <f t="shared" si="10"/>
        <v/>
      </c>
      <c r="H143" s="15" t="str">
        <f t="shared" si="11"/>
        <v/>
      </c>
      <c r="I143" s="17" t="str">
        <f t="shared" si="12"/>
        <v/>
      </c>
      <c r="J143" s="15" t="str">
        <f t="shared" si="13"/>
        <v/>
      </c>
      <c r="K143" s="19" t="str">
        <f t="shared" si="14"/>
        <v/>
      </c>
      <c r="L143" s="33"/>
      <c r="M143" s="15" t="str">
        <f>IF(B143="","",SUMIF($B$6:B142,B143,$I$6:I142))</f>
        <v/>
      </c>
      <c r="N143" s="15" t="str">
        <f>IF(B143="","",SUMIF($B$6:B142,B143,$H$6:H142))</f>
        <v/>
      </c>
      <c r="O143" s="15" t="str">
        <f>IF(B143="","",COUNTIFS($B$6:B142,B143,$K$6:K142,"&lt;&gt;已记录"))</f>
        <v/>
      </c>
      <c r="P143" s="34"/>
    </row>
    <row r="144" spans="1:16" ht="21.75" customHeight="1">
      <c r="A144" s="16"/>
      <c r="B144" s="30"/>
      <c r="C144" s="31"/>
      <c r="D144" s="10"/>
      <c r="E144" s="10"/>
      <c r="F144" s="32"/>
      <c r="G144" s="15" t="str">
        <f t="shared" si="10"/>
        <v/>
      </c>
      <c r="H144" s="15" t="str">
        <f t="shared" si="11"/>
        <v/>
      </c>
      <c r="I144" s="17" t="str">
        <f t="shared" si="12"/>
        <v/>
      </c>
      <c r="J144" s="15" t="str">
        <f t="shared" si="13"/>
        <v/>
      </c>
      <c r="K144" s="19" t="str">
        <f t="shared" si="14"/>
        <v/>
      </c>
      <c r="L144" s="33"/>
      <c r="M144" s="15" t="str">
        <f>IF(B144="","",SUMIF($B$6:B143,B144,$I$6:I143))</f>
        <v/>
      </c>
      <c r="N144" s="15" t="str">
        <f>IF(B144="","",SUMIF($B$6:B143,B144,$H$6:H143))</f>
        <v/>
      </c>
      <c r="O144" s="15" t="str">
        <f>IF(B144="","",COUNTIFS($B$6:B143,B144,$K$6:K143,"&lt;&gt;已记录"))</f>
        <v/>
      </c>
      <c r="P144" s="34"/>
    </row>
    <row r="145" spans="1:16" ht="21.75" customHeight="1">
      <c r="A145" s="16"/>
      <c r="B145" s="30"/>
      <c r="C145" s="31"/>
      <c r="D145" s="10"/>
      <c r="E145" s="10"/>
      <c r="F145" s="32"/>
      <c r="G145" s="15" t="str">
        <f t="shared" si="10"/>
        <v/>
      </c>
      <c r="H145" s="15" t="str">
        <f t="shared" si="11"/>
        <v/>
      </c>
      <c r="I145" s="17" t="str">
        <f t="shared" si="12"/>
        <v/>
      </c>
      <c r="J145" s="15" t="str">
        <f t="shared" si="13"/>
        <v/>
      </c>
      <c r="K145" s="19" t="str">
        <f t="shared" si="14"/>
        <v/>
      </c>
      <c r="L145" s="33"/>
      <c r="M145" s="15" t="str">
        <f>IF(B145="","",SUMIF($B$6:B144,B145,$I$6:I144))</f>
        <v/>
      </c>
      <c r="N145" s="15" t="str">
        <f>IF(B145="","",SUMIF($B$6:B144,B145,$H$6:H144))</f>
        <v/>
      </c>
      <c r="O145" s="15" t="str">
        <f>IF(B145="","",COUNTIFS($B$6:B144,B145,$K$6:K144,"&lt;&gt;已记录"))</f>
        <v/>
      </c>
      <c r="P145" s="34"/>
    </row>
    <row r="146" spans="1:16" ht="21.75" customHeight="1">
      <c r="A146" s="16"/>
      <c r="B146" s="30"/>
      <c r="C146" s="31"/>
      <c r="D146" s="10"/>
      <c r="E146" s="10"/>
      <c r="F146" s="32"/>
      <c r="G146" s="15" t="str">
        <f t="shared" si="10"/>
        <v/>
      </c>
      <c r="H146" s="15" t="str">
        <f t="shared" si="11"/>
        <v/>
      </c>
      <c r="I146" s="17" t="str">
        <f t="shared" si="12"/>
        <v/>
      </c>
      <c r="J146" s="15" t="str">
        <f t="shared" si="13"/>
        <v/>
      </c>
      <c r="K146" s="19" t="str">
        <f t="shared" si="14"/>
        <v/>
      </c>
      <c r="L146" s="33"/>
      <c r="M146" s="15" t="str">
        <f>IF(B146="","",SUMIF($B$6:B145,B146,$I$6:I145))</f>
        <v/>
      </c>
      <c r="N146" s="15" t="str">
        <f>IF(B146="","",SUMIF($B$6:B145,B146,$H$6:H145))</f>
        <v/>
      </c>
      <c r="O146" s="15" t="str">
        <f>IF(B146="","",COUNTIFS($B$6:B145,B146,$K$6:K145,"&lt;&gt;已记录"))</f>
        <v/>
      </c>
      <c r="P146" s="34"/>
    </row>
    <row r="147" spans="1:16" ht="21.75" customHeight="1">
      <c r="A147" s="16"/>
      <c r="B147" s="30"/>
      <c r="C147" s="31"/>
      <c r="D147" s="10"/>
      <c r="E147" s="10"/>
      <c r="F147" s="32"/>
      <c r="G147" s="15" t="str">
        <f t="shared" si="10"/>
        <v/>
      </c>
      <c r="H147" s="15" t="str">
        <f t="shared" si="11"/>
        <v/>
      </c>
      <c r="I147" s="17" t="str">
        <f t="shared" si="12"/>
        <v/>
      </c>
      <c r="J147" s="15" t="str">
        <f t="shared" si="13"/>
        <v/>
      </c>
      <c r="K147" s="19" t="str">
        <f t="shared" si="14"/>
        <v/>
      </c>
      <c r="L147" s="33"/>
      <c r="M147" s="15" t="str">
        <f>IF(B147="","",SUMIF($B$6:B146,B147,$I$6:I146))</f>
        <v/>
      </c>
      <c r="N147" s="15" t="str">
        <f>IF(B147="","",SUMIF($B$6:B146,B147,$H$6:H146))</f>
        <v/>
      </c>
      <c r="O147" s="15" t="str">
        <f>IF(B147="","",COUNTIFS($B$6:B146,B147,$K$6:K146,"&lt;&gt;已记录"))</f>
        <v/>
      </c>
      <c r="P147" s="34"/>
    </row>
    <row r="148" spans="1:16" ht="21.75" customHeight="1">
      <c r="A148" s="16"/>
      <c r="B148" s="30"/>
      <c r="C148" s="31"/>
      <c r="D148" s="10"/>
      <c r="E148" s="10"/>
      <c r="F148" s="32"/>
      <c r="G148" s="15" t="str">
        <f t="shared" si="10"/>
        <v/>
      </c>
      <c r="H148" s="15" t="str">
        <f t="shared" si="11"/>
        <v/>
      </c>
      <c r="I148" s="17" t="str">
        <f t="shared" si="12"/>
        <v/>
      </c>
      <c r="J148" s="15" t="str">
        <f t="shared" si="13"/>
        <v/>
      </c>
      <c r="K148" s="19" t="str">
        <f t="shared" si="14"/>
        <v/>
      </c>
      <c r="L148" s="33"/>
      <c r="M148" s="15" t="str">
        <f>IF(B148="","",SUMIF($B$6:B147,B148,$I$6:I147))</f>
        <v/>
      </c>
      <c r="N148" s="15" t="str">
        <f>IF(B148="","",SUMIF($B$6:B147,B148,$H$6:H147))</f>
        <v/>
      </c>
      <c r="O148" s="15" t="str">
        <f>IF(B148="","",COUNTIFS($B$6:B147,B148,$K$6:K147,"&lt;&gt;已记录"))</f>
        <v/>
      </c>
      <c r="P148" s="34"/>
    </row>
    <row r="149" spans="1:16" ht="21.75" customHeight="1">
      <c r="A149" s="16"/>
      <c r="B149" s="30"/>
      <c r="C149" s="31"/>
      <c r="D149" s="10"/>
      <c r="E149" s="10"/>
      <c r="F149" s="32"/>
      <c r="G149" s="15" t="str">
        <f t="shared" si="10"/>
        <v/>
      </c>
      <c r="H149" s="15" t="str">
        <f t="shared" si="11"/>
        <v/>
      </c>
      <c r="I149" s="17" t="str">
        <f t="shared" si="12"/>
        <v/>
      </c>
      <c r="J149" s="15" t="str">
        <f t="shared" si="13"/>
        <v/>
      </c>
      <c r="K149" s="19" t="str">
        <f t="shared" si="14"/>
        <v/>
      </c>
      <c r="L149" s="33"/>
      <c r="M149" s="15" t="str">
        <f>IF(B149="","",SUMIF($B$6:B148,B149,$I$6:I148))</f>
        <v/>
      </c>
      <c r="N149" s="15" t="str">
        <f>IF(B149="","",SUMIF($B$6:B148,B149,$H$6:H148))</f>
        <v/>
      </c>
      <c r="O149" s="15" t="str">
        <f>IF(B149="","",COUNTIFS($B$6:B148,B149,$K$6:K148,"&lt;&gt;已记录"))</f>
        <v/>
      </c>
      <c r="P149" s="34"/>
    </row>
    <row r="150" spans="1:16" ht="21.75" customHeight="1">
      <c r="A150" s="16"/>
      <c r="B150" s="30"/>
      <c r="C150" s="31"/>
      <c r="D150" s="10"/>
      <c r="E150" s="10"/>
      <c r="F150" s="32"/>
      <c r="G150" s="15" t="str">
        <f t="shared" si="10"/>
        <v/>
      </c>
      <c r="H150" s="15" t="str">
        <f t="shared" si="11"/>
        <v/>
      </c>
      <c r="I150" s="17" t="str">
        <f t="shared" si="12"/>
        <v/>
      </c>
      <c r="J150" s="15" t="str">
        <f t="shared" si="13"/>
        <v/>
      </c>
      <c r="K150" s="19" t="str">
        <f t="shared" si="14"/>
        <v/>
      </c>
      <c r="L150" s="33"/>
      <c r="M150" s="15" t="str">
        <f>IF(B150="","",SUMIF($B$6:B149,B150,$I$6:I149))</f>
        <v/>
      </c>
      <c r="N150" s="15" t="str">
        <f>IF(B150="","",SUMIF($B$6:B149,B150,$H$6:H149))</f>
        <v/>
      </c>
      <c r="O150" s="15" t="str">
        <f>IF(B150="","",COUNTIFS($B$6:B149,B150,$K$6:K149,"&lt;&gt;已记录"))</f>
        <v/>
      </c>
      <c r="P150" s="34"/>
    </row>
    <row r="151" spans="1:16" ht="21.75" customHeight="1">
      <c r="A151" s="16"/>
      <c r="B151" s="30"/>
      <c r="C151" s="31"/>
      <c r="D151" s="10"/>
      <c r="E151" s="10"/>
      <c r="F151" s="32"/>
      <c r="G151" s="15" t="str">
        <f t="shared" si="10"/>
        <v/>
      </c>
      <c r="H151" s="15" t="str">
        <f t="shared" si="11"/>
        <v/>
      </c>
      <c r="I151" s="17" t="str">
        <f t="shared" si="12"/>
        <v/>
      </c>
      <c r="J151" s="15" t="str">
        <f t="shared" si="13"/>
        <v/>
      </c>
      <c r="K151" s="19" t="str">
        <f t="shared" si="14"/>
        <v/>
      </c>
      <c r="L151" s="33"/>
      <c r="M151" s="15" t="str">
        <f>IF(B151="","",SUMIF($B$6:B150,B151,$I$6:I150))</f>
        <v/>
      </c>
      <c r="N151" s="15" t="str">
        <f>IF(B151="","",SUMIF($B$6:B150,B151,$H$6:H150))</f>
        <v/>
      </c>
      <c r="O151" s="15" t="str">
        <f>IF(B151="","",COUNTIFS($B$6:B150,B151,$K$6:K150,"&lt;&gt;已记录"))</f>
        <v/>
      </c>
      <c r="P151" s="34"/>
    </row>
    <row r="152" spans="1:16" ht="21.75" customHeight="1">
      <c r="A152" s="16"/>
      <c r="B152" s="30"/>
      <c r="C152" s="31"/>
      <c r="D152" s="10"/>
      <c r="E152" s="10"/>
      <c r="F152" s="32"/>
      <c r="G152" s="15" t="str">
        <f t="shared" si="10"/>
        <v/>
      </c>
      <c r="H152" s="15" t="str">
        <f t="shared" si="11"/>
        <v/>
      </c>
      <c r="I152" s="17" t="str">
        <f t="shared" si="12"/>
        <v/>
      </c>
      <c r="J152" s="15" t="str">
        <f t="shared" si="13"/>
        <v/>
      </c>
      <c r="K152" s="19" t="str">
        <f t="shared" si="14"/>
        <v/>
      </c>
      <c r="L152" s="33"/>
      <c r="M152" s="15" t="str">
        <f>IF(B152="","",SUMIF($B$6:B151,B152,$I$6:I151))</f>
        <v/>
      </c>
      <c r="N152" s="15" t="str">
        <f>IF(B152="","",SUMIF($B$6:B151,B152,$H$6:H151))</f>
        <v/>
      </c>
      <c r="O152" s="15" t="str">
        <f>IF(B152="","",COUNTIFS($B$6:B151,B152,$K$6:K151,"&lt;&gt;已记录"))</f>
        <v/>
      </c>
      <c r="P152" s="34"/>
    </row>
    <row r="153" spans="1:16" ht="21.75" customHeight="1">
      <c r="A153" s="16"/>
      <c r="B153" s="30"/>
      <c r="C153" s="31"/>
      <c r="D153" s="10"/>
      <c r="E153" s="10"/>
      <c r="F153" s="32"/>
      <c r="G153" s="15" t="str">
        <f t="shared" si="10"/>
        <v/>
      </c>
      <c r="H153" s="15" t="str">
        <f t="shared" si="11"/>
        <v/>
      </c>
      <c r="I153" s="17" t="str">
        <f t="shared" si="12"/>
        <v/>
      </c>
      <c r="J153" s="15" t="str">
        <f t="shared" si="13"/>
        <v/>
      </c>
      <c r="K153" s="19" t="str">
        <f t="shared" si="14"/>
        <v/>
      </c>
      <c r="L153" s="33"/>
      <c r="M153" s="15" t="str">
        <f>IF(B153="","",SUMIF($B$6:B152,B153,$I$6:I152))</f>
        <v/>
      </c>
      <c r="N153" s="15" t="str">
        <f>IF(B153="","",SUMIF($B$6:B152,B153,$H$6:H152))</f>
        <v/>
      </c>
      <c r="O153" s="15" t="str">
        <f>IF(B153="","",COUNTIFS($B$6:B152,B153,$K$6:K152,"&lt;&gt;已记录"))</f>
        <v/>
      </c>
      <c r="P153" s="34"/>
    </row>
    <row r="154" spans="1:16" ht="21.75" customHeight="1">
      <c r="A154" s="16"/>
      <c r="B154" s="30"/>
      <c r="C154" s="31"/>
      <c r="D154" s="10"/>
      <c r="E154" s="10"/>
      <c r="F154" s="32"/>
      <c r="G154" s="15" t="str">
        <f t="shared" si="10"/>
        <v/>
      </c>
      <c r="H154" s="15" t="str">
        <f t="shared" si="11"/>
        <v/>
      </c>
      <c r="I154" s="17" t="str">
        <f t="shared" si="12"/>
        <v/>
      </c>
      <c r="J154" s="15" t="str">
        <f t="shared" si="13"/>
        <v/>
      </c>
      <c r="K154" s="19" t="str">
        <f t="shared" si="14"/>
        <v/>
      </c>
      <c r="L154" s="33"/>
      <c r="M154" s="15" t="str">
        <f>IF(B154="","",SUMIF($B$6:B153,B154,$I$6:I153))</f>
        <v/>
      </c>
      <c r="N154" s="15" t="str">
        <f>IF(B154="","",SUMIF($B$6:B153,B154,$H$6:H153))</f>
        <v/>
      </c>
      <c r="O154" s="15" t="str">
        <f>IF(B154="","",COUNTIFS($B$6:B153,B154,$K$6:K153,"&lt;&gt;已记录"))</f>
        <v/>
      </c>
      <c r="P154" s="34"/>
    </row>
    <row r="155" spans="1:16" ht="21.75" customHeight="1">
      <c r="A155" s="16"/>
      <c r="B155" s="30"/>
      <c r="C155" s="31"/>
      <c r="D155" s="10"/>
      <c r="E155" s="10"/>
      <c r="F155" s="32"/>
      <c r="G155" s="15" t="str">
        <f t="shared" si="10"/>
        <v/>
      </c>
      <c r="H155" s="15" t="str">
        <f t="shared" si="11"/>
        <v/>
      </c>
      <c r="I155" s="17" t="str">
        <f t="shared" si="12"/>
        <v/>
      </c>
      <c r="J155" s="15" t="str">
        <f t="shared" si="13"/>
        <v/>
      </c>
      <c r="K155" s="19" t="str">
        <f t="shared" si="14"/>
        <v/>
      </c>
      <c r="L155" s="33"/>
      <c r="M155" s="15" t="str">
        <f>IF(B155="","",SUMIF($B$6:B154,B155,$I$6:I154))</f>
        <v/>
      </c>
      <c r="N155" s="15" t="str">
        <f>IF(B155="","",SUMIF($B$6:B154,B155,$H$6:H154))</f>
        <v/>
      </c>
      <c r="O155" s="15" t="str">
        <f>IF(B155="","",COUNTIFS($B$6:B154,B155,$K$6:K154,"&lt;&gt;已记录"))</f>
        <v/>
      </c>
      <c r="P155" s="34"/>
    </row>
    <row r="156" spans="1:16" ht="21.75" customHeight="1">
      <c r="A156" s="16"/>
      <c r="B156" s="30"/>
      <c r="C156" s="31"/>
      <c r="D156" s="10"/>
      <c r="E156" s="10"/>
      <c r="F156" s="32"/>
      <c r="G156" s="15" t="str">
        <f t="shared" si="10"/>
        <v/>
      </c>
      <c r="H156" s="15" t="str">
        <f t="shared" si="11"/>
        <v/>
      </c>
      <c r="I156" s="17" t="str">
        <f t="shared" si="12"/>
        <v/>
      </c>
      <c r="J156" s="15" t="str">
        <f t="shared" si="13"/>
        <v/>
      </c>
      <c r="K156" s="19" t="str">
        <f t="shared" si="14"/>
        <v/>
      </c>
      <c r="L156" s="33"/>
      <c r="M156" s="15" t="str">
        <f>IF(B156="","",SUMIF($B$6:B155,B156,$I$6:I155))</f>
        <v/>
      </c>
      <c r="N156" s="15" t="str">
        <f>IF(B156="","",SUMIF($B$6:B155,B156,$H$6:H155))</f>
        <v/>
      </c>
      <c r="O156" s="15" t="str">
        <f>IF(B156="","",COUNTIFS($B$6:B155,B156,$K$6:K155,"&lt;&gt;已记录"))</f>
        <v/>
      </c>
      <c r="P156" s="34"/>
    </row>
    <row r="157" spans="1:16" ht="21.75" customHeight="1">
      <c r="A157" s="16"/>
      <c r="B157" s="30"/>
      <c r="C157" s="31"/>
      <c r="D157" s="10"/>
      <c r="E157" s="10"/>
      <c r="F157" s="32"/>
      <c r="G157" s="15" t="str">
        <f t="shared" si="10"/>
        <v/>
      </c>
      <c r="H157" s="15" t="str">
        <f t="shared" si="11"/>
        <v/>
      </c>
      <c r="I157" s="17" t="str">
        <f t="shared" si="12"/>
        <v/>
      </c>
      <c r="J157" s="15" t="str">
        <f t="shared" si="13"/>
        <v/>
      </c>
      <c r="K157" s="19" t="str">
        <f t="shared" si="14"/>
        <v/>
      </c>
      <c r="L157" s="33"/>
      <c r="M157" s="15" t="str">
        <f>IF(B157="","",SUMIF($B$6:B156,B157,$I$6:I156))</f>
        <v/>
      </c>
      <c r="N157" s="15" t="str">
        <f>IF(B157="","",SUMIF($B$6:B156,B157,$H$6:H156))</f>
        <v/>
      </c>
      <c r="O157" s="15" t="str">
        <f>IF(B157="","",COUNTIFS($B$6:B156,B157,$K$6:K156,"&lt;&gt;已记录"))</f>
        <v/>
      </c>
      <c r="P157" s="34"/>
    </row>
    <row r="158" spans="1:16" ht="21.75" customHeight="1">
      <c r="A158" s="16"/>
      <c r="B158" s="30"/>
      <c r="C158" s="31"/>
      <c r="D158" s="10"/>
      <c r="E158" s="10"/>
      <c r="F158" s="32"/>
      <c r="G158" s="15" t="str">
        <f t="shared" si="10"/>
        <v/>
      </c>
      <c r="H158" s="15" t="str">
        <f t="shared" si="11"/>
        <v/>
      </c>
      <c r="I158" s="17" t="str">
        <f t="shared" si="12"/>
        <v/>
      </c>
      <c r="J158" s="15" t="str">
        <f t="shared" si="13"/>
        <v/>
      </c>
      <c r="K158" s="19" t="str">
        <f t="shared" si="14"/>
        <v/>
      </c>
      <c r="L158" s="33"/>
      <c r="M158" s="15" t="str">
        <f>IF(B158="","",SUMIF($B$6:B157,B158,$I$6:I157))</f>
        <v/>
      </c>
      <c r="N158" s="15" t="str">
        <f>IF(B158="","",SUMIF($B$6:B157,B158,$H$6:H157))</f>
        <v/>
      </c>
      <c r="O158" s="15" t="str">
        <f>IF(B158="","",COUNTIFS($B$6:B157,B158,$K$6:K157,"&lt;&gt;已记录"))</f>
        <v/>
      </c>
      <c r="P158" s="34"/>
    </row>
    <row r="159" spans="1:16" ht="21.75" customHeight="1">
      <c r="A159" s="16"/>
      <c r="B159" s="30"/>
      <c r="C159" s="31"/>
      <c r="D159" s="10"/>
      <c r="E159" s="10"/>
      <c r="F159" s="32"/>
      <c r="G159" s="15" t="str">
        <f t="shared" si="10"/>
        <v/>
      </c>
      <c r="H159" s="15" t="str">
        <f t="shared" si="11"/>
        <v/>
      </c>
      <c r="I159" s="17" t="str">
        <f t="shared" si="12"/>
        <v/>
      </c>
      <c r="J159" s="15" t="str">
        <f t="shared" si="13"/>
        <v/>
      </c>
      <c r="K159" s="19" t="str">
        <f t="shared" si="14"/>
        <v/>
      </c>
      <c r="L159" s="33"/>
      <c r="M159" s="15" t="str">
        <f>IF(B159="","",SUMIF($B$6:B158,B159,$I$6:I158))</f>
        <v/>
      </c>
      <c r="N159" s="15" t="str">
        <f>IF(B159="","",SUMIF($B$6:B158,B159,$H$6:H158))</f>
        <v/>
      </c>
      <c r="O159" s="15" t="str">
        <f>IF(B159="","",COUNTIFS($B$6:B158,B159,$K$6:K158,"&lt;&gt;已记录"))</f>
        <v/>
      </c>
      <c r="P159" s="34"/>
    </row>
    <row r="160" spans="1:16" ht="21.75" customHeight="1">
      <c r="A160" s="16"/>
      <c r="B160" s="30"/>
      <c r="C160" s="31"/>
      <c r="D160" s="10"/>
      <c r="E160" s="10"/>
      <c r="F160" s="32"/>
      <c r="G160" s="15" t="str">
        <f t="shared" si="10"/>
        <v/>
      </c>
      <c r="H160" s="15" t="str">
        <f t="shared" si="11"/>
        <v/>
      </c>
      <c r="I160" s="17" t="str">
        <f t="shared" si="12"/>
        <v/>
      </c>
      <c r="J160" s="15" t="str">
        <f t="shared" si="13"/>
        <v/>
      </c>
      <c r="K160" s="19" t="str">
        <f t="shared" si="14"/>
        <v/>
      </c>
      <c r="L160" s="33"/>
      <c r="M160" s="15" t="str">
        <f>IF(B160="","",SUMIF($B$6:B159,B160,$I$6:I159))</f>
        <v/>
      </c>
      <c r="N160" s="15" t="str">
        <f>IF(B160="","",SUMIF($B$6:B159,B160,$H$6:H159))</f>
        <v/>
      </c>
      <c r="O160" s="15" t="str">
        <f>IF(B160="","",COUNTIFS($B$6:B159,B160,$K$6:K159,"&lt;&gt;已记录"))</f>
        <v/>
      </c>
      <c r="P160" s="34"/>
    </row>
    <row r="161" spans="1:16" ht="21.75" customHeight="1">
      <c r="A161" s="16"/>
      <c r="B161" s="30"/>
      <c r="C161" s="31"/>
      <c r="D161" s="10"/>
      <c r="E161" s="10"/>
      <c r="F161" s="32"/>
      <c r="G161" s="15" t="str">
        <f t="shared" si="10"/>
        <v/>
      </c>
      <c r="H161" s="15" t="str">
        <f t="shared" si="11"/>
        <v/>
      </c>
      <c r="I161" s="17" t="str">
        <f t="shared" si="12"/>
        <v/>
      </c>
      <c r="J161" s="15" t="str">
        <f t="shared" si="13"/>
        <v/>
      </c>
      <c r="K161" s="19" t="str">
        <f t="shared" si="14"/>
        <v/>
      </c>
      <c r="L161" s="33"/>
      <c r="M161" s="15" t="str">
        <f>IF(B161="","",SUMIF($B$6:B160,B161,$I$6:I160))</f>
        <v/>
      </c>
      <c r="N161" s="15" t="str">
        <f>IF(B161="","",SUMIF($B$6:B160,B161,$H$6:H160))</f>
        <v/>
      </c>
      <c r="O161" s="15" t="str">
        <f>IF(B161="","",COUNTIFS($B$6:B160,B161,$K$6:K160,"&lt;&gt;已记录"))</f>
        <v/>
      </c>
      <c r="P161" s="34"/>
    </row>
    <row r="162" spans="1:16" ht="21.75" customHeight="1">
      <c r="A162" s="16"/>
      <c r="B162" s="30"/>
      <c r="C162" s="31"/>
      <c r="D162" s="10"/>
      <c r="E162" s="10"/>
      <c r="F162" s="32"/>
      <c r="G162" s="15" t="str">
        <f t="shared" si="10"/>
        <v/>
      </c>
      <c r="H162" s="15" t="str">
        <f t="shared" si="11"/>
        <v/>
      </c>
      <c r="I162" s="17" t="str">
        <f t="shared" si="12"/>
        <v/>
      </c>
      <c r="J162" s="15" t="str">
        <f t="shared" si="13"/>
        <v/>
      </c>
      <c r="K162" s="19" t="str">
        <f t="shared" si="14"/>
        <v/>
      </c>
      <c r="L162" s="33"/>
      <c r="M162" s="15" t="str">
        <f>IF(B162="","",SUMIF($B$6:B161,B162,$I$6:I161))</f>
        <v/>
      </c>
      <c r="N162" s="15" t="str">
        <f>IF(B162="","",SUMIF($B$6:B161,B162,$H$6:H161))</f>
        <v/>
      </c>
      <c r="O162" s="15" t="str">
        <f>IF(B162="","",COUNTIFS($B$6:B161,B162,$K$6:K161,"&lt;&gt;已记录"))</f>
        <v/>
      </c>
      <c r="P162" s="34"/>
    </row>
    <row r="163" spans="1:16" ht="21.75" customHeight="1">
      <c r="A163" s="16"/>
      <c r="B163" s="30"/>
      <c r="C163" s="31"/>
      <c r="D163" s="10"/>
      <c r="E163" s="10"/>
      <c r="F163" s="32"/>
      <c r="G163" s="15" t="str">
        <f t="shared" si="10"/>
        <v/>
      </c>
      <c r="H163" s="15" t="str">
        <f t="shared" si="11"/>
        <v/>
      </c>
      <c r="I163" s="17" t="str">
        <f t="shared" si="12"/>
        <v/>
      </c>
      <c r="J163" s="15" t="str">
        <f t="shared" si="13"/>
        <v/>
      </c>
      <c r="K163" s="19" t="str">
        <f t="shared" si="14"/>
        <v/>
      </c>
      <c r="L163" s="33"/>
      <c r="M163" s="15" t="str">
        <f>IF(B163="","",SUMIF($B$6:B162,B163,$I$6:I162))</f>
        <v/>
      </c>
      <c r="N163" s="15" t="str">
        <f>IF(B163="","",SUMIF($B$6:B162,B163,$H$6:H162))</f>
        <v/>
      </c>
      <c r="O163" s="15" t="str">
        <f>IF(B163="","",COUNTIFS($B$6:B162,B163,$K$6:K162,"&lt;&gt;已记录"))</f>
        <v/>
      </c>
      <c r="P163" s="34"/>
    </row>
    <row r="164" spans="1:16" ht="21.75" customHeight="1">
      <c r="A164" s="16"/>
      <c r="B164" s="30"/>
      <c r="C164" s="31"/>
      <c r="D164" s="10"/>
      <c r="E164" s="10"/>
      <c r="F164" s="32"/>
      <c r="G164" s="15" t="str">
        <f t="shared" si="10"/>
        <v/>
      </c>
      <c r="H164" s="15" t="str">
        <f t="shared" si="11"/>
        <v/>
      </c>
      <c r="I164" s="17" t="str">
        <f t="shared" si="12"/>
        <v/>
      </c>
      <c r="J164" s="15" t="str">
        <f t="shared" si="13"/>
        <v/>
      </c>
      <c r="K164" s="19" t="str">
        <f t="shared" si="14"/>
        <v/>
      </c>
      <c r="L164" s="33"/>
      <c r="M164" s="15" t="str">
        <f>IF(B164="","",SUMIF($B$6:B163,B164,$I$6:I163))</f>
        <v/>
      </c>
      <c r="N164" s="15" t="str">
        <f>IF(B164="","",SUMIF($B$6:B163,B164,$H$6:H163))</f>
        <v/>
      </c>
      <c r="O164" s="15" t="str">
        <f>IF(B164="","",COUNTIFS($B$6:B163,B164,$K$6:K163,"&lt;&gt;已记录"))</f>
        <v/>
      </c>
      <c r="P164" s="34"/>
    </row>
    <row r="165" spans="1:16" ht="21.75" customHeight="1">
      <c r="A165" s="16"/>
      <c r="B165" s="30"/>
      <c r="C165" s="31"/>
      <c r="D165" s="10"/>
      <c r="E165" s="10"/>
      <c r="F165" s="32"/>
      <c r="G165" s="15" t="str">
        <f t="shared" si="10"/>
        <v/>
      </c>
      <c r="H165" s="15" t="str">
        <f t="shared" si="11"/>
        <v/>
      </c>
      <c r="I165" s="17" t="str">
        <f t="shared" si="12"/>
        <v/>
      </c>
      <c r="J165" s="15" t="str">
        <f t="shared" si="13"/>
        <v/>
      </c>
      <c r="K165" s="19" t="str">
        <f t="shared" si="14"/>
        <v/>
      </c>
      <c r="L165" s="33"/>
      <c r="M165" s="15" t="str">
        <f>IF(B165="","",SUMIF($B$6:B164,B165,$I$6:I164))</f>
        <v/>
      </c>
      <c r="N165" s="15" t="str">
        <f>IF(B165="","",SUMIF($B$6:B164,B165,$H$6:H164))</f>
        <v/>
      </c>
      <c r="O165" s="15" t="str">
        <f>IF(B165="","",COUNTIFS($B$6:B164,B165,$K$6:K164,"&lt;&gt;已记录"))</f>
        <v/>
      </c>
      <c r="P165" s="34"/>
    </row>
    <row r="166" spans="1:16" ht="21.75" customHeight="1">
      <c r="A166" s="16"/>
      <c r="B166" s="30"/>
      <c r="C166" s="31"/>
      <c r="D166" s="10"/>
      <c r="E166" s="10"/>
      <c r="F166" s="32"/>
      <c r="G166" s="15" t="str">
        <f t="shared" si="10"/>
        <v/>
      </c>
      <c r="H166" s="15" t="str">
        <f t="shared" si="11"/>
        <v/>
      </c>
      <c r="I166" s="17" t="str">
        <f t="shared" si="12"/>
        <v/>
      </c>
      <c r="J166" s="15" t="str">
        <f t="shared" si="13"/>
        <v/>
      </c>
      <c r="K166" s="19" t="str">
        <f t="shared" si="14"/>
        <v/>
      </c>
      <c r="L166" s="33"/>
      <c r="M166" s="15" t="str">
        <f>IF(B166="","",SUMIF($B$6:B165,B166,$I$6:I165))</f>
        <v/>
      </c>
      <c r="N166" s="15" t="str">
        <f>IF(B166="","",SUMIF($B$6:B165,B166,$H$6:H165))</f>
        <v/>
      </c>
      <c r="O166" s="15" t="str">
        <f>IF(B166="","",COUNTIFS($B$6:B165,B166,$K$6:K165,"&lt;&gt;已记录"))</f>
        <v/>
      </c>
      <c r="P166" s="34"/>
    </row>
    <row r="167" spans="1:16" ht="21.75" customHeight="1">
      <c r="A167" s="16"/>
      <c r="B167" s="30"/>
      <c r="C167" s="31"/>
      <c r="D167" s="10"/>
      <c r="E167" s="10"/>
      <c r="F167" s="32"/>
      <c r="G167" s="15" t="str">
        <f t="shared" si="10"/>
        <v/>
      </c>
      <c r="H167" s="15" t="str">
        <f t="shared" si="11"/>
        <v/>
      </c>
      <c r="I167" s="17" t="str">
        <f t="shared" si="12"/>
        <v/>
      </c>
      <c r="J167" s="15" t="str">
        <f t="shared" si="13"/>
        <v/>
      </c>
      <c r="K167" s="19" t="str">
        <f t="shared" si="14"/>
        <v/>
      </c>
      <c r="L167" s="33"/>
      <c r="M167" s="15" t="str">
        <f>IF(B167="","",SUMIF($B$6:B166,B167,$I$6:I166))</f>
        <v/>
      </c>
      <c r="N167" s="15" t="str">
        <f>IF(B167="","",SUMIF($B$6:B166,B167,$H$6:H166))</f>
        <v/>
      </c>
      <c r="O167" s="15" t="str">
        <f>IF(B167="","",COUNTIFS($B$6:B166,B167,$K$6:K166,"&lt;&gt;已记录"))</f>
        <v/>
      </c>
      <c r="P167" s="34"/>
    </row>
    <row r="168" spans="1:16" ht="21.75" customHeight="1">
      <c r="A168" s="16"/>
      <c r="B168" s="30"/>
      <c r="C168" s="31"/>
      <c r="D168" s="10"/>
      <c r="E168" s="10"/>
      <c r="F168" s="32"/>
      <c r="G168" s="15" t="str">
        <f t="shared" si="10"/>
        <v/>
      </c>
      <c r="H168" s="15" t="str">
        <f t="shared" si="11"/>
        <v/>
      </c>
      <c r="I168" s="17" t="str">
        <f t="shared" si="12"/>
        <v/>
      </c>
      <c r="J168" s="15" t="str">
        <f t="shared" si="13"/>
        <v/>
      </c>
      <c r="K168" s="19" t="str">
        <f t="shared" si="14"/>
        <v/>
      </c>
      <c r="L168" s="33"/>
      <c r="M168" s="15" t="str">
        <f>IF(B168="","",SUMIF($B$6:B167,B168,$I$6:I167))</f>
        <v/>
      </c>
      <c r="N168" s="15" t="str">
        <f>IF(B168="","",SUMIF($B$6:B167,B168,$H$6:H167))</f>
        <v/>
      </c>
      <c r="O168" s="15" t="str">
        <f>IF(B168="","",COUNTIFS($B$6:B167,B168,$K$6:K167,"&lt;&gt;已记录"))</f>
        <v/>
      </c>
      <c r="P168" s="34"/>
    </row>
    <row r="169" spans="1:16" ht="21.75" customHeight="1">
      <c r="A169" s="16"/>
      <c r="B169" s="30"/>
      <c r="C169" s="31"/>
      <c r="D169" s="10"/>
      <c r="E169" s="10"/>
      <c r="F169" s="32"/>
      <c r="G169" s="15" t="str">
        <f t="shared" si="10"/>
        <v/>
      </c>
      <c r="H169" s="15" t="str">
        <f t="shared" si="11"/>
        <v/>
      </c>
      <c r="I169" s="17" t="str">
        <f t="shared" si="12"/>
        <v/>
      </c>
      <c r="J169" s="15" t="str">
        <f t="shared" si="13"/>
        <v/>
      </c>
      <c r="K169" s="19" t="str">
        <f t="shared" si="14"/>
        <v/>
      </c>
      <c r="L169" s="33"/>
      <c r="M169" s="15" t="str">
        <f>IF(B169="","",SUMIF($B$6:B168,B169,$I$6:I168))</f>
        <v/>
      </c>
      <c r="N169" s="15" t="str">
        <f>IF(B169="","",SUMIF($B$6:B168,B169,$H$6:H168))</f>
        <v/>
      </c>
      <c r="O169" s="15" t="str">
        <f>IF(B169="","",COUNTIFS($B$6:B168,B169,$K$6:K168,"&lt;&gt;已记录"))</f>
        <v/>
      </c>
      <c r="P169" s="34"/>
    </row>
    <row r="170" spans="1:16" ht="21.75" customHeight="1">
      <c r="A170" s="16"/>
      <c r="B170" s="30"/>
      <c r="C170" s="31"/>
      <c r="D170" s="10"/>
      <c r="E170" s="10"/>
      <c r="F170" s="32"/>
      <c r="G170" s="15" t="str">
        <f t="shared" si="10"/>
        <v/>
      </c>
      <c r="H170" s="15" t="str">
        <f t="shared" si="11"/>
        <v/>
      </c>
      <c r="I170" s="17" t="str">
        <f t="shared" si="12"/>
        <v/>
      </c>
      <c r="J170" s="15" t="str">
        <f t="shared" si="13"/>
        <v/>
      </c>
      <c r="K170" s="19" t="str">
        <f t="shared" si="14"/>
        <v/>
      </c>
      <c r="L170" s="33"/>
      <c r="M170" s="15" t="str">
        <f>IF(B170="","",SUMIF($B$6:B169,B170,$I$6:I169))</f>
        <v/>
      </c>
      <c r="N170" s="15" t="str">
        <f>IF(B170="","",SUMIF($B$6:B169,B170,$H$6:H169))</f>
        <v/>
      </c>
      <c r="O170" s="15" t="str">
        <f>IF(B170="","",COUNTIFS($B$6:B169,B170,$K$6:K169,"&lt;&gt;已记录"))</f>
        <v/>
      </c>
      <c r="P170" s="34"/>
    </row>
    <row r="171" spans="1:16" ht="21.75" customHeight="1">
      <c r="A171" s="16"/>
      <c r="B171" s="30"/>
      <c r="C171" s="31"/>
      <c r="D171" s="10"/>
      <c r="E171" s="10"/>
      <c r="F171" s="32"/>
      <c r="G171" s="15" t="str">
        <f t="shared" si="10"/>
        <v/>
      </c>
      <c r="H171" s="15" t="str">
        <f t="shared" si="11"/>
        <v/>
      </c>
      <c r="I171" s="17" t="str">
        <f t="shared" si="12"/>
        <v/>
      </c>
      <c r="J171" s="15" t="str">
        <f t="shared" si="13"/>
        <v/>
      </c>
      <c r="K171" s="19" t="str">
        <f t="shared" si="14"/>
        <v/>
      </c>
      <c r="L171" s="33"/>
      <c r="M171" s="15" t="str">
        <f>IF(B171="","",SUMIF($B$6:B170,B171,$I$6:I170))</f>
        <v/>
      </c>
      <c r="N171" s="15" t="str">
        <f>IF(B171="","",SUMIF($B$6:B170,B171,$H$6:H170))</f>
        <v/>
      </c>
      <c r="O171" s="15" t="str">
        <f>IF(B171="","",COUNTIFS($B$6:B170,B171,$K$6:K170,"&lt;&gt;已记录"))</f>
        <v/>
      </c>
      <c r="P171" s="34"/>
    </row>
    <row r="172" spans="1:16" ht="21.75" customHeight="1">
      <c r="A172" s="16"/>
      <c r="B172" s="30"/>
      <c r="C172" s="31"/>
      <c r="D172" s="10"/>
      <c r="E172" s="10"/>
      <c r="F172" s="32"/>
      <c r="G172" s="15" t="str">
        <f t="shared" si="10"/>
        <v/>
      </c>
      <c r="H172" s="15" t="str">
        <f t="shared" si="11"/>
        <v/>
      </c>
      <c r="I172" s="17" t="str">
        <f t="shared" si="12"/>
        <v/>
      </c>
      <c r="J172" s="15" t="str">
        <f t="shared" si="13"/>
        <v/>
      </c>
      <c r="K172" s="19" t="str">
        <f t="shared" si="14"/>
        <v/>
      </c>
      <c r="L172" s="33"/>
      <c r="M172" s="15" t="str">
        <f>IF(B172="","",SUMIF($B$6:B171,B172,$I$6:I171))</f>
        <v/>
      </c>
      <c r="N172" s="15" t="str">
        <f>IF(B172="","",SUMIF($B$6:B171,B172,$H$6:H171))</f>
        <v/>
      </c>
      <c r="O172" s="15" t="str">
        <f>IF(B172="","",COUNTIFS($B$6:B171,B172,$K$6:K171,"&lt;&gt;已记录"))</f>
        <v/>
      </c>
      <c r="P172" s="34"/>
    </row>
    <row r="173" spans="1:16" ht="21.75" customHeight="1">
      <c r="A173" s="16"/>
      <c r="B173" s="30"/>
      <c r="C173" s="31"/>
      <c r="D173" s="10"/>
      <c r="E173" s="10"/>
      <c r="F173" s="32"/>
      <c r="G173" s="15" t="str">
        <f t="shared" si="10"/>
        <v/>
      </c>
      <c r="H173" s="15" t="str">
        <f t="shared" si="11"/>
        <v/>
      </c>
      <c r="I173" s="17" t="str">
        <f t="shared" si="12"/>
        <v/>
      </c>
      <c r="J173" s="15" t="str">
        <f t="shared" si="13"/>
        <v/>
      </c>
      <c r="K173" s="19" t="str">
        <f t="shared" si="14"/>
        <v/>
      </c>
      <c r="L173" s="33"/>
      <c r="M173" s="15" t="str">
        <f>IF(B173="","",SUMIF($B$6:B172,B173,$I$6:I172))</f>
        <v/>
      </c>
      <c r="N173" s="15" t="str">
        <f>IF(B173="","",SUMIF($B$6:B172,B173,$H$6:H172))</f>
        <v/>
      </c>
      <c r="O173" s="15" t="str">
        <f>IF(B173="","",COUNTIFS($B$6:B172,B173,$K$6:K172,"&lt;&gt;已记录"))</f>
        <v/>
      </c>
      <c r="P173" s="34"/>
    </row>
    <row r="174" spans="1:16" ht="21.75" customHeight="1">
      <c r="A174" s="16"/>
      <c r="B174" s="30"/>
      <c r="C174" s="31"/>
      <c r="D174" s="10"/>
      <c r="E174" s="10"/>
      <c r="F174" s="32"/>
      <c r="G174" s="15" t="str">
        <f t="shared" si="10"/>
        <v/>
      </c>
      <c r="H174" s="15" t="str">
        <f t="shared" si="11"/>
        <v/>
      </c>
      <c r="I174" s="17" t="str">
        <f t="shared" si="12"/>
        <v/>
      </c>
      <c r="J174" s="15" t="str">
        <f t="shared" si="13"/>
        <v/>
      </c>
      <c r="K174" s="19" t="str">
        <f t="shared" si="14"/>
        <v/>
      </c>
      <c r="L174" s="33"/>
      <c r="M174" s="15" t="str">
        <f>IF(B174="","",SUMIF($B$6:B173,B174,$I$6:I173))</f>
        <v/>
      </c>
      <c r="N174" s="15" t="str">
        <f>IF(B174="","",SUMIF($B$6:B173,B174,$H$6:H173))</f>
        <v/>
      </c>
      <c r="O174" s="15" t="str">
        <f>IF(B174="","",COUNTIFS($B$6:B173,B174,$K$6:K173,"&lt;&gt;已记录"))</f>
        <v/>
      </c>
      <c r="P174" s="34"/>
    </row>
    <row r="175" spans="1:16" ht="21.75" customHeight="1">
      <c r="A175" s="16"/>
      <c r="B175" s="30"/>
      <c r="C175" s="31"/>
      <c r="D175" s="10"/>
      <c r="E175" s="10"/>
      <c r="F175" s="32"/>
      <c r="G175" s="15" t="str">
        <f t="shared" si="10"/>
        <v/>
      </c>
      <c r="H175" s="15" t="str">
        <f t="shared" si="11"/>
        <v/>
      </c>
      <c r="I175" s="17" t="str">
        <f t="shared" si="12"/>
        <v/>
      </c>
      <c r="J175" s="15" t="str">
        <f t="shared" si="13"/>
        <v/>
      </c>
      <c r="K175" s="19" t="str">
        <f t="shared" si="14"/>
        <v/>
      </c>
      <c r="L175" s="33"/>
      <c r="M175" s="15" t="str">
        <f>IF(B175="","",SUMIF($B$6:B174,B175,$I$6:I174))</f>
        <v/>
      </c>
      <c r="N175" s="15" t="str">
        <f>IF(B175="","",SUMIF($B$6:B174,B175,$H$6:H174))</f>
        <v/>
      </c>
      <c r="O175" s="15" t="str">
        <f>IF(B175="","",COUNTIFS($B$6:B174,B175,$K$6:K174,"&lt;&gt;已记录"))</f>
        <v/>
      </c>
      <c r="P175" s="34"/>
    </row>
    <row r="176" spans="1:16" ht="21.75" customHeight="1">
      <c r="A176" s="16"/>
      <c r="B176" s="30"/>
      <c r="C176" s="31"/>
      <c r="D176" s="10"/>
      <c r="E176" s="10"/>
      <c r="F176" s="32"/>
      <c r="G176" s="15" t="str">
        <f t="shared" si="10"/>
        <v/>
      </c>
      <c r="H176" s="15" t="str">
        <f t="shared" si="11"/>
        <v/>
      </c>
      <c r="I176" s="17" t="str">
        <f t="shared" si="12"/>
        <v/>
      </c>
      <c r="J176" s="15" t="str">
        <f t="shared" si="13"/>
        <v/>
      </c>
      <c r="K176" s="19" t="str">
        <f t="shared" si="14"/>
        <v/>
      </c>
      <c r="L176" s="33"/>
      <c r="M176" s="15" t="str">
        <f>IF(B176="","",SUMIF($B$6:B175,B176,$I$6:I175))</f>
        <v/>
      </c>
      <c r="N176" s="15" t="str">
        <f>IF(B176="","",SUMIF($B$6:B175,B176,$H$6:H175))</f>
        <v/>
      </c>
      <c r="O176" s="15" t="str">
        <f>IF(B176="","",COUNTIFS($B$6:B175,B176,$K$6:K175,"&lt;&gt;已记录"))</f>
        <v/>
      </c>
      <c r="P176" s="34"/>
    </row>
    <row r="177" spans="1:16" ht="21.75" customHeight="1">
      <c r="A177" s="16"/>
      <c r="B177" s="30"/>
      <c r="C177" s="31"/>
      <c r="D177" s="10"/>
      <c r="E177" s="10"/>
      <c r="F177" s="32"/>
      <c r="G177" s="15" t="str">
        <f t="shared" si="10"/>
        <v/>
      </c>
      <c r="H177" s="15" t="str">
        <f t="shared" si="11"/>
        <v/>
      </c>
      <c r="I177" s="17" t="str">
        <f t="shared" si="12"/>
        <v/>
      </c>
      <c r="J177" s="15" t="str">
        <f t="shared" si="13"/>
        <v/>
      </c>
      <c r="K177" s="19" t="str">
        <f t="shared" si="14"/>
        <v/>
      </c>
      <c r="L177" s="33"/>
      <c r="M177" s="15" t="str">
        <f>IF(B177="","",SUMIF($B$6:B176,B177,$I$6:I176))</f>
        <v/>
      </c>
      <c r="N177" s="15" t="str">
        <f>IF(B177="","",SUMIF($B$6:B176,B177,$H$6:H176))</f>
        <v/>
      </c>
      <c r="O177" s="15" t="str">
        <f>IF(B177="","",COUNTIFS($B$6:B176,B177,$K$6:K176,"&lt;&gt;已记录"))</f>
        <v/>
      </c>
      <c r="P177" s="34"/>
    </row>
    <row r="178" spans="1:16" ht="21.75" customHeight="1">
      <c r="A178" s="16"/>
      <c r="B178" s="30"/>
      <c r="C178" s="31"/>
      <c r="D178" s="10"/>
      <c r="E178" s="10"/>
      <c r="F178" s="32"/>
      <c r="G178" s="15" t="str">
        <f t="shared" si="10"/>
        <v/>
      </c>
      <c r="H178" s="15" t="str">
        <f t="shared" si="11"/>
        <v/>
      </c>
      <c r="I178" s="17" t="str">
        <f t="shared" si="12"/>
        <v/>
      </c>
      <c r="J178" s="15" t="str">
        <f t="shared" si="13"/>
        <v/>
      </c>
      <c r="K178" s="19" t="str">
        <f t="shared" si="14"/>
        <v/>
      </c>
      <c r="L178" s="33"/>
      <c r="M178" s="15" t="str">
        <f>IF(B178="","",SUMIF($B$6:B177,B178,$I$6:I177))</f>
        <v/>
      </c>
      <c r="N178" s="15" t="str">
        <f>IF(B178="","",SUMIF($B$6:B177,B178,$H$6:H177))</f>
        <v/>
      </c>
      <c r="O178" s="15" t="str">
        <f>IF(B178="","",COUNTIFS($B$6:B177,B178,$K$6:K177,"&lt;&gt;已记录"))</f>
        <v/>
      </c>
      <c r="P178" s="34"/>
    </row>
    <row r="179" spans="1:16" ht="21.75" customHeight="1">
      <c r="A179" s="16"/>
      <c r="B179" s="30"/>
      <c r="C179" s="31"/>
      <c r="D179" s="10"/>
      <c r="E179" s="10"/>
      <c r="F179" s="32"/>
      <c r="G179" s="15" t="str">
        <f t="shared" si="10"/>
        <v/>
      </c>
      <c r="H179" s="15" t="str">
        <f t="shared" si="11"/>
        <v/>
      </c>
      <c r="I179" s="17" t="str">
        <f t="shared" si="12"/>
        <v/>
      </c>
      <c r="J179" s="15" t="str">
        <f t="shared" si="13"/>
        <v/>
      </c>
      <c r="K179" s="19" t="str">
        <f t="shared" si="14"/>
        <v/>
      </c>
      <c r="L179" s="33"/>
      <c r="M179" s="15" t="str">
        <f>IF(B179="","",SUMIF($B$6:B178,B179,$I$6:I178))</f>
        <v/>
      </c>
      <c r="N179" s="15" t="str">
        <f>IF(B179="","",SUMIF($B$6:B178,B179,$H$6:H178))</f>
        <v/>
      </c>
      <c r="O179" s="15" t="str">
        <f>IF(B179="","",COUNTIFS($B$6:B178,B179,$K$6:K178,"&lt;&gt;已记录"))</f>
        <v/>
      </c>
      <c r="P179" s="34"/>
    </row>
    <row r="180" spans="1:16" ht="21.75" customHeight="1">
      <c r="A180" s="16"/>
      <c r="B180" s="30"/>
      <c r="C180" s="31"/>
      <c r="D180" s="10"/>
      <c r="E180" s="10"/>
      <c r="F180" s="32"/>
      <c r="G180" s="15" t="str">
        <f t="shared" si="10"/>
        <v/>
      </c>
      <c r="H180" s="15" t="str">
        <f t="shared" si="11"/>
        <v/>
      </c>
      <c r="I180" s="17" t="str">
        <f t="shared" si="12"/>
        <v/>
      </c>
      <c r="J180" s="15" t="str">
        <f t="shared" si="13"/>
        <v/>
      </c>
      <c r="K180" s="19" t="str">
        <f t="shared" si="14"/>
        <v/>
      </c>
      <c r="L180" s="33"/>
      <c r="M180" s="15" t="str">
        <f>IF(B180="","",SUMIF($B$6:B179,B180,$I$6:I179))</f>
        <v/>
      </c>
      <c r="N180" s="15" t="str">
        <f>IF(B180="","",SUMIF($B$6:B179,B180,$H$6:H179))</f>
        <v/>
      </c>
      <c r="O180" s="15" t="str">
        <f>IF(B180="","",COUNTIFS($B$6:B179,B180,$K$6:K179,"&lt;&gt;已记录"))</f>
        <v/>
      </c>
      <c r="P180" s="34"/>
    </row>
    <row r="181" spans="1:16" ht="21.75" customHeight="1">
      <c r="A181" s="16"/>
      <c r="B181" s="30"/>
      <c r="C181" s="31"/>
      <c r="D181" s="10"/>
      <c r="E181" s="10"/>
      <c r="F181" s="32"/>
      <c r="G181" s="15" t="str">
        <f t="shared" si="10"/>
        <v/>
      </c>
      <c r="H181" s="15" t="str">
        <f t="shared" si="11"/>
        <v/>
      </c>
      <c r="I181" s="17" t="str">
        <f t="shared" si="12"/>
        <v/>
      </c>
      <c r="J181" s="15" t="str">
        <f t="shared" si="13"/>
        <v/>
      </c>
      <c r="K181" s="19" t="str">
        <f t="shared" si="14"/>
        <v/>
      </c>
      <c r="L181" s="33"/>
      <c r="M181" s="15" t="str">
        <f>IF(B181="","",SUMIF($B$6:B180,B181,$I$6:I180))</f>
        <v/>
      </c>
      <c r="N181" s="15" t="str">
        <f>IF(B181="","",SUMIF($B$6:B180,B181,$H$6:H180))</f>
        <v/>
      </c>
      <c r="O181" s="15" t="str">
        <f>IF(B181="","",COUNTIFS($B$6:B180,B181,$K$6:K180,"&lt;&gt;已记录"))</f>
        <v/>
      </c>
      <c r="P181" s="34"/>
    </row>
    <row r="182" spans="1:16" ht="21.75" customHeight="1">
      <c r="A182" s="16"/>
      <c r="B182" s="30"/>
      <c r="C182" s="31"/>
      <c r="D182" s="10"/>
      <c r="E182" s="10"/>
      <c r="F182" s="32"/>
      <c r="G182" s="15" t="str">
        <f t="shared" si="10"/>
        <v/>
      </c>
      <c r="H182" s="15" t="str">
        <f t="shared" si="11"/>
        <v/>
      </c>
      <c r="I182" s="17" t="str">
        <f t="shared" si="12"/>
        <v/>
      </c>
      <c r="J182" s="15" t="str">
        <f t="shared" si="13"/>
        <v/>
      </c>
      <c r="K182" s="19" t="str">
        <f t="shared" si="14"/>
        <v/>
      </c>
      <c r="L182" s="33"/>
      <c r="M182" s="15" t="str">
        <f>IF(B182="","",SUMIF($B$6:B181,B182,$I$6:I181))</f>
        <v/>
      </c>
      <c r="N182" s="15" t="str">
        <f>IF(B182="","",SUMIF($B$6:B181,B182,$H$6:H181))</f>
        <v/>
      </c>
      <c r="O182" s="15" t="str">
        <f>IF(B182="","",COUNTIFS($B$6:B181,B182,$K$6:K181,"&lt;&gt;已记录"))</f>
        <v/>
      </c>
      <c r="P182" s="34"/>
    </row>
    <row r="183" spans="1:16" ht="21.75" customHeight="1">
      <c r="A183" s="16"/>
      <c r="B183" s="30"/>
      <c r="C183" s="31"/>
      <c r="D183" s="10"/>
      <c r="E183" s="10"/>
      <c r="F183" s="32"/>
      <c r="G183" s="15" t="str">
        <f t="shared" si="10"/>
        <v/>
      </c>
      <c r="H183" s="15" t="str">
        <f t="shared" si="11"/>
        <v/>
      </c>
      <c r="I183" s="17" t="str">
        <f t="shared" si="12"/>
        <v/>
      </c>
      <c r="J183" s="15" t="str">
        <f t="shared" si="13"/>
        <v/>
      </c>
      <c r="K183" s="19" t="str">
        <f t="shared" si="14"/>
        <v/>
      </c>
      <c r="L183" s="33"/>
      <c r="M183" s="15" t="str">
        <f>IF(B183="","",SUMIF($B$6:B182,B183,$I$6:I182))</f>
        <v/>
      </c>
      <c r="N183" s="15" t="str">
        <f>IF(B183="","",SUMIF($B$6:B182,B183,$H$6:H182))</f>
        <v/>
      </c>
      <c r="O183" s="15" t="str">
        <f>IF(B183="","",COUNTIFS($B$6:B182,B183,$K$6:K182,"&lt;&gt;已记录"))</f>
        <v/>
      </c>
      <c r="P183" s="34"/>
    </row>
    <row r="184" spans="1:16" ht="21.75" customHeight="1">
      <c r="A184" s="16"/>
      <c r="B184" s="30"/>
      <c r="C184" s="31"/>
      <c r="D184" s="10"/>
      <c r="E184" s="10"/>
      <c r="F184" s="32"/>
      <c r="G184" s="15" t="str">
        <f t="shared" si="10"/>
        <v/>
      </c>
      <c r="H184" s="15" t="str">
        <f t="shared" si="11"/>
        <v/>
      </c>
      <c r="I184" s="17" t="str">
        <f t="shared" si="12"/>
        <v/>
      </c>
      <c r="J184" s="15" t="str">
        <f t="shared" si="13"/>
        <v/>
      </c>
      <c r="K184" s="19" t="str">
        <f t="shared" si="14"/>
        <v/>
      </c>
      <c r="L184" s="33"/>
      <c r="M184" s="15" t="str">
        <f>IF(B184="","",SUMIF($B$6:B183,B184,$I$6:I183))</f>
        <v/>
      </c>
      <c r="N184" s="15" t="str">
        <f>IF(B184="","",SUMIF($B$6:B183,B184,$H$6:H183))</f>
        <v/>
      </c>
      <c r="O184" s="15" t="str">
        <f>IF(B184="","",COUNTIFS($B$6:B183,B184,$K$6:K183,"&lt;&gt;已记录"))</f>
        <v/>
      </c>
      <c r="P184" s="34"/>
    </row>
    <row r="185" spans="1:16" ht="21.75" customHeight="1">
      <c r="A185" s="16"/>
      <c r="B185" s="30"/>
      <c r="C185" s="31"/>
      <c r="D185" s="10"/>
      <c r="E185" s="10"/>
      <c r="F185" s="32"/>
      <c r="G185" s="15" t="str">
        <f t="shared" si="10"/>
        <v/>
      </c>
      <c r="H185" s="15" t="str">
        <f t="shared" si="11"/>
        <v/>
      </c>
      <c r="I185" s="17" t="str">
        <f t="shared" si="12"/>
        <v/>
      </c>
      <c r="J185" s="15" t="str">
        <f t="shared" si="13"/>
        <v/>
      </c>
      <c r="K185" s="19" t="str">
        <f t="shared" si="14"/>
        <v/>
      </c>
      <c r="L185" s="33"/>
      <c r="M185" s="15" t="str">
        <f>IF(B185="","",SUMIF($B$6:B184,B185,$I$6:I184))</f>
        <v/>
      </c>
      <c r="N185" s="15" t="str">
        <f>IF(B185="","",SUMIF($B$6:B184,B185,$H$6:H184))</f>
        <v/>
      </c>
      <c r="O185" s="15" t="str">
        <f>IF(B185="","",COUNTIFS($B$6:B184,B185,$K$6:K184,"&lt;&gt;已记录"))</f>
        <v/>
      </c>
      <c r="P185" s="34"/>
    </row>
    <row r="186" spans="1:16" ht="21.75" customHeight="1">
      <c r="A186" s="16"/>
      <c r="B186" s="30"/>
      <c r="C186" s="31"/>
      <c r="D186" s="10"/>
      <c r="E186" s="10"/>
      <c r="F186" s="32"/>
      <c r="G186" s="15" t="str">
        <f t="shared" si="10"/>
        <v/>
      </c>
      <c r="H186" s="15" t="str">
        <f t="shared" si="11"/>
        <v/>
      </c>
      <c r="I186" s="17" t="str">
        <f t="shared" si="12"/>
        <v/>
      </c>
      <c r="J186" s="15" t="str">
        <f t="shared" si="13"/>
        <v/>
      </c>
      <c r="K186" s="19" t="str">
        <f t="shared" si="14"/>
        <v/>
      </c>
      <c r="L186" s="33"/>
      <c r="M186" s="15" t="str">
        <f>IF(B186="","",SUMIF($B$6:B185,B186,$I$6:I185))</f>
        <v/>
      </c>
      <c r="N186" s="15" t="str">
        <f>IF(B186="","",SUMIF($B$6:B185,B186,$H$6:H185))</f>
        <v/>
      </c>
      <c r="O186" s="15" t="str">
        <f>IF(B186="","",COUNTIFS($B$6:B185,B186,$K$6:K185,"&lt;&gt;已记录"))</f>
        <v/>
      </c>
      <c r="P186" s="34"/>
    </row>
    <row r="187" spans="1:16" ht="21.75" customHeight="1">
      <c r="A187" s="16"/>
      <c r="B187" s="30"/>
      <c r="C187" s="31"/>
      <c r="D187" s="10"/>
      <c r="E187" s="10"/>
      <c r="F187" s="32"/>
      <c r="G187" s="15" t="str">
        <f t="shared" si="10"/>
        <v/>
      </c>
      <c r="H187" s="15" t="str">
        <f t="shared" si="11"/>
        <v/>
      </c>
      <c r="I187" s="17" t="str">
        <f t="shared" si="12"/>
        <v/>
      </c>
      <c r="J187" s="15" t="str">
        <f t="shared" si="13"/>
        <v/>
      </c>
      <c r="K187" s="19" t="str">
        <f t="shared" si="14"/>
        <v/>
      </c>
      <c r="L187" s="33"/>
      <c r="M187" s="15" t="str">
        <f>IF(B187="","",SUMIF($B$6:B186,B187,$I$6:I186))</f>
        <v/>
      </c>
      <c r="N187" s="15" t="str">
        <f>IF(B187="","",SUMIF($B$6:B186,B187,$H$6:H186))</f>
        <v/>
      </c>
      <c r="O187" s="15" t="str">
        <f>IF(B187="","",COUNTIFS($B$6:B186,B187,$K$6:K186,"&lt;&gt;已记录"))</f>
        <v/>
      </c>
      <c r="P187" s="34"/>
    </row>
    <row r="188" spans="1:16" ht="21.75" customHeight="1">
      <c r="A188" s="16"/>
      <c r="B188" s="30"/>
      <c r="C188" s="31"/>
      <c r="D188" s="10"/>
      <c r="E188" s="10"/>
      <c r="F188" s="32"/>
      <c r="G188" s="15" t="str">
        <f t="shared" si="10"/>
        <v/>
      </c>
      <c r="H188" s="15" t="str">
        <f t="shared" si="11"/>
        <v/>
      </c>
      <c r="I188" s="17" t="str">
        <f t="shared" si="12"/>
        <v/>
      </c>
      <c r="J188" s="15" t="str">
        <f t="shared" si="13"/>
        <v/>
      </c>
      <c r="K188" s="19" t="str">
        <f t="shared" si="14"/>
        <v/>
      </c>
      <c r="L188" s="33"/>
      <c r="M188" s="15" t="str">
        <f>IF(B188="","",SUMIF($B$6:B187,B188,$I$6:I187))</f>
        <v/>
      </c>
      <c r="N188" s="15" t="str">
        <f>IF(B188="","",SUMIF($B$6:B187,B188,$H$6:H187))</f>
        <v/>
      </c>
      <c r="O188" s="15" t="str">
        <f>IF(B188="","",COUNTIFS($B$6:B187,B188,$K$6:K187,"&lt;&gt;已记录"))</f>
        <v/>
      </c>
      <c r="P188" s="34"/>
    </row>
    <row r="189" spans="1:16" ht="21.75" customHeight="1">
      <c r="A189" s="16"/>
      <c r="B189" s="30"/>
      <c r="C189" s="31"/>
      <c r="D189" s="10"/>
      <c r="E189" s="10"/>
      <c r="F189" s="32"/>
      <c r="G189" s="15" t="str">
        <f t="shared" si="10"/>
        <v/>
      </c>
      <c r="H189" s="15" t="str">
        <f t="shared" si="11"/>
        <v/>
      </c>
      <c r="I189" s="17" t="str">
        <f t="shared" si="12"/>
        <v/>
      </c>
      <c r="J189" s="15" t="str">
        <f t="shared" si="13"/>
        <v/>
      </c>
      <c r="K189" s="19" t="str">
        <f t="shared" si="14"/>
        <v/>
      </c>
      <c r="L189" s="33"/>
      <c r="M189" s="15" t="str">
        <f>IF(B189="","",SUMIF($B$6:B188,B189,$I$6:I188))</f>
        <v/>
      </c>
      <c r="N189" s="15" t="str">
        <f>IF(B189="","",SUMIF($B$6:B188,B189,$H$6:H188))</f>
        <v/>
      </c>
      <c r="O189" s="15" t="str">
        <f>IF(B189="","",COUNTIFS($B$6:B188,B189,$K$6:K188,"&lt;&gt;已记录"))</f>
        <v/>
      </c>
      <c r="P189" s="34"/>
    </row>
    <row r="190" spans="1:16" ht="21.75" customHeight="1">
      <c r="A190" s="16"/>
      <c r="B190" s="30"/>
      <c r="C190" s="31"/>
      <c r="D190" s="10"/>
      <c r="E190" s="10"/>
      <c r="F190" s="32"/>
      <c r="G190" s="15" t="str">
        <f t="shared" si="10"/>
        <v/>
      </c>
      <c r="H190" s="15" t="str">
        <f t="shared" si="11"/>
        <v/>
      </c>
      <c r="I190" s="17" t="str">
        <f t="shared" si="12"/>
        <v/>
      </c>
      <c r="J190" s="15" t="str">
        <f t="shared" si="13"/>
        <v/>
      </c>
      <c r="K190" s="19" t="str">
        <f t="shared" si="14"/>
        <v/>
      </c>
      <c r="L190" s="33"/>
      <c r="M190" s="15" t="str">
        <f>IF(B190="","",SUMIF($B$6:B189,B190,$I$6:I189))</f>
        <v/>
      </c>
      <c r="N190" s="15" t="str">
        <f>IF(B190="","",SUMIF($B$6:B189,B190,$H$6:H189))</f>
        <v/>
      </c>
      <c r="O190" s="15" t="str">
        <f>IF(B190="","",COUNTIFS($B$6:B189,B190,$K$6:K189,"&lt;&gt;已记录"))</f>
        <v/>
      </c>
      <c r="P190" s="34"/>
    </row>
    <row r="191" spans="1:16" ht="21.75" customHeight="1">
      <c r="A191" s="16"/>
      <c r="B191" s="30"/>
      <c r="C191" s="31"/>
      <c r="D191" s="10"/>
      <c r="E191" s="10"/>
      <c r="F191" s="32"/>
      <c r="G191" s="15" t="str">
        <f t="shared" si="10"/>
        <v/>
      </c>
      <c r="H191" s="15" t="str">
        <f t="shared" si="11"/>
        <v/>
      </c>
      <c r="I191" s="17" t="str">
        <f t="shared" si="12"/>
        <v/>
      </c>
      <c r="J191" s="15" t="str">
        <f t="shared" si="13"/>
        <v/>
      </c>
      <c r="K191" s="19" t="str">
        <f t="shared" si="14"/>
        <v/>
      </c>
      <c r="L191" s="33"/>
      <c r="M191" s="15" t="str">
        <f>IF(B191="","",SUMIF($B$6:B190,B191,$I$6:I190))</f>
        <v/>
      </c>
      <c r="N191" s="15" t="str">
        <f>IF(B191="","",SUMIF($B$6:B190,B191,$H$6:H190))</f>
        <v/>
      </c>
      <c r="O191" s="15" t="str">
        <f>IF(B191="","",COUNTIFS($B$6:B190,B191,$K$6:K190,"&lt;&gt;已记录"))</f>
        <v/>
      </c>
      <c r="P191" s="34"/>
    </row>
    <row r="192" spans="1:16" ht="21.75" customHeight="1">
      <c r="A192" s="16"/>
      <c r="B192" s="30"/>
      <c r="C192" s="31"/>
      <c r="D192" s="10"/>
      <c r="E192" s="10"/>
      <c r="F192" s="32"/>
      <c r="G192" s="15" t="str">
        <f t="shared" si="10"/>
        <v/>
      </c>
      <c r="H192" s="15" t="str">
        <f t="shared" si="11"/>
        <v/>
      </c>
      <c r="I192" s="17" t="str">
        <f t="shared" si="12"/>
        <v/>
      </c>
      <c r="J192" s="15" t="str">
        <f t="shared" si="13"/>
        <v/>
      </c>
      <c r="K192" s="19" t="str">
        <f t="shared" si="14"/>
        <v/>
      </c>
      <c r="L192" s="33"/>
      <c r="M192" s="15" t="str">
        <f>IF(B192="","",SUMIF($B$6:B191,B192,$I$6:I191))</f>
        <v/>
      </c>
      <c r="N192" s="15" t="str">
        <f>IF(B192="","",SUMIF($B$6:B191,B192,$H$6:H191))</f>
        <v/>
      </c>
      <c r="O192" s="15" t="str">
        <f>IF(B192="","",COUNTIFS($B$6:B191,B192,$K$6:K191,"&lt;&gt;已记录"))</f>
        <v/>
      </c>
      <c r="P192" s="34"/>
    </row>
    <row r="193" spans="1:16" ht="21.75" customHeight="1">
      <c r="A193" s="16"/>
      <c r="B193" s="30"/>
      <c r="C193" s="31"/>
      <c r="D193" s="10"/>
      <c r="E193" s="10"/>
      <c r="F193" s="32"/>
      <c r="G193" s="15" t="str">
        <f t="shared" si="10"/>
        <v/>
      </c>
      <c r="H193" s="15" t="str">
        <f t="shared" si="11"/>
        <v/>
      </c>
      <c r="I193" s="17" t="str">
        <f t="shared" si="12"/>
        <v/>
      </c>
      <c r="J193" s="15" t="str">
        <f t="shared" si="13"/>
        <v/>
      </c>
      <c r="K193" s="19" t="str">
        <f t="shared" si="14"/>
        <v/>
      </c>
      <c r="L193" s="33"/>
      <c r="M193" s="15" t="str">
        <f>IF(B193="","",SUMIF($B$6:B192,B193,$I$6:I192))</f>
        <v/>
      </c>
      <c r="N193" s="15" t="str">
        <f>IF(B193="","",SUMIF($B$6:B192,B193,$H$6:H192))</f>
        <v/>
      </c>
      <c r="O193" s="15" t="str">
        <f>IF(B193="","",COUNTIFS($B$6:B192,B193,$K$6:K192,"&lt;&gt;已记录"))</f>
        <v/>
      </c>
      <c r="P193" s="34"/>
    </row>
    <row r="194" spans="1:16" ht="21.75" customHeight="1">
      <c r="A194" s="16"/>
      <c r="B194" s="30"/>
      <c r="C194" s="31"/>
      <c r="D194" s="10"/>
      <c r="E194" s="10"/>
      <c r="F194" s="32"/>
      <c r="G194" s="15" t="str">
        <f t="shared" si="10"/>
        <v/>
      </c>
      <c r="H194" s="15" t="str">
        <f t="shared" si="11"/>
        <v/>
      </c>
      <c r="I194" s="17" t="str">
        <f t="shared" si="12"/>
        <v/>
      </c>
      <c r="J194" s="15" t="str">
        <f t="shared" si="13"/>
        <v/>
      </c>
      <c r="K194" s="19" t="str">
        <f t="shared" si="14"/>
        <v/>
      </c>
      <c r="L194" s="33"/>
      <c r="M194" s="15" t="str">
        <f>IF(B194="","",SUMIF($B$6:B193,B194,$I$6:I193))</f>
        <v/>
      </c>
      <c r="N194" s="15" t="str">
        <f>IF(B194="","",SUMIF($B$6:B193,B194,$H$6:H193))</f>
        <v/>
      </c>
      <c r="O194" s="15" t="str">
        <f>IF(B194="","",COUNTIFS($B$6:B193,B194,$K$6:K193,"&lt;&gt;已记录"))</f>
        <v/>
      </c>
      <c r="P194" s="34"/>
    </row>
    <row r="195" spans="1:16" ht="21.75" customHeight="1">
      <c r="A195" s="16"/>
      <c r="B195" s="30"/>
      <c r="C195" s="31"/>
      <c r="D195" s="10"/>
      <c r="E195" s="10"/>
      <c r="F195" s="32"/>
      <c r="G195" s="15" t="str">
        <f t="shared" si="10"/>
        <v/>
      </c>
      <c r="H195" s="15" t="str">
        <f t="shared" si="11"/>
        <v/>
      </c>
      <c r="I195" s="17" t="str">
        <f t="shared" si="12"/>
        <v/>
      </c>
      <c r="J195" s="15" t="str">
        <f t="shared" si="13"/>
        <v/>
      </c>
      <c r="K195" s="19" t="str">
        <f t="shared" si="14"/>
        <v/>
      </c>
      <c r="L195" s="33"/>
      <c r="M195" s="15" t="str">
        <f>IF(B195="","",SUMIF($B$6:B194,B195,$I$6:I194))</f>
        <v/>
      </c>
      <c r="N195" s="15" t="str">
        <f>IF(B195="","",SUMIF($B$6:B194,B195,$H$6:H194))</f>
        <v/>
      </c>
      <c r="O195" s="15" t="str">
        <f>IF(B195="","",COUNTIFS($B$6:B194,B195,$K$6:K194,"&lt;&gt;已记录"))</f>
        <v/>
      </c>
      <c r="P195" s="34"/>
    </row>
    <row r="196" spans="1:16" ht="21.75" customHeight="1">
      <c r="A196" s="16"/>
      <c r="B196" s="30"/>
      <c r="C196" s="31"/>
      <c r="D196" s="10"/>
      <c r="E196" s="10"/>
      <c r="F196" s="32"/>
      <c r="G196" s="15" t="str">
        <f t="shared" si="10"/>
        <v/>
      </c>
      <c r="H196" s="15" t="str">
        <f t="shared" si="11"/>
        <v/>
      </c>
      <c r="I196" s="17" t="str">
        <f t="shared" si="12"/>
        <v/>
      </c>
      <c r="J196" s="15" t="str">
        <f t="shared" si="13"/>
        <v/>
      </c>
      <c r="K196" s="19" t="str">
        <f t="shared" si="14"/>
        <v/>
      </c>
      <c r="L196" s="33"/>
      <c r="M196" s="15" t="str">
        <f>IF(B196="","",SUMIF($B$6:B195,B196,$I$6:I195))</f>
        <v/>
      </c>
      <c r="N196" s="15" t="str">
        <f>IF(B196="","",SUMIF($B$6:B195,B196,$H$6:H195))</f>
        <v/>
      </c>
      <c r="O196" s="15" t="str">
        <f>IF(B196="","",COUNTIFS($B$6:B195,B196,$K$6:K195,"&lt;&gt;已记录"))</f>
        <v/>
      </c>
      <c r="P196" s="34"/>
    </row>
    <row r="197" spans="1:16" ht="21.75" customHeight="1">
      <c r="A197" s="16"/>
      <c r="B197" s="30"/>
      <c r="C197" s="31"/>
      <c r="D197" s="10"/>
      <c r="E197" s="10"/>
      <c r="F197" s="32"/>
      <c r="G197" s="15" t="str">
        <f t="shared" si="10"/>
        <v/>
      </c>
      <c r="H197" s="15" t="str">
        <f t="shared" si="11"/>
        <v/>
      </c>
      <c r="I197" s="17" t="str">
        <f t="shared" si="12"/>
        <v/>
      </c>
      <c r="J197" s="15" t="str">
        <f t="shared" si="13"/>
        <v/>
      </c>
      <c r="K197" s="19" t="str">
        <f t="shared" si="14"/>
        <v/>
      </c>
      <c r="L197" s="33"/>
      <c r="M197" s="15" t="str">
        <f>IF(B197="","",SUMIF($B$6:B196,B197,$I$6:I196))</f>
        <v/>
      </c>
      <c r="N197" s="15" t="str">
        <f>IF(B197="","",SUMIF($B$6:B196,B197,$H$6:H196))</f>
        <v/>
      </c>
      <c r="O197" s="15" t="str">
        <f>IF(B197="","",COUNTIFS($B$6:B196,B197,$K$6:K196,"&lt;&gt;已记录"))</f>
        <v/>
      </c>
      <c r="P197" s="34"/>
    </row>
    <row r="198" spans="1:16" ht="21.75" customHeight="1">
      <c r="A198" s="16"/>
      <c r="B198" s="30"/>
      <c r="C198" s="31"/>
      <c r="D198" s="10"/>
      <c r="E198" s="10"/>
      <c r="F198" s="32"/>
      <c r="G198" s="15" t="str">
        <f t="shared" ref="G198:G261" si="15">IF(OR(B198="",D198="",C198=""),"",IF(C198="买入",-(D198+E198),IF(C198="卖出",D198-E198,"")))</f>
        <v/>
      </c>
      <c r="H198" s="15" t="str">
        <f t="shared" ref="H198:H261" si="16">IF(K198&lt;&gt;"已记录","",IF(C198="买入",D198+E198,-IF(M198=0,0,N198/M198*F198)))</f>
        <v/>
      </c>
      <c r="I198" s="17" t="str">
        <f t="shared" ref="I198:I261" si="17">IF(K198&lt;&gt;"已记录","",IF(C198="买入",F198,-F198))</f>
        <v/>
      </c>
      <c r="J198" s="15" t="str">
        <f t="shared" ref="J198:J261" si="18">IF(K198&lt;&gt;"已记录","",IF(C198="卖出",D198-E198+H198,0))</f>
        <v/>
      </c>
      <c r="K198" s="19" t="str">
        <f t="shared" ref="K198:K261" si="19">IF(B198="","",IF(OR(A198="",D198="",F198="",C198=""),"待补日期／金额／份额",IF(OR(D198&lt;=0,F198&lt;=0,E198&lt;0,AND(C198&lt;&gt;"买入",C198&lt;&gt;"卖出"),AND(C198="卖出",E198&gt;D198)),"请检查输入",IF(O198&gt;0,"待补前序记录",IF(AND(C198="卖出",F198&gt;M198+0.00000001),"卖出超过持仓","已记录")))))</f>
        <v/>
      </c>
      <c r="L198" s="33"/>
      <c r="M198" s="15" t="str">
        <f>IF(B198="","",SUMIF($B$6:B197,B198,$I$6:I197))</f>
        <v/>
      </c>
      <c r="N198" s="15" t="str">
        <f>IF(B198="","",SUMIF($B$6:B197,B198,$H$6:H197))</f>
        <v/>
      </c>
      <c r="O198" s="15" t="str">
        <f>IF(B198="","",COUNTIFS($B$6:B197,B198,$K$6:K197,"&lt;&gt;已记录"))</f>
        <v/>
      </c>
      <c r="P198" s="34"/>
    </row>
    <row r="199" spans="1:16" ht="21.75" customHeight="1">
      <c r="A199" s="16"/>
      <c r="B199" s="30"/>
      <c r="C199" s="31"/>
      <c r="D199" s="10"/>
      <c r="E199" s="10"/>
      <c r="F199" s="32"/>
      <c r="G199" s="15" t="str">
        <f t="shared" si="15"/>
        <v/>
      </c>
      <c r="H199" s="15" t="str">
        <f t="shared" si="16"/>
        <v/>
      </c>
      <c r="I199" s="17" t="str">
        <f t="shared" si="17"/>
        <v/>
      </c>
      <c r="J199" s="15" t="str">
        <f t="shared" si="18"/>
        <v/>
      </c>
      <c r="K199" s="19" t="str">
        <f t="shared" si="19"/>
        <v/>
      </c>
      <c r="L199" s="33"/>
      <c r="M199" s="15" t="str">
        <f>IF(B199="","",SUMIF($B$6:B198,B199,$I$6:I198))</f>
        <v/>
      </c>
      <c r="N199" s="15" t="str">
        <f>IF(B199="","",SUMIF($B$6:B198,B199,$H$6:H198))</f>
        <v/>
      </c>
      <c r="O199" s="15" t="str">
        <f>IF(B199="","",COUNTIFS($B$6:B198,B199,$K$6:K198,"&lt;&gt;已记录"))</f>
        <v/>
      </c>
      <c r="P199" s="34"/>
    </row>
    <row r="200" spans="1:16" ht="21.75" customHeight="1">
      <c r="A200" s="16"/>
      <c r="B200" s="30"/>
      <c r="C200" s="31"/>
      <c r="D200" s="10"/>
      <c r="E200" s="10"/>
      <c r="F200" s="32"/>
      <c r="G200" s="15" t="str">
        <f t="shared" si="15"/>
        <v/>
      </c>
      <c r="H200" s="15" t="str">
        <f t="shared" si="16"/>
        <v/>
      </c>
      <c r="I200" s="17" t="str">
        <f t="shared" si="17"/>
        <v/>
      </c>
      <c r="J200" s="15" t="str">
        <f t="shared" si="18"/>
        <v/>
      </c>
      <c r="K200" s="19" t="str">
        <f t="shared" si="19"/>
        <v/>
      </c>
      <c r="L200" s="33"/>
      <c r="M200" s="15" t="str">
        <f>IF(B200="","",SUMIF($B$6:B199,B200,$I$6:I199))</f>
        <v/>
      </c>
      <c r="N200" s="15" t="str">
        <f>IF(B200="","",SUMIF($B$6:B199,B200,$H$6:H199))</f>
        <v/>
      </c>
      <c r="O200" s="15" t="str">
        <f>IF(B200="","",COUNTIFS($B$6:B199,B200,$K$6:K199,"&lt;&gt;已记录"))</f>
        <v/>
      </c>
      <c r="P200" s="34"/>
    </row>
    <row r="201" spans="1:16" ht="21.75" customHeight="1">
      <c r="A201" s="16"/>
      <c r="B201" s="30"/>
      <c r="C201" s="31"/>
      <c r="D201" s="10"/>
      <c r="E201" s="10"/>
      <c r="F201" s="32"/>
      <c r="G201" s="15" t="str">
        <f t="shared" si="15"/>
        <v/>
      </c>
      <c r="H201" s="15" t="str">
        <f t="shared" si="16"/>
        <v/>
      </c>
      <c r="I201" s="17" t="str">
        <f t="shared" si="17"/>
        <v/>
      </c>
      <c r="J201" s="15" t="str">
        <f t="shared" si="18"/>
        <v/>
      </c>
      <c r="K201" s="19" t="str">
        <f t="shared" si="19"/>
        <v/>
      </c>
      <c r="L201" s="33"/>
      <c r="M201" s="15" t="str">
        <f>IF(B201="","",SUMIF($B$6:B200,B201,$I$6:I200))</f>
        <v/>
      </c>
      <c r="N201" s="15" t="str">
        <f>IF(B201="","",SUMIF($B$6:B200,B201,$H$6:H200))</f>
        <v/>
      </c>
      <c r="O201" s="15" t="str">
        <f>IF(B201="","",COUNTIFS($B$6:B200,B201,$K$6:K200,"&lt;&gt;已记录"))</f>
        <v/>
      </c>
      <c r="P201" s="34"/>
    </row>
    <row r="202" spans="1:16" ht="21.75" customHeight="1">
      <c r="A202" s="16"/>
      <c r="B202" s="30"/>
      <c r="C202" s="31"/>
      <c r="D202" s="10"/>
      <c r="E202" s="10"/>
      <c r="F202" s="32"/>
      <c r="G202" s="15" t="str">
        <f t="shared" si="15"/>
        <v/>
      </c>
      <c r="H202" s="15" t="str">
        <f t="shared" si="16"/>
        <v/>
      </c>
      <c r="I202" s="17" t="str">
        <f t="shared" si="17"/>
        <v/>
      </c>
      <c r="J202" s="15" t="str">
        <f t="shared" si="18"/>
        <v/>
      </c>
      <c r="K202" s="19" t="str">
        <f t="shared" si="19"/>
        <v/>
      </c>
      <c r="L202" s="33"/>
      <c r="M202" s="15" t="str">
        <f>IF(B202="","",SUMIF($B$6:B201,B202,$I$6:I201))</f>
        <v/>
      </c>
      <c r="N202" s="15" t="str">
        <f>IF(B202="","",SUMIF($B$6:B201,B202,$H$6:H201))</f>
        <v/>
      </c>
      <c r="O202" s="15" t="str">
        <f>IF(B202="","",COUNTIFS($B$6:B201,B202,$K$6:K201,"&lt;&gt;已记录"))</f>
        <v/>
      </c>
      <c r="P202" s="34"/>
    </row>
    <row r="203" spans="1:16" ht="21.75" customHeight="1">
      <c r="A203" s="16"/>
      <c r="B203" s="30"/>
      <c r="C203" s="31"/>
      <c r="D203" s="10"/>
      <c r="E203" s="10"/>
      <c r="F203" s="32"/>
      <c r="G203" s="15" t="str">
        <f t="shared" si="15"/>
        <v/>
      </c>
      <c r="H203" s="15" t="str">
        <f t="shared" si="16"/>
        <v/>
      </c>
      <c r="I203" s="17" t="str">
        <f t="shared" si="17"/>
        <v/>
      </c>
      <c r="J203" s="15" t="str">
        <f t="shared" si="18"/>
        <v/>
      </c>
      <c r="K203" s="19" t="str">
        <f t="shared" si="19"/>
        <v/>
      </c>
      <c r="L203" s="33"/>
      <c r="M203" s="15" t="str">
        <f>IF(B203="","",SUMIF($B$6:B202,B203,$I$6:I202))</f>
        <v/>
      </c>
      <c r="N203" s="15" t="str">
        <f>IF(B203="","",SUMIF($B$6:B202,B203,$H$6:H202))</f>
        <v/>
      </c>
      <c r="O203" s="15" t="str">
        <f>IF(B203="","",COUNTIFS($B$6:B202,B203,$K$6:K202,"&lt;&gt;已记录"))</f>
        <v/>
      </c>
      <c r="P203" s="34"/>
    </row>
    <row r="204" spans="1:16" ht="21.75" customHeight="1">
      <c r="A204" s="16"/>
      <c r="B204" s="30"/>
      <c r="C204" s="31"/>
      <c r="D204" s="10"/>
      <c r="E204" s="10"/>
      <c r="F204" s="32"/>
      <c r="G204" s="15" t="str">
        <f t="shared" si="15"/>
        <v/>
      </c>
      <c r="H204" s="15" t="str">
        <f t="shared" si="16"/>
        <v/>
      </c>
      <c r="I204" s="17" t="str">
        <f t="shared" si="17"/>
        <v/>
      </c>
      <c r="J204" s="15" t="str">
        <f t="shared" si="18"/>
        <v/>
      </c>
      <c r="K204" s="19" t="str">
        <f t="shared" si="19"/>
        <v/>
      </c>
      <c r="L204" s="33"/>
      <c r="M204" s="15" t="str">
        <f>IF(B204="","",SUMIF($B$6:B203,B204,$I$6:I203))</f>
        <v/>
      </c>
      <c r="N204" s="15" t="str">
        <f>IF(B204="","",SUMIF($B$6:B203,B204,$H$6:H203))</f>
        <v/>
      </c>
      <c r="O204" s="15" t="str">
        <f>IF(B204="","",COUNTIFS($B$6:B203,B204,$K$6:K203,"&lt;&gt;已记录"))</f>
        <v/>
      </c>
      <c r="P204" s="34"/>
    </row>
    <row r="205" spans="1:16" ht="21.75" customHeight="1">
      <c r="A205" s="16"/>
      <c r="B205" s="30"/>
      <c r="C205" s="31"/>
      <c r="D205" s="10"/>
      <c r="E205" s="10"/>
      <c r="F205" s="32"/>
      <c r="G205" s="15" t="str">
        <f t="shared" si="15"/>
        <v/>
      </c>
      <c r="H205" s="15" t="str">
        <f t="shared" si="16"/>
        <v/>
      </c>
      <c r="I205" s="17" t="str">
        <f t="shared" si="17"/>
        <v/>
      </c>
      <c r="J205" s="15" t="str">
        <f t="shared" si="18"/>
        <v/>
      </c>
      <c r="K205" s="19" t="str">
        <f t="shared" si="19"/>
        <v/>
      </c>
      <c r="L205" s="33"/>
      <c r="M205" s="15" t="str">
        <f>IF(B205="","",SUMIF($B$6:B204,B205,$I$6:I204))</f>
        <v/>
      </c>
      <c r="N205" s="15" t="str">
        <f>IF(B205="","",SUMIF($B$6:B204,B205,$H$6:H204))</f>
        <v/>
      </c>
      <c r="O205" s="15" t="str">
        <f>IF(B205="","",COUNTIFS($B$6:B204,B205,$K$6:K204,"&lt;&gt;已记录"))</f>
        <v/>
      </c>
      <c r="P205" s="34"/>
    </row>
    <row r="206" spans="1:16" ht="21.75" customHeight="1">
      <c r="A206" s="16"/>
      <c r="B206" s="30"/>
      <c r="C206" s="31"/>
      <c r="D206" s="10"/>
      <c r="E206" s="10"/>
      <c r="F206" s="32"/>
      <c r="G206" s="15" t="str">
        <f t="shared" si="15"/>
        <v/>
      </c>
      <c r="H206" s="15" t="str">
        <f t="shared" si="16"/>
        <v/>
      </c>
      <c r="I206" s="17" t="str">
        <f t="shared" si="17"/>
        <v/>
      </c>
      <c r="J206" s="15" t="str">
        <f t="shared" si="18"/>
        <v/>
      </c>
      <c r="K206" s="19" t="str">
        <f t="shared" si="19"/>
        <v/>
      </c>
      <c r="L206" s="33"/>
      <c r="M206" s="15" t="str">
        <f>IF(B206="","",SUMIF($B$6:B205,B206,$I$6:I205))</f>
        <v/>
      </c>
      <c r="N206" s="15" t="str">
        <f>IF(B206="","",SUMIF($B$6:B205,B206,$H$6:H205))</f>
        <v/>
      </c>
      <c r="O206" s="15" t="str">
        <f>IF(B206="","",COUNTIFS($B$6:B205,B206,$K$6:K205,"&lt;&gt;已记录"))</f>
        <v/>
      </c>
      <c r="P206" s="34"/>
    </row>
    <row r="207" spans="1:16" ht="21.75" customHeight="1">
      <c r="A207" s="16"/>
      <c r="B207" s="30"/>
      <c r="C207" s="31"/>
      <c r="D207" s="10"/>
      <c r="E207" s="10"/>
      <c r="F207" s="32"/>
      <c r="G207" s="15" t="str">
        <f t="shared" si="15"/>
        <v/>
      </c>
      <c r="H207" s="15" t="str">
        <f t="shared" si="16"/>
        <v/>
      </c>
      <c r="I207" s="17" t="str">
        <f t="shared" si="17"/>
        <v/>
      </c>
      <c r="J207" s="15" t="str">
        <f t="shared" si="18"/>
        <v/>
      </c>
      <c r="K207" s="19" t="str">
        <f t="shared" si="19"/>
        <v/>
      </c>
      <c r="L207" s="33"/>
      <c r="M207" s="15" t="str">
        <f>IF(B207="","",SUMIF($B$6:B206,B207,$I$6:I206))</f>
        <v/>
      </c>
      <c r="N207" s="15" t="str">
        <f>IF(B207="","",SUMIF($B$6:B206,B207,$H$6:H206))</f>
        <v/>
      </c>
      <c r="O207" s="15" t="str">
        <f>IF(B207="","",COUNTIFS($B$6:B206,B207,$K$6:K206,"&lt;&gt;已记录"))</f>
        <v/>
      </c>
      <c r="P207" s="34"/>
    </row>
    <row r="208" spans="1:16" ht="21.75" customHeight="1">
      <c r="A208" s="16"/>
      <c r="B208" s="30"/>
      <c r="C208" s="31"/>
      <c r="D208" s="10"/>
      <c r="E208" s="10"/>
      <c r="F208" s="32"/>
      <c r="G208" s="15" t="str">
        <f t="shared" si="15"/>
        <v/>
      </c>
      <c r="H208" s="15" t="str">
        <f t="shared" si="16"/>
        <v/>
      </c>
      <c r="I208" s="17" t="str">
        <f t="shared" si="17"/>
        <v/>
      </c>
      <c r="J208" s="15" t="str">
        <f t="shared" si="18"/>
        <v/>
      </c>
      <c r="K208" s="19" t="str">
        <f t="shared" si="19"/>
        <v/>
      </c>
      <c r="L208" s="33"/>
      <c r="M208" s="15" t="str">
        <f>IF(B208="","",SUMIF($B$6:B207,B208,$I$6:I207))</f>
        <v/>
      </c>
      <c r="N208" s="15" t="str">
        <f>IF(B208="","",SUMIF($B$6:B207,B208,$H$6:H207))</f>
        <v/>
      </c>
      <c r="O208" s="15" t="str">
        <f>IF(B208="","",COUNTIFS($B$6:B207,B208,$K$6:K207,"&lt;&gt;已记录"))</f>
        <v/>
      </c>
      <c r="P208" s="34"/>
    </row>
    <row r="209" spans="1:16" ht="21.75" customHeight="1">
      <c r="A209" s="16"/>
      <c r="B209" s="30"/>
      <c r="C209" s="31"/>
      <c r="D209" s="10"/>
      <c r="E209" s="10"/>
      <c r="F209" s="32"/>
      <c r="G209" s="15" t="str">
        <f t="shared" si="15"/>
        <v/>
      </c>
      <c r="H209" s="15" t="str">
        <f t="shared" si="16"/>
        <v/>
      </c>
      <c r="I209" s="17" t="str">
        <f t="shared" si="17"/>
        <v/>
      </c>
      <c r="J209" s="15" t="str">
        <f t="shared" si="18"/>
        <v/>
      </c>
      <c r="K209" s="19" t="str">
        <f t="shared" si="19"/>
        <v/>
      </c>
      <c r="L209" s="33"/>
      <c r="M209" s="15" t="str">
        <f>IF(B209="","",SUMIF($B$6:B208,B209,$I$6:I208))</f>
        <v/>
      </c>
      <c r="N209" s="15" t="str">
        <f>IF(B209="","",SUMIF($B$6:B208,B209,$H$6:H208))</f>
        <v/>
      </c>
      <c r="O209" s="15" t="str">
        <f>IF(B209="","",COUNTIFS($B$6:B208,B209,$K$6:K208,"&lt;&gt;已记录"))</f>
        <v/>
      </c>
      <c r="P209" s="34"/>
    </row>
    <row r="210" spans="1:16" ht="21.75" customHeight="1">
      <c r="A210" s="16"/>
      <c r="B210" s="30"/>
      <c r="C210" s="31"/>
      <c r="D210" s="10"/>
      <c r="E210" s="10"/>
      <c r="F210" s="32"/>
      <c r="G210" s="15" t="str">
        <f t="shared" si="15"/>
        <v/>
      </c>
      <c r="H210" s="15" t="str">
        <f t="shared" si="16"/>
        <v/>
      </c>
      <c r="I210" s="17" t="str">
        <f t="shared" si="17"/>
        <v/>
      </c>
      <c r="J210" s="15" t="str">
        <f t="shared" si="18"/>
        <v/>
      </c>
      <c r="K210" s="19" t="str">
        <f t="shared" si="19"/>
        <v/>
      </c>
      <c r="L210" s="33"/>
      <c r="M210" s="15" t="str">
        <f>IF(B210="","",SUMIF($B$6:B209,B210,$I$6:I209))</f>
        <v/>
      </c>
      <c r="N210" s="15" t="str">
        <f>IF(B210="","",SUMIF($B$6:B209,B210,$H$6:H209))</f>
        <v/>
      </c>
      <c r="O210" s="15" t="str">
        <f>IF(B210="","",COUNTIFS($B$6:B209,B210,$K$6:K209,"&lt;&gt;已记录"))</f>
        <v/>
      </c>
      <c r="P210" s="34"/>
    </row>
    <row r="211" spans="1:16" ht="21.75" customHeight="1">
      <c r="A211" s="16"/>
      <c r="B211" s="30"/>
      <c r="C211" s="31"/>
      <c r="D211" s="10"/>
      <c r="E211" s="10"/>
      <c r="F211" s="32"/>
      <c r="G211" s="15" t="str">
        <f t="shared" si="15"/>
        <v/>
      </c>
      <c r="H211" s="15" t="str">
        <f t="shared" si="16"/>
        <v/>
      </c>
      <c r="I211" s="17" t="str">
        <f t="shared" si="17"/>
        <v/>
      </c>
      <c r="J211" s="15" t="str">
        <f t="shared" si="18"/>
        <v/>
      </c>
      <c r="K211" s="19" t="str">
        <f t="shared" si="19"/>
        <v/>
      </c>
      <c r="L211" s="33"/>
      <c r="M211" s="15" t="str">
        <f>IF(B211="","",SUMIF($B$6:B210,B211,$I$6:I210))</f>
        <v/>
      </c>
      <c r="N211" s="15" t="str">
        <f>IF(B211="","",SUMIF($B$6:B210,B211,$H$6:H210))</f>
        <v/>
      </c>
      <c r="O211" s="15" t="str">
        <f>IF(B211="","",COUNTIFS($B$6:B210,B211,$K$6:K210,"&lt;&gt;已记录"))</f>
        <v/>
      </c>
      <c r="P211" s="34"/>
    </row>
    <row r="212" spans="1:16" ht="21.75" customHeight="1">
      <c r="A212" s="16"/>
      <c r="B212" s="30"/>
      <c r="C212" s="31"/>
      <c r="D212" s="10"/>
      <c r="E212" s="10"/>
      <c r="F212" s="32"/>
      <c r="G212" s="15" t="str">
        <f t="shared" si="15"/>
        <v/>
      </c>
      <c r="H212" s="15" t="str">
        <f t="shared" si="16"/>
        <v/>
      </c>
      <c r="I212" s="17" t="str">
        <f t="shared" si="17"/>
        <v/>
      </c>
      <c r="J212" s="15" t="str">
        <f t="shared" si="18"/>
        <v/>
      </c>
      <c r="K212" s="19" t="str">
        <f t="shared" si="19"/>
        <v/>
      </c>
      <c r="L212" s="33"/>
      <c r="M212" s="15" t="str">
        <f>IF(B212="","",SUMIF($B$6:B211,B212,$I$6:I211))</f>
        <v/>
      </c>
      <c r="N212" s="15" t="str">
        <f>IF(B212="","",SUMIF($B$6:B211,B212,$H$6:H211))</f>
        <v/>
      </c>
      <c r="O212" s="15" t="str">
        <f>IF(B212="","",COUNTIFS($B$6:B211,B212,$K$6:K211,"&lt;&gt;已记录"))</f>
        <v/>
      </c>
      <c r="P212" s="34"/>
    </row>
    <row r="213" spans="1:16" ht="21.75" customHeight="1">
      <c r="A213" s="16"/>
      <c r="B213" s="30"/>
      <c r="C213" s="31"/>
      <c r="D213" s="10"/>
      <c r="E213" s="10"/>
      <c r="F213" s="32"/>
      <c r="G213" s="15" t="str">
        <f t="shared" si="15"/>
        <v/>
      </c>
      <c r="H213" s="15" t="str">
        <f t="shared" si="16"/>
        <v/>
      </c>
      <c r="I213" s="17" t="str">
        <f t="shared" si="17"/>
        <v/>
      </c>
      <c r="J213" s="15" t="str">
        <f t="shared" si="18"/>
        <v/>
      </c>
      <c r="K213" s="19" t="str">
        <f t="shared" si="19"/>
        <v/>
      </c>
      <c r="L213" s="33"/>
      <c r="M213" s="15" t="str">
        <f>IF(B213="","",SUMIF($B$6:B212,B213,$I$6:I212))</f>
        <v/>
      </c>
      <c r="N213" s="15" t="str">
        <f>IF(B213="","",SUMIF($B$6:B212,B213,$H$6:H212))</f>
        <v/>
      </c>
      <c r="O213" s="15" t="str">
        <f>IF(B213="","",COUNTIFS($B$6:B212,B213,$K$6:K212,"&lt;&gt;已记录"))</f>
        <v/>
      </c>
      <c r="P213" s="34"/>
    </row>
    <row r="214" spans="1:16" ht="21.75" customHeight="1">
      <c r="A214" s="16"/>
      <c r="B214" s="30"/>
      <c r="C214" s="31"/>
      <c r="D214" s="10"/>
      <c r="E214" s="10"/>
      <c r="F214" s="32"/>
      <c r="G214" s="15" t="str">
        <f t="shared" si="15"/>
        <v/>
      </c>
      <c r="H214" s="15" t="str">
        <f t="shared" si="16"/>
        <v/>
      </c>
      <c r="I214" s="17" t="str">
        <f t="shared" si="17"/>
        <v/>
      </c>
      <c r="J214" s="15" t="str">
        <f t="shared" si="18"/>
        <v/>
      </c>
      <c r="K214" s="19" t="str">
        <f t="shared" si="19"/>
        <v/>
      </c>
      <c r="L214" s="33"/>
      <c r="M214" s="15" t="str">
        <f>IF(B214="","",SUMIF($B$6:B213,B214,$I$6:I213))</f>
        <v/>
      </c>
      <c r="N214" s="15" t="str">
        <f>IF(B214="","",SUMIF($B$6:B213,B214,$H$6:H213))</f>
        <v/>
      </c>
      <c r="O214" s="15" t="str">
        <f>IF(B214="","",COUNTIFS($B$6:B213,B214,$K$6:K213,"&lt;&gt;已记录"))</f>
        <v/>
      </c>
      <c r="P214" s="34"/>
    </row>
    <row r="215" spans="1:16" ht="21.75" customHeight="1">
      <c r="A215" s="16"/>
      <c r="B215" s="30"/>
      <c r="C215" s="31"/>
      <c r="D215" s="10"/>
      <c r="E215" s="10"/>
      <c r="F215" s="32"/>
      <c r="G215" s="15" t="str">
        <f t="shared" si="15"/>
        <v/>
      </c>
      <c r="H215" s="15" t="str">
        <f t="shared" si="16"/>
        <v/>
      </c>
      <c r="I215" s="17" t="str">
        <f t="shared" si="17"/>
        <v/>
      </c>
      <c r="J215" s="15" t="str">
        <f t="shared" si="18"/>
        <v/>
      </c>
      <c r="K215" s="19" t="str">
        <f t="shared" si="19"/>
        <v/>
      </c>
      <c r="L215" s="33"/>
      <c r="M215" s="15" t="str">
        <f>IF(B215="","",SUMIF($B$6:B214,B215,$I$6:I214))</f>
        <v/>
      </c>
      <c r="N215" s="15" t="str">
        <f>IF(B215="","",SUMIF($B$6:B214,B215,$H$6:H214))</f>
        <v/>
      </c>
      <c r="O215" s="15" t="str">
        <f>IF(B215="","",COUNTIFS($B$6:B214,B215,$K$6:K214,"&lt;&gt;已记录"))</f>
        <v/>
      </c>
      <c r="P215" s="34"/>
    </row>
    <row r="216" spans="1:16" ht="21.75" customHeight="1">
      <c r="A216" s="16"/>
      <c r="B216" s="30"/>
      <c r="C216" s="31"/>
      <c r="D216" s="10"/>
      <c r="E216" s="10"/>
      <c r="F216" s="32"/>
      <c r="G216" s="15" t="str">
        <f t="shared" si="15"/>
        <v/>
      </c>
      <c r="H216" s="15" t="str">
        <f t="shared" si="16"/>
        <v/>
      </c>
      <c r="I216" s="17" t="str">
        <f t="shared" si="17"/>
        <v/>
      </c>
      <c r="J216" s="15" t="str">
        <f t="shared" si="18"/>
        <v/>
      </c>
      <c r="K216" s="19" t="str">
        <f t="shared" si="19"/>
        <v/>
      </c>
      <c r="L216" s="33"/>
      <c r="M216" s="15" t="str">
        <f>IF(B216="","",SUMIF($B$6:B215,B216,$I$6:I215))</f>
        <v/>
      </c>
      <c r="N216" s="15" t="str">
        <f>IF(B216="","",SUMIF($B$6:B215,B216,$H$6:H215))</f>
        <v/>
      </c>
      <c r="O216" s="15" t="str">
        <f>IF(B216="","",COUNTIFS($B$6:B215,B216,$K$6:K215,"&lt;&gt;已记录"))</f>
        <v/>
      </c>
      <c r="P216" s="34"/>
    </row>
    <row r="217" spans="1:16" ht="21.75" customHeight="1">
      <c r="A217" s="16"/>
      <c r="B217" s="30"/>
      <c r="C217" s="31"/>
      <c r="D217" s="10"/>
      <c r="E217" s="10"/>
      <c r="F217" s="32"/>
      <c r="G217" s="15" t="str">
        <f t="shared" si="15"/>
        <v/>
      </c>
      <c r="H217" s="15" t="str">
        <f t="shared" si="16"/>
        <v/>
      </c>
      <c r="I217" s="17" t="str">
        <f t="shared" si="17"/>
        <v/>
      </c>
      <c r="J217" s="15" t="str">
        <f t="shared" si="18"/>
        <v/>
      </c>
      <c r="K217" s="19" t="str">
        <f t="shared" si="19"/>
        <v/>
      </c>
      <c r="L217" s="33"/>
      <c r="M217" s="15" t="str">
        <f>IF(B217="","",SUMIF($B$6:B216,B217,$I$6:I216))</f>
        <v/>
      </c>
      <c r="N217" s="15" t="str">
        <f>IF(B217="","",SUMIF($B$6:B216,B217,$H$6:H216))</f>
        <v/>
      </c>
      <c r="O217" s="15" t="str">
        <f>IF(B217="","",COUNTIFS($B$6:B216,B217,$K$6:K216,"&lt;&gt;已记录"))</f>
        <v/>
      </c>
      <c r="P217" s="34"/>
    </row>
    <row r="218" spans="1:16" ht="21.75" customHeight="1">
      <c r="A218" s="16"/>
      <c r="B218" s="30"/>
      <c r="C218" s="31"/>
      <c r="D218" s="10"/>
      <c r="E218" s="10"/>
      <c r="F218" s="32"/>
      <c r="G218" s="15" t="str">
        <f t="shared" si="15"/>
        <v/>
      </c>
      <c r="H218" s="15" t="str">
        <f t="shared" si="16"/>
        <v/>
      </c>
      <c r="I218" s="17" t="str">
        <f t="shared" si="17"/>
        <v/>
      </c>
      <c r="J218" s="15" t="str">
        <f t="shared" si="18"/>
        <v/>
      </c>
      <c r="K218" s="19" t="str">
        <f t="shared" si="19"/>
        <v/>
      </c>
      <c r="L218" s="33"/>
      <c r="M218" s="15" t="str">
        <f>IF(B218="","",SUMIF($B$6:B217,B218,$I$6:I217))</f>
        <v/>
      </c>
      <c r="N218" s="15" t="str">
        <f>IF(B218="","",SUMIF($B$6:B217,B218,$H$6:H217))</f>
        <v/>
      </c>
      <c r="O218" s="15" t="str">
        <f>IF(B218="","",COUNTIFS($B$6:B217,B218,$K$6:K217,"&lt;&gt;已记录"))</f>
        <v/>
      </c>
      <c r="P218" s="34"/>
    </row>
    <row r="219" spans="1:16" ht="21.75" customHeight="1">
      <c r="A219" s="16"/>
      <c r="B219" s="30"/>
      <c r="C219" s="31"/>
      <c r="D219" s="10"/>
      <c r="E219" s="10"/>
      <c r="F219" s="32"/>
      <c r="G219" s="15" t="str">
        <f t="shared" si="15"/>
        <v/>
      </c>
      <c r="H219" s="15" t="str">
        <f t="shared" si="16"/>
        <v/>
      </c>
      <c r="I219" s="17" t="str">
        <f t="shared" si="17"/>
        <v/>
      </c>
      <c r="J219" s="15" t="str">
        <f t="shared" si="18"/>
        <v/>
      </c>
      <c r="K219" s="19" t="str">
        <f t="shared" si="19"/>
        <v/>
      </c>
      <c r="L219" s="33"/>
      <c r="M219" s="15" t="str">
        <f>IF(B219="","",SUMIF($B$6:B218,B219,$I$6:I218))</f>
        <v/>
      </c>
      <c r="N219" s="15" t="str">
        <f>IF(B219="","",SUMIF($B$6:B218,B219,$H$6:H218))</f>
        <v/>
      </c>
      <c r="O219" s="15" t="str">
        <f>IF(B219="","",COUNTIFS($B$6:B218,B219,$K$6:K218,"&lt;&gt;已记录"))</f>
        <v/>
      </c>
      <c r="P219" s="34"/>
    </row>
    <row r="220" spans="1:16" ht="21.75" customHeight="1">
      <c r="A220" s="16"/>
      <c r="B220" s="30"/>
      <c r="C220" s="31"/>
      <c r="D220" s="10"/>
      <c r="E220" s="10"/>
      <c r="F220" s="32"/>
      <c r="G220" s="15" t="str">
        <f t="shared" si="15"/>
        <v/>
      </c>
      <c r="H220" s="15" t="str">
        <f t="shared" si="16"/>
        <v/>
      </c>
      <c r="I220" s="17" t="str">
        <f t="shared" si="17"/>
        <v/>
      </c>
      <c r="J220" s="15" t="str">
        <f t="shared" si="18"/>
        <v/>
      </c>
      <c r="K220" s="19" t="str">
        <f t="shared" si="19"/>
        <v/>
      </c>
      <c r="L220" s="33"/>
      <c r="M220" s="15" t="str">
        <f>IF(B220="","",SUMIF($B$6:B219,B220,$I$6:I219))</f>
        <v/>
      </c>
      <c r="N220" s="15" t="str">
        <f>IF(B220="","",SUMIF($B$6:B219,B220,$H$6:H219))</f>
        <v/>
      </c>
      <c r="O220" s="15" t="str">
        <f>IF(B220="","",COUNTIFS($B$6:B219,B220,$K$6:K219,"&lt;&gt;已记录"))</f>
        <v/>
      </c>
      <c r="P220" s="34"/>
    </row>
    <row r="221" spans="1:16" ht="21.75" customHeight="1">
      <c r="A221" s="16"/>
      <c r="B221" s="30"/>
      <c r="C221" s="31"/>
      <c r="D221" s="10"/>
      <c r="E221" s="10"/>
      <c r="F221" s="32"/>
      <c r="G221" s="15" t="str">
        <f t="shared" si="15"/>
        <v/>
      </c>
      <c r="H221" s="15" t="str">
        <f t="shared" si="16"/>
        <v/>
      </c>
      <c r="I221" s="17" t="str">
        <f t="shared" si="17"/>
        <v/>
      </c>
      <c r="J221" s="15" t="str">
        <f t="shared" si="18"/>
        <v/>
      </c>
      <c r="K221" s="19" t="str">
        <f t="shared" si="19"/>
        <v/>
      </c>
      <c r="L221" s="33"/>
      <c r="M221" s="15" t="str">
        <f>IF(B221="","",SUMIF($B$6:B220,B221,$I$6:I220))</f>
        <v/>
      </c>
      <c r="N221" s="15" t="str">
        <f>IF(B221="","",SUMIF($B$6:B220,B221,$H$6:H220))</f>
        <v/>
      </c>
      <c r="O221" s="15" t="str">
        <f>IF(B221="","",COUNTIFS($B$6:B220,B221,$K$6:K220,"&lt;&gt;已记录"))</f>
        <v/>
      </c>
      <c r="P221" s="34"/>
    </row>
    <row r="222" spans="1:16" ht="21.75" customHeight="1">
      <c r="A222" s="16"/>
      <c r="B222" s="30"/>
      <c r="C222" s="31"/>
      <c r="D222" s="10"/>
      <c r="E222" s="10"/>
      <c r="F222" s="32"/>
      <c r="G222" s="15" t="str">
        <f t="shared" si="15"/>
        <v/>
      </c>
      <c r="H222" s="15" t="str">
        <f t="shared" si="16"/>
        <v/>
      </c>
      <c r="I222" s="17" t="str">
        <f t="shared" si="17"/>
        <v/>
      </c>
      <c r="J222" s="15" t="str">
        <f t="shared" si="18"/>
        <v/>
      </c>
      <c r="K222" s="19" t="str">
        <f t="shared" si="19"/>
        <v/>
      </c>
      <c r="L222" s="33"/>
      <c r="M222" s="15" t="str">
        <f>IF(B222="","",SUMIF($B$6:B221,B222,$I$6:I221))</f>
        <v/>
      </c>
      <c r="N222" s="15" t="str">
        <f>IF(B222="","",SUMIF($B$6:B221,B222,$H$6:H221))</f>
        <v/>
      </c>
      <c r="O222" s="15" t="str">
        <f>IF(B222="","",COUNTIFS($B$6:B221,B222,$K$6:K221,"&lt;&gt;已记录"))</f>
        <v/>
      </c>
      <c r="P222" s="34"/>
    </row>
    <row r="223" spans="1:16" ht="21.75" customHeight="1">
      <c r="A223" s="16"/>
      <c r="B223" s="30"/>
      <c r="C223" s="31"/>
      <c r="D223" s="10"/>
      <c r="E223" s="10"/>
      <c r="F223" s="32"/>
      <c r="G223" s="15" t="str">
        <f t="shared" si="15"/>
        <v/>
      </c>
      <c r="H223" s="15" t="str">
        <f t="shared" si="16"/>
        <v/>
      </c>
      <c r="I223" s="17" t="str">
        <f t="shared" si="17"/>
        <v/>
      </c>
      <c r="J223" s="15" t="str">
        <f t="shared" si="18"/>
        <v/>
      </c>
      <c r="K223" s="19" t="str">
        <f t="shared" si="19"/>
        <v/>
      </c>
      <c r="L223" s="33"/>
      <c r="M223" s="15" t="str">
        <f>IF(B223="","",SUMIF($B$6:B222,B223,$I$6:I222))</f>
        <v/>
      </c>
      <c r="N223" s="15" t="str">
        <f>IF(B223="","",SUMIF($B$6:B222,B223,$H$6:H222))</f>
        <v/>
      </c>
      <c r="O223" s="15" t="str">
        <f>IF(B223="","",COUNTIFS($B$6:B222,B223,$K$6:K222,"&lt;&gt;已记录"))</f>
        <v/>
      </c>
      <c r="P223" s="34"/>
    </row>
    <row r="224" spans="1:16" ht="21.75" customHeight="1">
      <c r="A224" s="16"/>
      <c r="B224" s="30"/>
      <c r="C224" s="31"/>
      <c r="D224" s="10"/>
      <c r="E224" s="10"/>
      <c r="F224" s="32"/>
      <c r="G224" s="15" t="str">
        <f t="shared" si="15"/>
        <v/>
      </c>
      <c r="H224" s="15" t="str">
        <f t="shared" si="16"/>
        <v/>
      </c>
      <c r="I224" s="17" t="str">
        <f t="shared" si="17"/>
        <v/>
      </c>
      <c r="J224" s="15" t="str">
        <f t="shared" si="18"/>
        <v/>
      </c>
      <c r="K224" s="19" t="str">
        <f t="shared" si="19"/>
        <v/>
      </c>
      <c r="L224" s="33"/>
      <c r="M224" s="15" t="str">
        <f>IF(B224="","",SUMIF($B$6:B223,B224,$I$6:I223))</f>
        <v/>
      </c>
      <c r="N224" s="15" t="str">
        <f>IF(B224="","",SUMIF($B$6:B223,B224,$H$6:H223))</f>
        <v/>
      </c>
      <c r="O224" s="15" t="str">
        <f>IF(B224="","",COUNTIFS($B$6:B223,B224,$K$6:K223,"&lt;&gt;已记录"))</f>
        <v/>
      </c>
      <c r="P224" s="34"/>
    </row>
    <row r="225" spans="1:16" ht="21.75" customHeight="1">
      <c r="A225" s="16"/>
      <c r="B225" s="30"/>
      <c r="C225" s="31"/>
      <c r="D225" s="10"/>
      <c r="E225" s="10"/>
      <c r="F225" s="32"/>
      <c r="G225" s="15" t="str">
        <f t="shared" si="15"/>
        <v/>
      </c>
      <c r="H225" s="15" t="str">
        <f t="shared" si="16"/>
        <v/>
      </c>
      <c r="I225" s="17" t="str">
        <f t="shared" si="17"/>
        <v/>
      </c>
      <c r="J225" s="15" t="str">
        <f t="shared" si="18"/>
        <v/>
      </c>
      <c r="K225" s="19" t="str">
        <f t="shared" si="19"/>
        <v/>
      </c>
      <c r="L225" s="33"/>
      <c r="M225" s="15" t="str">
        <f>IF(B225="","",SUMIF($B$6:B224,B225,$I$6:I224))</f>
        <v/>
      </c>
      <c r="N225" s="15" t="str">
        <f>IF(B225="","",SUMIF($B$6:B224,B225,$H$6:H224))</f>
        <v/>
      </c>
      <c r="O225" s="15" t="str">
        <f>IF(B225="","",COUNTIFS($B$6:B224,B225,$K$6:K224,"&lt;&gt;已记录"))</f>
        <v/>
      </c>
      <c r="P225" s="34"/>
    </row>
    <row r="226" spans="1:16" ht="21.75" customHeight="1">
      <c r="A226" s="16"/>
      <c r="B226" s="30"/>
      <c r="C226" s="31"/>
      <c r="D226" s="10"/>
      <c r="E226" s="10"/>
      <c r="F226" s="32"/>
      <c r="G226" s="15" t="str">
        <f t="shared" si="15"/>
        <v/>
      </c>
      <c r="H226" s="15" t="str">
        <f t="shared" si="16"/>
        <v/>
      </c>
      <c r="I226" s="17" t="str">
        <f t="shared" si="17"/>
        <v/>
      </c>
      <c r="J226" s="15" t="str">
        <f t="shared" si="18"/>
        <v/>
      </c>
      <c r="K226" s="19" t="str">
        <f t="shared" si="19"/>
        <v/>
      </c>
      <c r="L226" s="33"/>
      <c r="M226" s="15" t="str">
        <f>IF(B226="","",SUMIF($B$6:B225,B226,$I$6:I225))</f>
        <v/>
      </c>
      <c r="N226" s="15" t="str">
        <f>IF(B226="","",SUMIF($B$6:B225,B226,$H$6:H225))</f>
        <v/>
      </c>
      <c r="O226" s="15" t="str">
        <f>IF(B226="","",COUNTIFS($B$6:B225,B226,$K$6:K225,"&lt;&gt;已记录"))</f>
        <v/>
      </c>
      <c r="P226" s="34"/>
    </row>
    <row r="227" spans="1:16" ht="21.75" customHeight="1">
      <c r="A227" s="16"/>
      <c r="B227" s="30"/>
      <c r="C227" s="31"/>
      <c r="D227" s="10"/>
      <c r="E227" s="10"/>
      <c r="F227" s="32"/>
      <c r="G227" s="15" t="str">
        <f t="shared" si="15"/>
        <v/>
      </c>
      <c r="H227" s="15" t="str">
        <f t="shared" si="16"/>
        <v/>
      </c>
      <c r="I227" s="17" t="str">
        <f t="shared" si="17"/>
        <v/>
      </c>
      <c r="J227" s="15" t="str">
        <f t="shared" si="18"/>
        <v/>
      </c>
      <c r="K227" s="19" t="str">
        <f t="shared" si="19"/>
        <v/>
      </c>
      <c r="L227" s="33"/>
      <c r="M227" s="15" t="str">
        <f>IF(B227="","",SUMIF($B$6:B226,B227,$I$6:I226))</f>
        <v/>
      </c>
      <c r="N227" s="15" t="str">
        <f>IF(B227="","",SUMIF($B$6:B226,B227,$H$6:H226))</f>
        <v/>
      </c>
      <c r="O227" s="15" t="str">
        <f>IF(B227="","",COUNTIFS($B$6:B226,B227,$K$6:K226,"&lt;&gt;已记录"))</f>
        <v/>
      </c>
      <c r="P227" s="34"/>
    </row>
    <row r="228" spans="1:16" ht="21.75" customHeight="1">
      <c r="A228" s="16"/>
      <c r="B228" s="30"/>
      <c r="C228" s="31"/>
      <c r="D228" s="10"/>
      <c r="E228" s="10"/>
      <c r="F228" s="32"/>
      <c r="G228" s="15" t="str">
        <f t="shared" si="15"/>
        <v/>
      </c>
      <c r="H228" s="15" t="str">
        <f t="shared" si="16"/>
        <v/>
      </c>
      <c r="I228" s="17" t="str">
        <f t="shared" si="17"/>
        <v/>
      </c>
      <c r="J228" s="15" t="str">
        <f t="shared" si="18"/>
        <v/>
      </c>
      <c r="K228" s="19" t="str">
        <f t="shared" si="19"/>
        <v/>
      </c>
      <c r="L228" s="33"/>
      <c r="M228" s="15" t="str">
        <f>IF(B228="","",SUMIF($B$6:B227,B228,$I$6:I227))</f>
        <v/>
      </c>
      <c r="N228" s="15" t="str">
        <f>IF(B228="","",SUMIF($B$6:B227,B228,$H$6:H227))</f>
        <v/>
      </c>
      <c r="O228" s="15" t="str">
        <f>IF(B228="","",COUNTIFS($B$6:B227,B228,$K$6:K227,"&lt;&gt;已记录"))</f>
        <v/>
      </c>
      <c r="P228" s="34"/>
    </row>
    <row r="229" spans="1:16" ht="21.75" customHeight="1">
      <c r="A229" s="16"/>
      <c r="B229" s="30"/>
      <c r="C229" s="31"/>
      <c r="D229" s="10"/>
      <c r="E229" s="10"/>
      <c r="F229" s="32"/>
      <c r="G229" s="15" t="str">
        <f t="shared" si="15"/>
        <v/>
      </c>
      <c r="H229" s="15" t="str">
        <f t="shared" si="16"/>
        <v/>
      </c>
      <c r="I229" s="17" t="str">
        <f t="shared" si="17"/>
        <v/>
      </c>
      <c r="J229" s="15" t="str">
        <f t="shared" si="18"/>
        <v/>
      </c>
      <c r="K229" s="19" t="str">
        <f t="shared" si="19"/>
        <v/>
      </c>
      <c r="L229" s="33"/>
      <c r="M229" s="15" t="str">
        <f>IF(B229="","",SUMIF($B$6:B228,B229,$I$6:I228))</f>
        <v/>
      </c>
      <c r="N229" s="15" t="str">
        <f>IF(B229="","",SUMIF($B$6:B228,B229,$H$6:H228))</f>
        <v/>
      </c>
      <c r="O229" s="15" t="str">
        <f>IF(B229="","",COUNTIFS($B$6:B228,B229,$K$6:K228,"&lt;&gt;已记录"))</f>
        <v/>
      </c>
      <c r="P229" s="34"/>
    </row>
    <row r="230" spans="1:16" ht="21.75" customHeight="1">
      <c r="A230" s="16"/>
      <c r="B230" s="30"/>
      <c r="C230" s="31"/>
      <c r="D230" s="10"/>
      <c r="E230" s="10"/>
      <c r="F230" s="32"/>
      <c r="G230" s="15" t="str">
        <f t="shared" si="15"/>
        <v/>
      </c>
      <c r="H230" s="15" t="str">
        <f t="shared" si="16"/>
        <v/>
      </c>
      <c r="I230" s="17" t="str">
        <f t="shared" si="17"/>
        <v/>
      </c>
      <c r="J230" s="15" t="str">
        <f t="shared" si="18"/>
        <v/>
      </c>
      <c r="K230" s="19" t="str">
        <f t="shared" si="19"/>
        <v/>
      </c>
      <c r="L230" s="33"/>
      <c r="M230" s="15" t="str">
        <f>IF(B230="","",SUMIF($B$6:B229,B230,$I$6:I229))</f>
        <v/>
      </c>
      <c r="N230" s="15" t="str">
        <f>IF(B230="","",SUMIF($B$6:B229,B230,$H$6:H229))</f>
        <v/>
      </c>
      <c r="O230" s="15" t="str">
        <f>IF(B230="","",COUNTIFS($B$6:B229,B230,$K$6:K229,"&lt;&gt;已记录"))</f>
        <v/>
      </c>
      <c r="P230" s="34"/>
    </row>
    <row r="231" spans="1:16" ht="21.75" customHeight="1">
      <c r="A231" s="16"/>
      <c r="B231" s="30"/>
      <c r="C231" s="31"/>
      <c r="D231" s="10"/>
      <c r="E231" s="10"/>
      <c r="F231" s="32"/>
      <c r="G231" s="15" t="str">
        <f t="shared" si="15"/>
        <v/>
      </c>
      <c r="H231" s="15" t="str">
        <f t="shared" si="16"/>
        <v/>
      </c>
      <c r="I231" s="17" t="str">
        <f t="shared" si="17"/>
        <v/>
      </c>
      <c r="J231" s="15" t="str">
        <f t="shared" si="18"/>
        <v/>
      </c>
      <c r="K231" s="19" t="str">
        <f t="shared" si="19"/>
        <v/>
      </c>
      <c r="L231" s="33"/>
      <c r="M231" s="15" t="str">
        <f>IF(B231="","",SUMIF($B$6:B230,B231,$I$6:I230))</f>
        <v/>
      </c>
      <c r="N231" s="15" t="str">
        <f>IF(B231="","",SUMIF($B$6:B230,B231,$H$6:H230))</f>
        <v/>
      </c>
      <c r="O231" s="15" t="str">
        <f>IF(B231="","",COUNTIFS($B$6:B230,B231,$K$6:K230,"&lt;&gt;已记录"))</f>
        <v/>
      </c>
      <c r="P231" s="34"/>
    </row>
    <row r="232" spans="1:16" ht="21.75" customHeight="1">
      <c r="A232" s="16"/>
      <c r="B232" s="30"/>
      <c r="C232" s="31"/>
      <c r="D232" s="10"/>
      <c r="E232" s="10"/>
      <c r="F232" s="32"/>
      <c r="G232" s="15" t="str">
        <f t="shared" si="15"/>
        <v/>
      </c>
      <c r="H232" s="15" t="str">
        <f t="shared" si="16"/>
        <v/>
      </c>
      <c r="I232" s="17" t="str">
        <f t="shared" si="17"/>
        <v/>
      </c>
      <c r="J232" s="15" t="str">
        <f t="shared" si="18"/>
        <v/>
      </c>
      <c r="K232" s="19" t="str">
        <f t="shared" si="19"/>
        <v/>
      </c>
      <c r="L232" s="33"/>
      <c r="M232" s="15" t="str">
        <f>IF(B232="","",SUMIF($B$6:B231,B232,$I$6:I231))</f>
        <v/>
      </c>
      <c r="N232" s="15" t="str">
        <f>IF(B232="","",SUMIF($B$6:B231,B232,$H$6:H231))</f>
        <v/>
      </c>
      <c r="O232" s="15" t="str">
        <f>IF(B232="","",COUNTIFS($B$6:B231,B232,$K$6:K231,"&lt;&gt;已记录"))</f>
        <v/>
      </c>
      <c r="P232" s="34"/>
    </row>
    <row r="233" spans="1:16" ht="21.75" customHeight="1">
      <c r="A233" s="16"/>
      <c r="B233" s="30"/>
      <c r="C233" s="31"/>
      <c r="D233" s="10"/>
      <c r="E233" s="10"/>
      <c r="F233" s="32"/>
      <c r="G233" s="15" t="str">
        <f t="shared" si="15"/>
        <v/>
      </c>
      <c r="H233" s="15" t="str">
        <f t="shared" si="16"/>
        <v/>
      </c>
      <c r="I233" s="17" t="str">
        <f t="shared" si="17"/>
        <v/>
      </c>
      <c r="J233" s="15" t="str">
        <f t="shared" si="18"/>
        <v/>
      </c>
      <c r="K233" s="19" t="str">
        <f t="shared" si="19"/>
        <v/>
      </c>
      <c r="L233" s="33"/>
      <c r="M233" s="15" t="str">
        <f>IF(B233="","",SUMIF($B$6:B232,B233,$I$6:I232))</f>
        <v/>
      </c>
      <c r="N233" s="15" t="str">
        <f>IF(B233="","",SUMIF($B$6:B232,B233,$H$6:H232))</f>
        <v/>
      </c>
      <c r="O233" s="15" t="str">
        <f>IF(B233="","",COUNTIFS($B$6:B232,B233,$K$6:K232,"&lt;&gt;已记录"))</f>
        <v/>
      </c>
      <c r="P233" s="34"/>
    </row>
    <row r="234" spans="1:16" ht="21.75" customHeight="1">
      <c r="A234" s="16"/>
      <c r="B234" s="30"/>
      <c r="C234" s="31"/>
      <c r="D234" s="10"/>
      <c r="E234" s="10"/>
      <c r="F234" s="32"/>
      <c r="G234" s="15" t="str">
        <f t="shared" si="15"/>
        <v/>
      </c>
      <c r="H234" s="15" t="str">
        <f t="shared" si="16"/>
        <v/>
      </c>
      <c r="I234" s="17" t="str">
        <f t="shared" si="17"/>
        <v/>
      </c>
      <c r="J234" s="15" t="str">
        <f t="shared" si="18"/>
        <v/>
      </c>
      <c r="K234" s="19" t="str">
        <f t="shared" si="19"/>
        <v/>
      </c>
      <c r="L234" s="33"/>
      <c r="M234" s="15" t="str">
        <f>IF(B234="","",SUMIF($B$6:B233,B234,$I$6:I233))</f>
        <v/>
      </c>
      <c r="N234" s="15" t="str">
        <f>IF(B234="","",SUMIF($B$6:B233,B234,$H$6:H233))</f>
        <v/>
      </c>
      <c r="O234" s="15" t="str">
        <f>IF(B234="","",COUNTIFS($B$6:B233,B234,$K$6:K233,"&lt;&gt;已记录"))</f>
        <v/>
      </c>
      <c r="P234" s="34"/>
    </row>
    <row r="235" spans="1:16" ht="21.75" customHeight="1">
      <c r="A235" s="16"/>
      <c r="B235" s="30"/>
      <c r="C235" s="31"/>
      <c r="D235" s="10"/>
      <c r="E235" s="10"/>
      <c r="F235" s="32"/>
      <c r="G235" s="15" t="str">
        <f t="shared" si="15"/>
        <v/>
      </c>
      <c r="H235" s="15" t="str">
        <f t="shared" si="16"/>
        <v/>
      </c>
      <c r="I235" s="17" t="str">
        <f t="shared" si="17"/>
        <v/>
      </c>
      <c r="J235" s="15" t="str">
        <f t="shared" si="18"/>
        <v/>
      </c>
      <c r="K235" s="19" t="str">
        <f t="shared" si="19"/>
        <v/>
      </c>
      <c r="L235" s="33"/>
      <c r="M235" s="15" t="str">
        <f>IF(B235="","",SUMIF($B$6:B234,B235,$I$6:I234))</f>
        <v/>
      </c>
      <c r="N235" s="15" t="str">
        <f>IF(B235="","",SUMIF($B$6:B234,B235,$H$6:H234))</f>
        <v/>
      </c>
      <c r="O235" s="15" t="str">
        <f>IF(B235="","",COUNTIFS($B$6:B234,B235,$K$6:K234,"&lt;&gt;已记录"))</f>
        <v/>
      </c>
      <c r="P235" s="34"/>
    </row>
    <row r="236" spans="1:16" ht="21.75" customHeight="1">
      <c r="A236" s="16"/>
      <c r="B236" s="30"/>
      <c r="C236" s="31"/>
      <c r="D236" s="10"/>
      <c r="E236" s="10"/>
      <c r="F236" s="32"/>
      <c r="G236" s="15" t="str">
        <f t="shared" si="15"/>
        <v/>
      </c>
      <c r="H236" s="15" t="str">
        <f t="shared" si="16"/>
        <v/>
      </c>
      <c r="I236" s="17" t="str">
        <f t="shared" si="17"/>
        <v/>
      </c>
      <c r="J236" s="15" t="str">
        <f t="shared" si="18"/>
        <v/>
      </c>
      <c r="K236" s="19" t="str">
        <f t="shared" si="19"/>
        <v/>
      </c>
      <c r="L236" s="33"/>
      <c r="M236" s="15" t="str">
        <f>IF(B236="","",SUMIF($B$6:B235,B236,$I$6:I235))</f>
        <v/>
      </c>
      <c r="N236" s="15" t="str">
        <f>IF(B236="","",SUMIF($B$6:B235,B236,$H$6:H235))</f>
        <v/>
      </c>
      <c r="O236" s="15" t="str">
        <f>IF(B236="","",COUNTIFS($B$6:B235,B236,$K$6:K235,"&lt;&gt;已记录"))</f>
        <v/>
      </c>
      <c r="P236" s="34"/>
    </row>
    <row r="237" spans="1:16" ht="21.75" customHeight="1">
      <c r="A237" s="16"/>
      <c r="B237" s="30"/>
      <c r="C237" s="31"/>
      <c r="D237" s="10"/>
      <c r="E237" s="10"/>
      <c r="F237" s="32"/>
      <c r="G237" s="15" t="str">
        <f t="shared" si="15"/>
        <v/>
      </c>
      <c r="H237" s="15" t="str">
        <f t="shared" si="16"/>
        <v/>
      </c>
      <c r="I237" s="17" t="str">
        <f t="shared" si="17"/>
        <v/>
      </c>
      <c r="J237" s="15" t="str">
        <f t="shared" si="18"/>
        <v/>
      </c>
      <c r="K237" s="19" t="str">
        <f t="shared" si="19"/>
        <v/>
      </c>
      <c r="L237" s="33"/>
      <c r="M237" s="15" t="str">
        <f>IF(B237="","",SUMIF($B$6:B236,B237,$I$6:I236))</f>
        <v/>
      </c>
      <c r="N237" s="15" t="str">
        <f>IF(B237="","",SUMIF($B$6:B236,B237,$H$6:H236))</f>
        <v/>
      </c>
      <c r="O237" s="15" t="str">
        <f>IF(B237="","",COUNTIFS($B$6:B236,B237,$K$6:K236,"&lt;&gt;已记录"))</f>
        <v/>
      </c>
      <c r="P237" s="34"/>
    </row>
    <row r="238" spans="1:16" ht="21.75" customHeight="1">
      <c r="A238" s="16"/>
      <c r="B238" s="30"/>
      <c r="C238" s="31"/>
      <c r="D238" s="10"/>
      <c r="E238" s="10"/>
      <c r="F238" s="32"/>
      <c r="G238" s="15" t="str">
        <f t="shared" si="15"/>
        <v/>
      </c>
      <c r="H238" s="15" t="str">
        <f t="shared" si="16"/>
        <v/>
      </c>
      <c r="I238" s="17" t="str">
        <f t="shared" si="17"/>
        <v/>
      </c>
      <c r="J238" s="15" t="str">
        <f t="shared" si="18"/>
        <v/>
      </c>
      <c r="K238" s="19" t="str">
        <f t="shared" si="19"/>
        <v/>
      </c>
      <c r="L238" s="33"/>
      <c r="M238" s="15" t="str">
        <f>IF(B238="","",SUMIF($B$6:B237,B238,$I$6:I237))</f>
        <v/>
      </c>
      <c r="N238" s="15" t="str">
        <f>IF(B238="","",SUMIF($B$6:B237,B238,$H$6:H237))</f>
        <v/>
      </c>
      <c r="O238" s="15" t="str">
        <f>IF(B238="","",COUNTIFS($B$6:B237,B238,$K$6:K237,"&lt;&gt;已记录"))</f>
        <v/>
      </c>
      <c r="P238" s="34"/>
    </row>
    <row r="239" spans="1:16" ht="21.75" customHeight="1">
      <c r="A239" s="16"/>
      <c r="B239" s="30"/>
      <c r="C239" s="31"/>
      <c r="D239" s="10"/>
      <c r="E239" s="10"/>
      <c r="F239" s="32"/>
      <c r="G239" s="15" t="str">
        <f t="shared" si="15"/>
        <v/>
      </c>
      <c r="H239" s="15" t="str">
        <f t="shared" si="16"/>
        <v/>
      </c>
      <c r="I239" s="17" t="str">
        <f t="shared" si="17"/>
        <v/>
      </c>
      <c r="J239" s="15" t="str">
        <f t="shared" si="18"/>
        <v/>
      </c>
      <c r="K239" s="19" t="str">
        <f t="shared" si="19"/>
        <v/>
      </c>
      <c r="L239" s="33"/>
      <c r="M239" s="15" t="str">
        <f>IF(B239="","",SUMIF($B$6:B238,B239,$I$6:I238))</f>
        <v/>
      </c>
      <c r="N239" s="15" t="str">
        <f>IF(B239="","",SUMIF($B$6:B238,B239,$H$6:H238))</f>
        <v/>
      </c>
      <c r="O239" s="15" t="str">
        <f>IF(B239="","",COUNTIFS($B$6:B238,B239,$K$6:K238,"&lt;&gt;已记录"))</f>
        <v/>
      </c>
      <c r="P239" s="34"/>
    </row>
    <row r="240" spans="1:16" ht="21.75" customHeight="1">
      <c r="A240" s="16"/>
      <c r="B240" s="30"/>
      <c r="C240" s="31"/>
      <c r="D240" s="10"/>
      <c r="E240" s="10"/>
      <c r="F240" s="32"/>
      <c r="G240" s="15" t="str">
        <f t="shared" si="15"/>
        <v/>
      </c>
      <c r="H240" s="15" t="str">
        <f t="shared" si="16"/>
        <v/>
      </c>
      <c r="I240" s="17" t="str">
        <f t="shared" si="17"/>
        <v/>
      </c>
      <c r="J240" s="15" t="str">
        <f t="shared" si="18"/>
        <v/>
      </c>
      <c r="K240" s="19" t="str">
        <f t="shared" si="19"/>
        <v/>
      </c>
      <c r="L240" s="33"/>
      <c r="M240" s="15" t="str">
        <f>IF(B240="","",SUMIF($B$6:B239,B240,$I$6:I239))</f>
        <v/>
      </c>
      <c r="N240" s="15" t="str">
        <f>IF(B240="","",SUMIF($B$6:B239,B240,$H$6:H239))</f>
        <v/>
      </c>
      <c r="O240" s="15" t="str">
        <f>IF(B240="","",COUNTIFS($B$6:B239,B240,$K$6:K239,"&lt;&gt;已记录"))</f>
        <v/>
      </c>
      <c r="P240" s="34"/>
    </row>
    <row r="241" spans="1:16" ht="21.75" customHeight="1">
      <c r="A241" s="16"/>
      <c r="B241" s="30"/>
      <c r="C241" s="31"/>
      <c r="D241" s="10"/>
      <c r="E241" s="10"/>
      <c r="F241" s="32"/>
      <c r="G241" s="15" t="str">
        <f t="shared" si="15"/>
        <v/>
      </c>
      <c r="H241" s="15" t="str">
        <f t="shared" si="16"/>
        <v/>
      </c>
      <c r="I241" s="17" t="str">
        <f t="shared" si="17"/>
        <v/>
      </c>
      <c r="J241" s="15" t="str">
        <f t="shared" si="18"/>
        <v/>
      </c>
      <c r="K241" s="19" t="str">
        <f t="shared" si="19"/>
        <v/>
      </c>
      <c r="L241" s="33"/>
      <c r="M241" s="15" t="str">
        <f>IF(B241="","",SUMIF($B$6:B240,B241,$I$6:I240))</f>
        <v/>
      </c>
      <c r="N241" s="15" t="str">
        <f>IF(B241="","",SUMIF($B$6:B240,B241,$H$6:H240))</f>
        <v/>
      </c>
      <c r="O241" s="15" t="str">
        <f>IF(B241="","",COUNTIFS($B$6:B240,B241,$K$6:K240,"&lt;&gt;已记录"))</f>
        <v/>
      </c>
      <c r="P241" s="34"/>
    </row>
    <row r="242" spans="1:16" ht="21.75" customHeight="1">
      <c r="A242" s="16"/>
      <c r="B242" s="30"/>
      <c r="C242" s="31"/>
      <c r="D242" s="10"/>
      <c r="E242" s="10"/>
      <c r="F242" s="32"/>
      <c r="G242" s="15" t="str">
        <f t="shared" si="15"/>
        <v/>
      </c>
      <c r="H242" s="15" t="str">
        <f t="shared" si="16"/>
        <v/>
      </c>
      <c r="I242" s="17" t="str">
        <f t="shared" si="17"/>
        <v/>
      </c>
      <c r="J242" s="15" t="str">
        <f t="shared" si="18"/>
        <v/>
      </c>
      <c r="K242" s="19" t="str">
        <f t="shared" si="19"/>
        <v/>
      </c>
      <c r="L242" s="33"/>
      <c r="M242" s="15" t="str">
        <f>IF(B242="","",SUMIF($B$6:B241,B242,$I$6:I241))</f>
        <v/>
      </c>
      <c r="N242" s="15" t="str">
        <f>IF(B242="","",SUMIF($B$6:B241,B242,$H$6:H241))</f>
        <v/>
      </c>
      <c r="O242" s="15" t="str">
        <f>IF(B242="","",COUNTIFS($B$6:B241,B242,$K$6:K241,"&lt;&gt;已记录"))</f>
        <v/>
      </c>
      <c r="P242" s="34"/>
    </row>
    <row r="243" spans="1:16" ht="21.75" customHeight="1">
      <c r="A243" s="16"/>
      <c r="B243" s="30"/>
      <c r="C243" s="31"/>
      <c r="D243" s="10"/>
      <c r="E243" s="10"/>
      <c r="F243" s="32"/>
      <c r="G243" s="15" t="str">
        <f t="shared" si="15"/>
        <v/>
      </c>
      <c r="H243" s="15" t="str">
        <f t="shared" si="16"/>
        <v/>
      </c>
      <c r="I243" s="17" t="str">
        <f t="shared" si="17"/>
        <v/>
      </c>
      <c r="J243" s="15" t="str">
        <f t="shared" si="18"/>
        <v/>
      </c>
      <c r="K243" s="19" t="str">
        <f t="shared" si="19"/>
        <v/>
      </c>
      <c r="L243" s="33"/>
      <c r="M243" s="15" t="str">
        <f>IF(B243="","",SUMIF($B$6:B242,B243,$I$6:I242))</f>
        <v/>
      </c>
      <c r="N243" s="15" t="str">
        <f>IF(B243="","",SUMIF($B$6:B242,B243,$H$6:H242))</f>
        <v/>
      </c>
      <c r="O243" s="15" t="str">
        <f>IF(B243="","",COUNTIFS($B$6:B242,B243,$K$6:K242,"&lt;&gt;已记录"))</f>
        <v/>
      </c>
      <c r="P243" s="34"/>
    </row>
    <row r="244" spans="1:16" ht="21.75" customHeight="1">
      <c r="A244" s="16"/>
      <c r="B244" s="30"/>
      <c r="C244" s="31"/>
      <c r="D244" s="10"/>
      <c r="E244" s="10"/>
      <c r="F244" s="32"/>
      <c r="G244" s="15" t="str">
        <f t="shared" si="15"/>
        <v/>
      </c>
      <c r="H244" s="15" t="str">
        <f t="shared" si="16"/>
        <v/>
      </c>
      <c r="I244" s="17" t="str">
        <f t="shared" si="17"/>
        <v/>
      </c>
      <c r="J244" s="15" t="str">
        <f t="shared" si="18"/>
        <v/>
      </c>
      <c r="K244" s="19" t="str">
        <f t="shared" si="19"/>
        <v/>
      </c>
      <c r="L244" s="33"/>
      <c r="M244" s="15" t="str">
        <f>IF(B244="","",SUMIF($B$6:B243,B244,$I$6:I243))</f>
        <v/>
      </c>
      <c r="N244" s="15" t="str">
        <f>IF(B244="","",SUMIF($B$6:B243,B244,$H$6:H243))</f>
        <v/>
      </c>
      <c r="O244" s="15" t="str">
        <f>IF(B244="","",COUNTIFS($B$6:B243,B244,$K$6:K243,"&lt;&gt;已记录"))</f>
        <v/>
      </c>
      <c r="P244" s="34"/>
    </row>
    <row r="245" spans="1:16" ht="21.75" customHeight="1">
      <c r="A245" s="16"/>
      <c r="B245" s="30"/>
      <c r="C245" s="31"/>
      <c r="D245" s="10"/>
      <c r="E245" s="10"/>
      <c r="F245" s="32"/>
      <c r="G245" s="15" t="str">
        <f t="shared" si="15"/>
        <v/>
      </c>
      <c r="H245" s="15" t="str">
        <f t="shared" si="16"/>
        <v/>
      </c>
      <c r="I245" s="17" t="str">
        <f t="shared" si="17"/>
        <v/>
      </c>
      <c r="J245" s="15" t="str">
        <f t="shared" si="18"/>
        <v/>
      </c>
      <c r="K245" s="19" t="str">
        <f t="shared" si="19"/>
        <v/>
      </c>
      <c r="L245" s="33"/>
      <c r="M245" s="15" t="str">
        <f>IF(B245="","",SUMIF($B$6:B244,B245,$I$6:I244))</f>
        <v/>
      </c>
      <c r="N245" s="15" t="str">
        <f>IF(B245="","",SUMIF($B$6:B244,B245,$H$6:H244))</f>
        <v/>
      </c>
      <c r="O245" s="15" t="str">
        <f>IF(B245="","",COUNTIFS($B$6:B244,B245,$K$6:K244,"&lt;&gt;已记录"))</f>
        <v/>
      </c>
      <c r="P245" s="34"/>
    </row>
    <row r="246" spans="1:16" ht="21.75" customHeight="1">
      <c r="A246" s="16"/>
      <c r="B246" s="30"/>
      <c r="C246" s="31"/>
      <c r="D246" s="10"/>
      <c r="E246" s="10"/>
      <c r="F246" s="32"/>
      <c r="G246" s="15" t="str">
        <f t="shared" si="15"/>
        <v/>
      </c>
      <c r="H246" s="15" t="str">
        <f t="shared" si="16"/>
        <v/>
      </c>
      <c r="I246" s="17" t="str">
        <f t="shared" si="17"/>
        <v/>
      </c>
      <c r="J246" s="15" t="str">
        <f t="shared" si="18"/>
        <v/>
      </c>
      <c r="K246" s="19" t="str">
        <f t="shared" si="19"/>
        <v/>
      </c>
      <c r="L246" s="33"/>
      <c r="M246" s="15" t="str">
        <f>IF(B246="","",SUMIF($B$6:B245,B246,$I$6:I245))</f>
        <v/>
      </c>
      <c r="N246" s="15" t="str">
        <f>IF(B246="","",SUMIF($B$6:B245,B246,$H$6:H245))</f>
        <v/>
      </c>
      <c r="O246" s="15" t="str">
        <f>IF(B246="","",COUNTIFS($B$6:B245,B246,$K$6:K245,"&lt;&gt;已记录"))</f>
        <v/>
      </c>
      <c r="P246" s="34"/>
    </row>
    <row r="247" spans="1:16" ht="21.75" customHeight="1">
      <c r="A247" s="16"/>
      <c r="B247" s="30"/>
      <c r="C247" s="31"/>
      <c r="D247" s="10"/>
      <c r="E247" s="10"/>
      <c r="F247" s="32"/>
      <c r="G247" s="15" t="str">
        <f t="shared" si="15"/>
        <v/>
      </c>
      <c r="H247" s="15" t="str">
        <f t="shared" si="16"/>
        <v/>
      </c>
      <c r="I247" s="17" t="str">
        <f t="shared" si="17"/>
        <v/>
      </c>
      <c r="J247" s="15" t="str">
        <f t="shared" si="18"/>
        <v/>
      </c>
      <c r="K247" s="19" t="str">
        <f t="shared" si="19"/>
        <v/>
      </c>
      <c r="L247" s="33"/>
      <c r="M247" s="15" t="str">
        <f>IF(B247="","",SUMIF($B$6:B246,B247,$I$6:I246))</f>
        <v/>
      </c>
      <c r="N247" s="15" t="str">
        <f>IF(B247="","",SUMIF($B$6:B246,B247,$H$6:H246))</f>
        <v/>
      </c>
      <c r="O247" s="15" t="str">
        <f>IF(B247="","",COUNTIFS($B$6:B246,B247,$K$6:K246,"&lt;&gt;已记录"))</f>
        <v/>
      </c>
      <c r="P247" s="34"/>
    </row>
    <row r="248" spans="1:16" ht="21.75" customHeight="1">
      <c r="A248" s="16"/>
      <c r="B248" s="30"/>
      <c r="C248" s="31"/>
      <c r="D248" s="10"/>
      <c r="E248" s="10"/>
      <c r="F248" s="32"/>
      <c r="G248" s="15" t="str">
        <f t="shared" si="15"/>
        <v/>
      </c>
      <c r="H248" s="15" t="str">
        <f t="shared" si="16"/>
        <v/>
      </c>
      <c r="I248" s="17" t="str">
        <f t="shared" si="17"/>
        <v/>
      </c>
      <c r="J248" s="15" t="str">
        <f t="shared" si="18"/>
        <v/>
      </c>
      <c r="K248" s="19" t="str">
        <f t="shared" si="19"/>
        <v/>
      </c>
      <c r="L248" s="33"/>
      <c r="M248" s="15" t="str">
        <f>IF(B248="","",SUMIF($B$6:B247,B248,$I$6:I247))</f>
        <v/>
      </c>
      <c r="N248" s="15" t="str">
        <f>IF(B248="","",SUMIF($B$6:B247,B248,$H$6:H247))</f>
        <v/>
      </c>
      <c r="O248" s="15" t="str">
        <f>IF(B248="","",COUNTIFS($B$6:B247,B248,$K$6:K247,"&lt;&gt;已记录"))</f>
        <v/>
      </c>
      <c r="P248" s="34"/>
    </row>
    <row r="249" spans="1:16" ht="21.75" customHeight="1">
      <c r="A249" s="16"/>
      <c r="B249" s="30"/>
      <c r="C249" s="31"/>
      <c r="D249" s="10"/>
      <c r="E249" s="10"/>
      <c r="F249" s="32"/>
      <c r="G249" s="15" t="str">
        <f t="shared" si="15"/>
        <v/>
      </c>
      <c r="H249" s="15" t="str">
        <f t="shared" si="16"/>
        <v/>
      </c>
      <c r="I249" s="17" t="str">
        <f t="shared" si="17"/>
        <v/>
      </c>
      <c r="J249" s="15" t="str">
        <f t="shared" si="18"/>
        <v/>
      </c>
      <c r="K249" s="19" t="str">
        <f t="shared" si="19"/>
        <v/>
      </c>
      <c r="L249" s="33"/>
      <c r="M249" s="15" t="str">
        <f>IF(B249="","",SUMIF($B$6:B248,B249,$I$6:I248))</f>
        <v/>
      </c>
      <c r="N249" s="15" t="str">
        <f>IF(B249="","",SUMIF($B$6:B248,B249,$H$6:H248))</f>
        <v/>
      </c>
      <c r="O249" s="15" t="str">
        <f>IF(B249="","",COUNTIFS($B$6:B248,B249,$K$6:K248,"&lt;&gt;已记录"))</f>
        <v/>
      </c>
      <c r="P249" s="34"/>
    </row>
    <row r="250" spans="1:16" ht="21.75" customHeight="1">
      <c r="A250" s="16"/>
      <c r="B250" s="30"/>
      <c r="C250" s="31"/>
      <c r="D250" s="10"/>
      <c r="E250" s="10"/>
      <c r="F250" s="32"/>
      <c r="G250" s="15" t="str">
        <f t="shared" si="15"/>
        <v/>
      </c>
      <c r="H250" s="15" t="str">
        <f t="shared" si="16"/>
        <v/>
      </c>
      <c r="I250" s="17" t="str">
        <f t="shared" si="17"/>
        <v/>
      </c>
      <c r="J250" s="15" t="str">
        <f t="shared" si="18"/>
        <v/>
      </c>
      <c r="K250" s="19" t="str">
        <f t="shared" si="19"/>
        <v/>
      </c>
      <c r="L250" s="33"/>
      <c r="M250" s="15" t="str">
        <f>IF(B250="","",SUMIF($B$6:B249,B250,$I$6:I249))</f>
        <v/>
      </c>
      <c r="N250" s="15" t="str">
        <f>IF(B250="","",SUMIF($B$6:B249,B250,$H$6:H249))</f>
        <v/>
      </c>
      <c r="O250" s="15" t="str">
        <f>IF(B250="","",COUNTIFS($B$6:B249,B250,$K$6:K249,"&lt;&gt;已记录"))</f>
        <v/>
      </c>
      <c r="P250" s="34"/>
    </row>
    <row r="251" spans="1:16" ht="21.75" customHeight="1">
      <c r="A251" s="16"/>
      <c r="B251" s="30"/>
      <c r="C251" s="31"/>
      <c r="D251" s="10"/>
      <c r="E251" s="10"/>
      <c r="F251" s="32"/>
      <c r="G251" s="15" t="str">
        <f t="shared" si="15"/>
        <v/>
      </c>
      <c r="H251" s="15" t="str">
        <f t="shared" si="16"/>
        <v/>
      </c>
      <c r="I251" s="17" t="str">
        <f t="shared" si="17"/>
        <v/>
      </c>
      <c r="J251" s="15" t="str">
        <f t="shared" si="18"/>
        <v/>
      </c>
      <c r="K251" s="19" t="str">
        <f t="shared" si="19"/>
        <v/>
      </c>
      <c r="L251" s="33"/>
      <c r="M251" s="15" t="str">
        <f>IF(B251="","",SUMIF($B$6:B250,B251,$I$6:I250))</f>
        <v/>
      </c>
      <c r="N251" s="15" t="str">
        <f>IF(B251="","",SUMIF($B$6:B250,B251,$H$6:H250))</f>
        <v/>
      </c>
      <c r="O251" s="15" t="str">
        <f>IF(B251="","",COUNTIFS($B$6:B250,B251,$K$6:K250,"&lt;&gt;已记录"))</f>
        <v/>
      </c>
      <c r="P251" s="34"/>
    </row>
    <row r="252" spans="1:16" ht="21.75" customHeight="1">
      <c r="A252" s="16"/>
      <c r="B252" s="30"/>
      <c r="C252" s="31"/>
      <c r="D252" s="10"/>
      <c r="E252" s="10"/>
      <c r="F252" s="32"/>
      <c r="G252" s="15" t="str">
        <f t="shared" si="15"/>
        <v/>
      </c>
      <c r="H252" s="15" t="str">
        <f t="shared" si="16"/>
        <v/>
      </c>
      <c r="I252" s="17" t="str">
        <f t="shared" si="17"/>
        <v/>
      </c>
      <c r="J252" s="15" t="str">
        <f t="shared" si="18"/>
        <v/>
      </c>
      <c r="K252" s="19" t="str">
        <f t="shared" si="19"/>
        <v/>
      </c>
      <c r="L252" s="33"/>
      <c r="M252" s="15" t="str">
        <f>IF(B252="","",SUMIF($B$6:B251,B252,$I$6:I251))</f>
        <v/>
      </c>
      <c r="N252" s="15" t="str">
        <f>IF(B252="","",SUMIF($B$6:B251,B252,$H$6:H251))</f>
        <v/>
      </c>
      <c r="O252" s="15" t="str">
        <f>IF(B252="","",COUNTIFS($B$6:B251,B252,$K$6:K251,"&lt;&gt;已记录"))</f>
        <v/>
      </c>
      <c r="P252" s="34"/>
    </row>
    <row r="253" spans="1:16" ht="21.75" customHeight="1">
      <c r="A253" s="16"/>
      <c r="B253" s="30"/>
      <c r="C253" s="31"/>
      <c r="D253" s="10"/>
      <c r="E253" s="10"/>
      <c r="F253" s="32"/>
      <c r="G253" s="15" t="str">
        <f t="shared" si="15"/>
        <v/>
      </c>
      <c r="H253" s="15" t="str">
        <f t="shared" si="16"/>
        <v/>
      </c>
      <c r="I253" s="17" t="str">
        <f t="shared" si="17"/>
        <v/>
      </c>
      <c r="J253" s="15" t="str">
        <f t="shared" si="18"/>
        <v/>
      </c>
      <c r="K253" s="19" t="str">
        <f t="shared" si="19"/>
        <v/>
      </c>
      <c r="L253" s="33"/>
      <c r="M253" s="15" t="str">
        <f>IF(B253="","",SUMIF($B$6:B252,B253,$I$6:I252))</f>
        <v/>
      </c>
      <c r="N253" s="15" t="str">
        <f>IF(B253="","",SUMIF($B$6:B252,B253,$H$6:H252))</f>
        <v/>
      </c>
      <c r="O253" s="15" t="str">
        <f>IF(B253="","",COUNTIFS($B$6:B252,B253,$K$6:K252,"&lt;&gt;已记录"))</f>
        <v/>
      </c>
      <c r="P253" s="34"/>
    </row>
    <row r="254" spans="1:16" ht="21.75" customHeight="1">
      <c r="A254" s="16"/>
      <c r="B254" s="30"/>
      <c r="C254" s="31"/>
      <c r="D254" s="10"/>
      <c r="E254" s="10"/>
      <c r="F254" s="32"/>
      <c r="G254" s="15" t="str">
        <f t="shared" si="15"/>
        <v/>
      </c>
      <c r="H254" s="15" t="str">
        <f t="shared" si="16"/>
        <v/>
      </c>
      <c r="I254" s="17" t="str">
        <f t="shared" si="17"/>
        <v/>
      </c>
      <c r="J254" s="15" t="str">
        <f t="shared" si="18"/>
        <v/>
      </c>
      <c r="K254" s="19" t="str">
        <f t="shared" si="19"/>
        <v/>
      </c>
      <c r="L254" s="33"/>
      <c r="M254" s="15" t="str">
        <f>IF(B254="","",SUMIF($B$6:B253,B254,$I$6:I253))</f>
        <v/>
      </c>
      <c r="N254" s="15" t="str">
        <f>IF(B254="","",SUMIF($B$6:B253,B254,$H$6:H253))</f>
        <v/>
      </c>
      <c r="O254" s="15" t="str">
        <f>IF(B254="","",COUNTIFS($B$6:B253,B254,$K$6:K253,"&lt;&gt;已记录"))</f>
        <v/>
      </c>
      <c r="P254" s="34"/>
    </row>
    <row r="255" spans="1:16" ht="21.75" customHeight="1">
      <c r="A255" s="16"/>
      <c r="B255" s="30"/>
      <c r="C255" s="31"/>
      <c r="D255" s="10"/>
      <c r="E255" s="10"/>
      <c r="F255" s="32"/>
      <c r="G255" s="15" t="str">
        <f t="shared" si="15"/>
        <v/>
      </c>
      <c r="H255" s="15" t="str">
        <f t="shared" si="16"/>
        <v/>
      </c>
      <c r="I255" s="17" t="str">
        <f t="shared" si="17"/>
        <v/>
      </c>
      <c r="J255" s="15" t="str">
        <f t="shared" si="18"/>
        <v/>
      </c>
      <c r="K255" s="19" t="str">
        <f t="shared" si="19"/>
        <v/>
      </c>
      <c r="L255" s="33"/>
      <c r="M255" s="15" t="str">
        <f>IF(B255="","",SUMIF($B$6:B254,B255,$I$6:I254))</f>
        <v/>
      </c>
      <c r="N255" s="15" t="str">
        <f>IF(B255="","",SUMIF($B$6:B254,B255,$H$6:H254))</f>
        <v/>
      </c>
      <c r="O255" s="15" t="str">
        <f>IF(B255="","",COUNTIFS($B$6:B254,B255,$K$6:K254,"&lt;&gt;已记录"))</f>
        <v/>
      </c>
      <c r="P255" s="34"/>
    </row>
    <row r="256" spans="1:16" ht="21.75" customHeight="1">
      <c r="A256" s="16"/>
      <c r="B256" s="30"/>
      <c r="C256" s="31"/>
      <c r="D256" s="10"/>
      <c r="E256" s="10"/>
      <c r="F256" s="32"/>
      <c r="G256" s="15" t="str">
        <f t="shared" si="15"/>
        <v/>
      </c>
      <c r="H256" s="15" t="str">
        <f t="shared" si="16"/>
        <v/>
      </c>
      <c r="I256" s="17" t="str">
        <f t="shared" si="17"/>
        <v/>
      </c>
      <c r="J256" s="15" t="str">
        <f t="shared" si="18"/>
        <v/>
      </c>
      <c r="K256" s="19" t="str">
        <f t="shared" si="19"/>
        <v/>
      </c>
      <c r="L256" s="33"/>
      <c r="M256" s="15" t="str">
        <f>IF(B256="","",SUMIF($B$6:B255,B256,$I$6:I255))</f>
        <v/>
      </c>
      <c r="N256" s="15" t="str">
        <f>IF(B256="","",SUMIF($B$6:B255,B256,$H$6:H255))</f>
        <v/>
      </c>
      <c r="O256" s="15" t="str">
        <f>IF(B256="","",COUNTIFS($B$6:B255,B256,$K$6:K255,"&lt;&gt;已记录"))</f>
        <v/>
      </c>
      <c r="P256" s="34"/>
    </row>
    <row r="257" spans="1:16" ht="21.75" customHeight="1">
      <c r="A257" s="16"/>
      <c r="B257" s="30"/>
      <c r="C257" s="31"/>
      <c r="D257" s="10"/>
      <c r="E257" s="10"/>
      <c r="F257" s="32"/>
      <c r="G257" s="15" t="str">
        <f t="shared" si="15"/>
        <v/>
      </c>
      <c r="H257" s="15" t="str">
        <f t="shared" si="16"/>
        <v/>
      </c>
      <c r="I257" s="17" t="str">
        <f t="shared" si="17"/>
        <v/>
      </c>
      <c r="J257" s="15" t="str">
        <f t="shared" si="18"/>
        <v/>
      </c>
      <c r="K257" s="19" t="str">
        <f t="shared" si="19"/>
        <v/>
      </c>
      <c r="L257" s="33"/>
      <c r="M257" s="15" t="str">
        <f>IF(B257="","",SUMIF($B$6:B256,B257,$I$6:I256))</f>
        <v/>
      </c>
      <c r="N257" s="15" t="str">
        <f>IF(B257="","",SUMIF($B$6:B256,B257,$H$6:H256))</f>
        <v/>
      </c>
      <c r="O257" s="15" t="str">
        <f>IF(B257="","",COUNTIFS($B$6:B256,B257,$K$6:K256,"&lt;&gt;已记录"))</f>
        <v/>
      </c>
      <c r="P257" s="34"/>
    </row>
    <row r="258" spans="1:16" ht="21.75" customHeight="1">
      <c r="A258" s="16"/>
      <c r="B258" s="30"/>
      <c r="C258" s="31"/>
      <c r="D258" s="10"/>
      <c r="E258" s="10"/>
      <c r="F258" s="32"/>
      <c r="G258" s="15" t="str">
        <f t="shared" si="15"/>
        <v/>
      </c>
      <c r="H258" s="15" t="str">
        <f t="shared" si="16"/>
        <v/>
      </c>
      <c r="I258" s="17" t="str">
        <f t="shared" si="17"/>
        <v/>
      </c>
      <c r="J258" s="15" t="str">
        <f t="shared" si="18"/>
        <v/>
      </c>
      <c r="K258" s="19" t="str">
        <f t="shared" si="19"/>
        <v/>
      </c>
      <c r="L258" s="33"/>
      <c r="M258" s="15" t="str">
        <f>IF(B258="","",SUMIF($B$6:B257,B258,$I$6:I257))</f>
        <v/>
      </c>
      <c r="N258" s="15" t="str">
        <f>IF(B258="","",SUMIF($B$6:B257,B258,$H$6:H257))</f>
        <v/>
      </c>
      <c r="O258" s="15" t="str">
        <f>IF(B258="","",COUNTIFS($B$6:B257,B258,$K$6:K257,"&lt;&gt;已记录"))</f>
        <v/>
      </c>
      <c r="P258" s="34"/>
    </row>
    <row r="259" spans="1:16" ht="21.75" customHeight="1">
      <c r="A259" s="16"/>
      <c r="B259" s="30"/>
      <c r="C259" s="31"/>
      <c r="D259" s="10"/>
      <c r="E259" s="10"/>
      <c r="F259" s="32"/>
      <c r="G259" s="15" t="str">
        <f t="shared" si="15"/>
        <v/>
      </c>
      <c r="H259" s="15" t="str">
        <f t="shared" si="16"/>
        <v/>
      </c>
      <c r="I259" s="17" t="str">
        <f t="shared" si="17"/>
        <v/>
      </c>
      <c r="J259" s="15" t="str">
        <f t="shared" si="18"/>
        <v/>
      </c>
      <c r="K259" s="19" t="str">
        <f t="shared" si="19"/>
        <v/>
      </c>
      <c r="L259" s="33"/>
      <c r="M259" s="15" t="str">
        <f>IF(B259="","",SUMIF($B$6:B258,B259,$I$6:I258))</f>
        <v/>
      </c>
      <c r="N259" s="15" t="str">
        <f>IF(B259="","",SUMIF($B$6:B258,B259,$H$6:H258))</f>
        <v/>
      </c>
      <c r="O259" s="15" t="str">
        <f>IF(B259="","",COUNTIFS($B$6:B258,B259,$K$6:K258,"&lt;&gt;已记录"))</f>
        <v/>
      </c>
      <c r="P259" s="34"/>
    </row>
    <row r="260" spans="1:16" ht="21.75" customHeight="1">
      <c r="A260" s="16"/>
      <c r="B260" s="30"/>
      <c r="C260" s="31"/>
      <c r="D260" s="10"/>
      <c r="E260" s="10"/>
      <c r="F260" s="32"/>
      <c r="G260" s="15" t="str">
        <f t="shared" si="15"/>
        <v/>
      </c>
      <c r="H260" s="15" t="str">
        <f t="shared" si="16"/>
        <v/>
      </c>
      <c r="I260" s="17" t="str">
        <f t="shared" si="17"/>
        <v/>
      </c>
      <c r="J260" s="15" t="str">
        <f t="shared" si="18"/>
        <v/>
      </c>
      <c r="K260" s="19" t="str">
        <f t="shared" si="19"/>
        <v/>
      </c>
      <c r="L260" s="33"/>
      <c r="M260" s="15" t="str">
        <f>IF(B260="","",SUMIF($B$6:B259,B260,$I$6:I259))</f>
        <v/>
      </c>
      <c r="N260" s="15" t="str">
        <f>IF(B260="","",SUMIF($B$6:B259,B260,$H$6:H259))</f>
        <v/>
      </c>
      <c r="O260" s="15" t="str">
        <f>IF(B260="","",COUNTIFS($B$6:B259,B260,$K$6:K259,"&lt;&gt;已记录"))</f>
        <v/>
      </c>
      <c r="P260" s="34"/>
    </row>
    <row r="261" spans="1:16" ht="21.75" customHeight="1">
      <c r="A261" s="16"/>
      <c r="B261" s="30"/>
      <c r="C261" s="31"/>
      <c r="D261" s="10"/>
      <c r="E261" s="10"/>
      <c r="F261" s="32"/>
      <c r="G261" s="15" t="str">
        <f t="shared" si="15"/>
        <v/>
      </c>
      <c r="H261" s="15" t="str">
        <f t="shared" si="16"/>
        <v/>
      </c>
      <c r="I261" s="17" t="str">
        <f t="shared" si="17"/>
        <v/>
      </c>
      <c r="J261" s="15" t="str">
        <f t="shared" si="18"/>
        <v/>
      </c>
      <c r="K261" s="19" t="str">
        <f t="shared" si="19"/>
        <v/>
      </c>
      <c r="L261" s="33"/>
      <c r="M261" s="15" t="str">
        <f>IF(B261="","",SUMIF($B$6:B260,B261,$I$6:I260))</f>
        <v/>
      </c>
      <c r="N261" s="15" t="str">
        <f>IF(B261="","",SUMIF($B$6:B260,B261,$H$6:H260))</f>
        <v/>
      </c>
      <c r="O261" s="15" t="str">
        <f>IF(B261="","",COUNTIFS($B$6:B260,B261,$K$6:K260,"&lt;&gt;已记录"))</f>
        <v/>
      </c>
      <c r="P261" s="34"/>
    </row>
    <row r="262" spans="1:16" ht="21.75" customHeight="1">
      <c r="A262" s="16"/>
      <c r="B262" s="30"/>
      <c r="C262" s="31"/>
      <c r="D262" s="10"/>
      <c r="E262" s="10"/>
      <c r="F262" s="32"/>
      <c r="G262" s="15" t="str">
        <f t="shared" ref="G262:G325" si="20">IF(OR(B262="",D262="",C262=""),"",IF(C262="买入",-(D262+E262),IF(C262="卖出",D262-E262,"")))</f>
        <v/>
      </c>
      <c r="H262" s="15" t="str">
        <f t="shared" ref="H262:H325" si="21">IF(K262&lt;&gt;"已记录","",IF(C262="买入",D262+E262,-IF(M262=0,0,N262/M262*F262)))</f>
        <v/>
      </c>
      <c r="I262" s="17" t="str">
        <f t="shared" ref="I262:I325" si="22">IF(K262&lt;&gt;"已记录","",IF(C262="买入",F262,-F262))</f>
        <v/>
      </c>
      <c r="J262" s="15" t="str">
        <f t="shared" ref="J262:J325" si="23">IF(K262&lt;&gt;"已记录","",IF(C262="卖出",D262-E262+H262,0))</f>
        <v/>
      </c>
      <c r="K262" s="19" t="str">
        <f t="shared" ref="K262:K325" si="24">IF(B262="","",IF(OR(A262="",D262="",F262="",C262=""),"待补日期／金额／份额",IF(OR(D262&lt;=0,F262&lt;=0,E262&lt;0,AND(C262&lt;&gt;"买入",C262&lt;&gt;"卖出"),AND(C262="卖出",E262&gt;D262)),"请检查输入",IF(O262&gt;0,"待补前序记录",IF(AND(C262="卖出",F262&gt;M262+0.00000001),"卖出超过持仓","已记录")))))</f>
        <v/>
      </c>
      <c r="L262" s="33"/>
      <c r="M262" s="15" t="str">
        <f>IF(B262="","",SUMIF($B$6:B261,B262,$I$6:I261))</f>
        <v/>
      </c>
      <c r="N262" s="15" t="str">
        <f>IF(B262="","",SUMIF($B$6:B261,B262,$H$6:H261))</f>
        <v/>
      </c>
      <c r="O262" s="15" t="str">
        <f>IF(B262="","",COUNTIFS($B$6:B261,B262,$K$6:K261,"&lt;&gt;已记录"))</f>
        <v/>
      </c>
      <c r="P262" s="34"/>
    </row>
    <row r="263" spans="1:16" ht="21.75" customHeight="1">
      <c r="A263" s="16"/>
      <c r="B263" s="30"/>
      <c r="C263" s="31"/>
      <c r="D263" s="10"/>
      <c r="E263" s="10"/>
      <c r="F263" s="32"/>
      <c r="G263" s="15" t="str">
        <f t="shared" si="20"/>
        <v/>
      </c>
      <c r="H263" s="15" t="str">
        <f t="shared" si="21"/>
        <v/>
      </c>
      <c r="I263" s="17" t="str">
        <f t="shared" si="22"/>
        <v/>
      </c>
      <c r="J263" s="15" t="str">
        <f t="shared" si="23"/>
        <v/>
      </c>
      <c r="K263" s="19" t="str">
        <f t="shared" si="24"/>
        <v/>
      </c>
      <c r="L263" s="33"/>
      <c r="M263" s="15" t="str">
        <f>IF(B263="","",SUMIF($B$6:B262,B263,$I$6:I262))</f>
        <v/>
      </c>
      <c r="N263" s="15" t="str">
        <f>IF(B263="","",SUMIF($B$6:B262,B263,$H$6:H262))</f>
        <v/>
      </c>
      <c r="O263" s="15" t="str">
        <f>IF(B263="","",COUNTIFS($B$6:B262,B263,$K$6:K262,"&lt;&gt;已记录"))</f>
        <v/>
      </c>
      <c r="P263" s="34"/>
    </row>
    <row r="264" spans="1:16" ht="21.75" customHeight="1">
      <c r="A264" s="16"/>
      <c r="B264" s="30"/>
      <c r="C264" s="31"/>
      <c r="D264" s="10"/>
      <c r="E264" s="10"/>
      <c r="F264" s="32"/>
      <c r="G264" s="15" t="str">
        <f t="shared" si="20"/>
        <v/>
      </c>
      <c r="H264" s="15" t="str">
        <f t="shared" si="21"/>
        <v/>
      </c>
      <c r="I264" s="17" t="str">
        <f t="shared" si="22"/>
        <v/>
      </c>
      <c r="J264" s="15" t="str">
        <f t="shared" si="23"/>
        <v/>
      </c>
      <c r="K264" s="19" t="str">
        <f t="shared" si="24"/>
        <v/>
      </c>
      <c r="L264" s="33"/>
      <c r="M264" s="15" t="str">
        <f>IF(B264="","",SUMIF($B$6:B263,B264,$I$6:I263))</f>
        <v/>
      </c>
      <c r="N264" s="15" t="str">
        <f>IF(B264="","",SUMIF($B$6:B263,B264,$H$6:H263))</f>
        <v/>
      </c>
      <c r="O264" s="15" t="str">
        <f>IF(B264="","",COUNTIFS($B$6:B263,B264,$K$6:K263,"&lt;&gt;已记录"))</f>
        <v/>
      </c>
      <c r="P264" s="34"/>
    </row>
    <row r="265" spans="1:16" ht="21.75" customHeight="1">
      <c r="A265" s="16"/>
      <c r="B265" s="30"/>
      <c r="C265" s="31"/>
      <c r="D265" s="10"/>
      <c r="E265" s="10"/>
      <c r="F265" s="32"/>
      <c r="G265" s="15" t="str">
        <f t="shared" si="20"/>
        <v/>
      </c>
      <c r="H265" s="15" t="str">
        <f t="shared" si="21"/>
        <v/>
      </c>
      <c r="I265" s="17" t="str">
        <f t="shared" si="22"/>
        <v/>
      </c>
      <c r="J265" s="15" t="str">
        <f t="shared" si="23"/>
        <v/>
      </c>
      <c r="K265" s="19" t="str">
        <f t="shared" si="24"/>
        <v/>
      </c>
      <c r="L265" s="33"/>
      <c r="M265" s="15" t="str">
        <f>IF(B265="","",SUMIF($B$6:B264,B265,$I$6:I264))</f>
        <v/>
      </c>
      <c r="N265" s="15" t="str">
        <f>IF(B265="","",SUMIF($B$6:B264,B265,$H$6:H264))</f>
        <v/>
      </c>
      <c r="O265" s="15" t="str">
        <f>IF(B265="","",COUNTIFS($B$6:B264,B265,$K$6:K264,"&lt;&gt;已记录"))</f>
        <v/>
      </c>
      <c r="P265" s="34"/>
    </row>
    <row r="266" spans="1:16" ht="21.75" customHeight="1">
      <c r="A266" s="16"/>
      <c r="B266" s="30"/>
      <c r="C266" s="31"/>
      <c r="D266" s="10"/>
      <c r="E266" s="10"/>
      <c r="F266" s="32"/>
      <c r="G266" s="15" t="str">
        <f t="shared" si="20"/>
        <v/>
      </c>
      <c r="H266" s="15" t="str">
        <f t="shared" si="21"/>
        <v/>
      </c>
      <c r="I266" s="17" t="str">
        <f t="shared" si="22"/>
        <v/>
      </c>
      <c r="J266" s="15" t="str">
        <f t="shared" si="23"/>
        <v/>
      </c>
      <c r="K266" s="19" t="str">
        <f t="shared" si="24"/>
        <v/>
      </c>
      <c r="L266" s="33"/>
      <c r="M266" s="15" t="str">
        <f>IF(B266="","",SUMIF($B$6:B265,B266,$I$6:I265))</f>
        <v/>
      </c>
      <c r="N266" s="15" t="str">
        <f>IF(B266="","",SUMIF($B$6:B265,B266,$H$6:H265))</f>
        <v/>
      </c>
      <c r="O266" s="15" t="str">
        <f>IF(B266="","",COUNTIFS($B$6:B265,B266,$K$6:K265,"&lt;&gt;已记录"))</f>
        <v/>
      </c>
      <c r="P266" s="34"/>
    </row>
    <row r="267" spans="1:16" ht="21.75" customHeight="1">
      <c r="A267" s="16"/>
      <c r="B267" s="30"/>
      <c r="C267" s="31"/>
      <c r="D267" s="10"/>
      <c r="E267" s="10"/>
      <c r="F267" s="32"/>
      <c r="G267" s="15" t="str">
        <f t="shared" si="20"/>
        <v/>
      </c>
      <c r="H267" s="15" t="str">
        <f t="shared" si="21"/>
        <v/>
      </c>
      <c r="I267" s="17" t="str">
        <f t="shared" si="22"/>
        <v/>
      </c>
      <c r="J267" s="15" t="str">
        <f t="shared" si="23"/>
        <v/>
      </c>
      <c r="K267" s="19" t="str">
        <f t="shared" si="24"/>
        <v/>
      </c>
      <c r="L267" s="33"/>
      <c r="M267" s="15" t="str">
        <f>IF(B267="","",SUMIF($B$6:B266,B267,$I$6:I266))</f>
        <v/>
      </c>
      <c r="N267" s="15" t="str">
        <f>IF(B267="","",SUMIF($B$6:B266,B267,$H$6:H266))</f>
        <v/>
      </c>
      <c r="O267" s="15" t="str">
        <f>IF(B267="","",COUNTIFS($B$6:B266,B267,$K$6:K266,"&lt;&gt;已记录"))</f>
        <v/>
      </c>
      <c r="P267" s="34"/>
    </row>
    <row r="268" spans="1:16" ht="21.75" customHeight="1">
      <c r="A268" s="16"/>
      <c r="B268" s="30"/>
      <c r="C268" s="31"/>
      <c r="D268" s="10"/>
      <c r="E268" s="10"/>
      <c r="F268" s="32"/>
      <c r="G268" s="15" t="str">
        <f t="shared" si="20"/>
        <v/>
      </c>
      <c r="H268" s="15" t="str">
        <f t="shared" si="21"/>
        <v/>
      </c>
      <c r="I268" s="17" t="str">
        <f t="shared" si="22"/>
        <v/>
      </c>
      <c r="J268" s="15" t="str">
        <f t="shared" si="23"/>
        <v/>
      </c>
      <c r="K268" s="19" t="str">
        <f t="shared" si="24"/>
        <v/>
      </c>
      <c r="L268" s="33"/>
      <c r="M268" s="15" t="str">
        <f>IF(B268="","",SUMIF($B$6:B267,B268,$I$6:I267))</f>
        <v/>
      </c>
      <c r="N268" s="15" t="str">
        <f>IF(B268="","",SUMIF($B$6:B267,B268,$H$6:H267))</f>
        <v/>
      </c>
      <c r="O268" s="15" t="str">
        <f>IF(B268="","",COUNTIFS($B$6:B267,B268,$K$6:K267,"&lt;&gt;已记录"))</f>
        <v/>
      </c>
      <c r="P268" s="34"/>
    </row>
    <row r="269" spans="1:16" ht="21.75" customHeight="1">
      <c r="A269" s="16"/>
      <c r="B269" s="30"/>
      <c r="C269" s="31"/>
      <c r="D269" s="10"/>
      <c r="E269" s="10"/>
      <c r="F269" s="32"/>
      <c r="G269" s="15" t="str">
        <f t="shared" si="20"/>
        <v/>
      </c>
      <c r="H269" s="15" t="str">
        <f t="shared" si="21"/>
        <v/>
      </c>
      <c r="I269" s="17" t="str">
        <f t="shared" si="22"/>
        <v/>
      </c>
      <c r="J269" s="15" t="str">
        <f t="shared" si="23"/>
        <v/>
      </c>
      <c r="K269" s="19" t="str">
        <f t="shared" si="24"/>
        <v/>
      </c>
      <c r="L269" s="33"/>
      <c r="M269" s="15" t="str">
        <f>IF(B269="","",SUMIF($B$6:B268,B269,$I$6:I268))</f>
        <v/>
      </c>
      <c r="N269" s="15" t="str">
        <f>IF(B269="","",SUMIF($B$6:B268,B269,$H$6:H268))</f>
        <v/>
      </c>
      <c r="O269" s="15" t="str">
        <f>IF(B269="","",COUNTIFS($B$6:B268,B269,$K$6:K268,"&lt;&gt;已记录"))</f>
        <v/>
      </c>
      <c r="P269" s="34"/>
    </row>
    <row r="270" spans="1:16" ht="21.75" customHeight="1">
      <c r="A270" s="16"/>
      <c r="B270" s="30"/>
      <c r="C270" s="31"/>
      <c r="D270" s="10"/>
      <c r="E270" s="10"/>
      <c r="F270" s="32"/>
      <c r="G270" s="15" t="str">
        <f t="shared" si="20"/>
        <v/>
      </c>
      <c r="H270" s="15" t="str">
        <f t="shared" si="21"/>
        <v/>
      </c>
      <c r="I270" s="17" t="str">
        <f t="shared" si="22"/>
        <v/>
      </c>
      <c r="J270" s="15" t="str">
        <f t="shared" si="23"/>
        <v/>
      </c>
      <c r="K270" s="19" t="str">
        <f t="shared" si="24"/>
        <v/>
      </c>
      <c r="L270" s="33"/>
      <c r="M270" s="15" t="str">
        <f>IF(B270="","",SUMIF($B$6:B269,B270,$I$6:I269))</f>
        <v/>
      </c>
      <c r="N270" s="15" t="str">
        <f>IF(B270="","",SUMIF($B$6:B269,B270,$H$6:H269))</f>
        <v/>
      </c>
      <c r="O270" s="15" t="str">
        <f>IF(B270="","",COUNTIFS($B$6:B269,B270,$K$6:K269,"&lt;&gt;已记录"))</f>
        <v/>
      </c>
      <c r="P270" s="34"/>
    </row>
    <row r="271" spans="1:16" ht="21.75" customHeight="1">
      <c r="A271" s="16"/>
      <c r="B271" s="30"/>
      <c r="C271" s="31"/>
      <c r="D271" s="10"/>
      <c r="E271" s="10"/>
      <c r="F271" s="32"/>
      <c r="G271" s="15" t="str">
        <f t="shared" si="20"/>
        <v/>
      </c>
      <c r="H271" s="15" t="str">
        <f t="shared" si="21"/>
        <v/>
      </c>
      <c r="I271" s="17" t="str">
        <f t="shared" si="22"/>
        <v/>
      </c>
      <c r="J271" s="15" t="str">
        <f t="shared" si="23"/>
        <v/>
      </c>
      <c r="K271" s="19" t="str">
        <f t="shared" si="24"/>
        <v/>
      </c>
      <c r="L271" s="33"/>
      <c r="M271" s="15" t="str">
        <f>IF(B271="","",SUMIF($B$6:B270,B271,$I$6:I270))</f>
        <v/>
      </c>
      <c r="N271" s="15" t="str">
        <f>IF(B271="","",SUMIF($B$6:B270,B271,$H$6:H270))</f>
        <v/>
      </c>
      <c r="O271" s="15" t="str">
        <f>IF(B271="","",COUNTIFS($B$6:B270,B271,$K$6:K270,"&lt;&gt;已记录"))</f>
        <v/>
      </c>
      <c r="P271" s="34"/>
    </row>
    <row r="272" spans="1:16" ht="21.75" customHeight="1">
      <c r="A272" s="16"/>
      <c r="B272" s="30"/>
      <c r="C272" s="31"/>
      <c r="D272" s="10"/>
      <c r="E272" s="10"/>
      <c r="F272" s="32"/>
      <c r="G272" s="15" t="str">
        <f t="shared" si="20"/>
        <v/>
      </c>
      <c r="H272" s="15" t="str">
        <f t="shared" si="21"/>
        <v/>
      </c>
      <c r="I272" s="17" t="str">
        <f t="shared" si="22"/>
        <v/>
      </c>
      <c r="J272" s="15" t="str">
        <f t="shared" si="23"/>
        <v/>
      </c>
      <c r="K272" s="19" t="str">
        <f t="shared" si="24"/>
        <v/>
      </c>
      <c r="L272" s="33"/>
      <c r="M272" s="15" t="str">
        <f>IF(B272="","",SUMIF($B$6:B271,B272,$I$6:I271))</f>
        <v/>
      </c>
      <c r="N272" s="15" t="str">
        <f>IF(B272="","",SUMIF($B$6:B271,B272,$H$6:H271))</f>
        <v/>
      </c>
      <c r="O272" s="15" t="str">
        <f>IF(B272="","",COUNTIFS($B$6:B271,B272,$K$6:K271,"&lt;&gt;已记录"))</f>
        <v/>
      </c>
      <c r="P272" s="34"/>
    </row>
    <row r="273" spans="1:16" ht="21.75" customHeight="1">
      <c r="A273" s="16"/>
      <c r="B273" s="30"/>
      <c r="C273" s="31"/>
      <c r="D273" s="10"/>
      <c r="E273" s="10"/>
      <c r="F273" s="32"/>
      <c r="G273" s="15" t="str">
        <f t="shared" si="20"/>
        <v/>
      </c>
      <c r="H273" s="15" t="str">
        <f t="shared" si="21"/>
        <v/>
      </c>
      <c r="I273" s="17" t="str">
        <f t="shared" si="22"/>
        <v/>
      </c>
      <c r="J273" s="15" t="str">
        <f t="shared" si="23"/>
        <v/>
      </c>
      <c r="K273" s="19" t="str">
        <f t="shared" si="24"/>
        <v/>
      </c>
      <c r="L273" s="33"/>
      <c r="M273" s="15" t="str">
        <f>IF(B273="","",SUMIF($B$6:B272,B273,$I$6:I272))</f>
        <v/>
      </c>
      <c r="N273" s="15" t="str">
        <f>IF(B273="","",SUMIF($B$6:B272,B273,$H$6:H272))</f>
        <v/>
      </c>
      <c r="O273" s="15" t="str">
        <f>IF(B273="","",COUNTIFS($B$6:B272,B273,$K$6:K272,"&lt;&gt;已记录"))</f>
        <v/>
      </c>
      <c r="P273" s="34"/>
    </row>
    <row r="274" spans="1:16" ht="21.75" customHeight="1">
      <c r="A274" s="16"/>
      <c r="B274" s="30"/>
      <c r="C274" s="31"/>
      <c r="D274" s="10"/>
      <c r="E274" s="10"/>
      <c r="F274" s="32"/>
      <c r="G274" s="15" t="str">
        <f t="shared" si="20"/>
        <v/>
      </c>
      <c r="H274" s="15" t="str">
        <f t="shared" si="21"/>
        <v/>
      </c>
      <c r="I274" s="17" t="str">
        <f t="shared" si="22"/>
        <v/>
      </c>
      <c r="J274" s="15" t="str">
        <f t="shared" si="23"/>
        <v/>
      </c>
      <c r="K274" s="19" t="str">
        <f t="shared" si="24"/>
        <v/>
      </c>
      <c r="L274" s="33"/>
      <c r="M274" s="15" t="str">
        <f>IF(B274="","",SUMIF($B$6:B273,B274,$I$6:I273))</f>
        <v/>
      </c>
      <c r="N274" s="15" t="str">
        <f>IF(B274="","",SUMIF($B$6:B273,B274,$H$6:H273))</f>
        <v/>
      </c>
      <c r="O274" s="15" t="str">
        <f>IF(B274="","",COUNTIFS($B$6:B273,B274,$K$6:K273,"&lt;&gt;已记录"))</f>
        <v/>
      </c>
      <c r="P274" s="34"/>
    </row>
    <row r="275" spans="1:16" ht="21.75" customHeight="1">
      <c r="A275" s="16"/>
      <c r="B275" s="30"/>
      <c r="C275" s="31"/>
      <c r="D275" s="10"/>
      <c r="E275" s="10"/>
      <c r="F275" s="32"/>
      <c r="G275" s="15" t="str">
        <f t="shared" si="20"/>
        <v/>
      </c>
      <c r="H275" s="15" t="str">
        <f t="shared" si="21"/>
        <v/>
      </c>
      <c r="I275" s="17" t="str">
        <f t="shared" si="22"/>
        <v/>
      </c>
      <c r="J275" s="15" t="str">
        <f t="shared" si="23"/>
        <v/>
      </c>
      <c r="K275" s="19" t="str">
        <f t="shared" si="24"/>
        <v/>
      </c>
      <c r="L275" s="33"/>
      <c r="M275" s="15" t="str">
        <f>IF(B275="","",SUMIF($B$6:B274,B275,$I$6:I274))</f>
        <v/>
      </c>
      <c r="N275" s="15" t="str">
        <f>IF(B275="","",SUMIF($B$6:B274,B275,$H$6:H274))</f>
        <v/>
      </c>
      <c r="O275" s="15" t="str">
        <f>IF(B275="","",COUNTIFS($B$6:B274,B275,$K$6:K274,"&lt;&gt;已记录"))</f>
        <v/>
      </c>
      <c r="P275" s="34"/>
    </row>
    <row r="276" spans="1:16" ht="21.75" customHeight="1">
      <c r="A276" s="16"/>
      <c r="B276" s="30"/>
      <c r="C276" s="31"/>
      <c r="D276" s="10"/>
      <c r="E276" s="10"/>
      <c r="F276" s="32"/>
      <c r="G276" s="15" t="str">
        <f t="shared" si="20"/>
        <v/>
      </c>
      <c r="H276" s="15" t="str">
        <f t="shared" si="21"/>
        <v/>
      </c>
      <c r="I276" s="17" t="str">
        <f t="shared" si="22"/>
        <v/>
      </c>
      <c r="J276" s="15" t="str">
        <f t="shared" si="23"/>
        <v/>
      </c>
      <c r="K276" s="19" t="str">
        <f t="shared" si="24"/>
        <v/>
      </c>
      <c r="L276" s="33"/>
      <c r="M276" s="15" t="str">
        <f>IF(B276="","",SUMIF($B$6:B275,B276,$I$6:I275))</f>
        <v/>
      </c>
      <c r="N276" s="15" t="str">
        <f>IF(B276="","",SUMIF($B$6:B275,B276,$H$6:H275))</f>
        <v/>
      </c>
      <c r="O276" s="15" t="str">
        <f>IF(B276="","",COUNTIFS($B$6:B275,B276,$K$6:K275,"&lt;&gt;已记录"))</f>
        <v/>
      </c>
      <c r="P276" s="34"/>
    </row>
    <row r="277" spans="1:16" ht="21.75" customHeight="1">
      <c r="A277" s="16"/>
      <c r="B277" s="30"/>
      <c r="C277" s="31"/>
      <c r="D277" s="10"/>
      <c r="E277" s="10"/>
      <c r="F277" s="32"/>
      <c r="G277" s="15" t="str">
        <f t="shared" si="20"/>
        <v/>
      </c>
      <c r="H277" s="15" t="str">
        <f t="shared" si="21"/>
        <v/>
      </c>
      <c r="I277" s="17" t="str">
        <f t="shared" si="22"/>
        <v/>
      </c>
      <c r="J277" s="15" t="str">
        <f t="shared" si="23"/>
        <v/>
      </c>
      <c r="K277" s="19" t="str">
        <f t="shared" si="24"/>
        <v/>
      </c>
      <c r="L277" s="33"/>
      <c r="M277" s="15" t="str">
        <f>IF(B277="","",SUMIF($B$6:B276,B277,$I$6:I276))</f>
        <v/>
      </c>
      <c r="N277" s="15" t="str">
        <f>IF(B277="","",SUMIF($B$6:B276,B277,$H$6:H276))</f>
        <v/>
      </c>
      <c r="O277" s="15" t="str">
        <f>IF(B277="","",COUNTIFS($B$6:B276,B277,$K$6:K276,"&lt;&gt;已记录"))</f>
        <v/>
      </c>
      <c r="P277" s="34"/>
    </row>
    <row r="278" spans="1:16" ht="21.75" customHeight="1">
      <c r="A278" s="16"/>
      <c r="B278" s="30"/>
      <c r="C278" s="31"/>
      <c r="D278" s="10"/>
      <c r="E278" s="10"/>
      <c r="F278" s="32"/>
      <c r="G278" s="15" t="str">
        <f t="shared" si="20"/>
        <v/>
      </c>
      <c r="H278" s="15" t="str">
        <f t="shared" si="21"/>
        <v/>
      </c>
      <c r="I278" s="17" t="str">
        <f t="shared" si="22"/>
        <v/>
      </c>
      <c r="J278" s="15" t="str">
        <f t="shared" si="23"/>
        <v/>
      </c>
      <c r="K278" s="19" t="str">
        <f t="shared" si="24"/>
        <v/>
      </c>
      <c r="L278" s="33"/>
      <c r="M278" s="15" t="str">
        <f>IF(B278="","",SUMIF($B$6:B277,B278,$I$6:I277))</f>
        <v/>
      </c>
      <c r="N278" s="15" t="str">
        <f>IF(B278="","",SUMIF($B$6:B277,B278,$H$6:H277))</f>
        <v/>
      </c>
      <c r="O278" s="15" t="str">
        <f>IF(B278="","",COUNTIFS($B$6:B277,B278,$K$6:K277,"&lt;&gt;已记录"))</f>
        <v/>
      </c>
      <c r="P278" s="34"/>
    </row>
    <row r="279" spans="1:16" ht="21.75" customHeight="1">
      <c r="A279" s="16"/>
      <c r="B279" s="30"/>
      <c r="C279" s="31"/>
      <c r="D279" s="10"/>
      <c r="E279" s="10"/>
      <c r="F279" s="32"/>
      <c r="G279" s="15" t="str">
        <f t="shared" si="20"/>
        <v/>
      </c>
      <c r="H279" s="15" t="str">
        <f t="shared" si="21"/>
        <v/>
      </c>
      <c r="I279" s="17" t="str">
        <f t="shared" si="22"/>
        <v/>
      </c>
      <c r="J279" s="15" t="str">
        <f t="shared" si="23"/>
        <v/>
      </c>
      <c r="K279" s="19" t="str">
        <f t="shared" si="24"/>
        <v/>
      </c>
      <c r="L279" s="33"/>
      <c r="M279" s="15" t="str">
        <f>IF(B279="","",SUMIF($B$6:B278,B279,$I$6:I278))</f>
        <v/>
      </c>
      <c r="N279" s="15" t="str">
        <f>IF(B279="","",SUMIF($B$6:B278,B279,$H$6:H278))</f>
        <v/>
      </c>
      <c r="O279" s="15" t="str">
        <f>IF(B279="","",COUNTIFS($B$6:B278,B279,$K$6:K278,"&lt;&gt;已记录"))</f>
        <v/>
      </c>
      <c r="P279" s="34"/>
    </row>
    <row r="280" spans="1:16" ht="21.75" customHeight="1">
      <c r="A280" s="16"/>
      <c r="B280" s="30"/>
      <c r="C280" s="31"/>
      <c r="D280" s="10"/>
      <c r="E280" s="10"/>
      <c r="F280" s="32"/>
      <c r="G280" s="15" t="str">
        <f t="shared" si="20"/>
        <v/>
      </c>
      <c r="H280" s="15" t="str">
        <f t="shared" si="21"/>
        <v/>
      </c>
      <c r="I280" s="17" t="str">
        <f t="shared" si="22"/>
        <v/>
      </c>
      <c r="J280" s="15" t="str">
        <f t="shared" si="23"/>
        <v/>
      </c>
      <c r="K280" s="19" t="str">
        <f t="shared" si="24"/>
        <v/>
      </c>
      <c r="L280" s="33"/>
      <c r="M280" s="15" t="str">
        <f>IF(B280="","",SUMIF($B$6:B279,B280,$I$6:I279))</f>
        <v/>
      </c>
      <c r="N280" s="15" t="str">
        <f>IF(B280="","",SUMIF($B$6:B279,B280,$H$6:H279))</f>
        <v/>
      </c>
      <c r="O280" s="15" t="str">
        <f>IF(B280="","",COUNTIFS($B$6:B279,B280,$K$6:K279,"&lt;&gt;已记录"))</f>
        <v/>
      </c>
      <c r="P280" s="34"/>
    </row>
    <row r="281" spans="1:16" ht="21.75" customHeight="1">
      <c r="A281" s="16"/>
      <c r="B281" s="30"/>
      <c r="C281" s="31"/>
      <c r="D281" s="10"/>
      <c r="E281" s="10"/>
      <c r="F281" s="32"/>
      <c r="G281" s="15" t="str">
        <f t="shared" si="20"/>
        <v/>
      </c>
      <c r="H281" s="15" t="str">
        <f t="shared" si="21"/>
        <v/>
      </c>
      <c r="I281" s="17" t="str">
        <f t="shared" si="22"/>
        <v/>
      </c>
      <c r="J281" s="15" t="str">
        <f t="shared" si="23"/>
        <v/>
      </c>
      <c r="K281" s="19" t="str">
        <f t="shared" si="24"/>
        <v/>
      </c>
      <c r="L281" s="33"/>
      <c r="M281" s="15" t="str">
        <f>IF(B281="","",SUMIF($B$6:B280,B281,$I$6:I280))</f>
        <v/>
      </c>
      <c r="N281" s="15" t="str">
        <f>IF(B281="","",SUMIF($B$6:B280,B281,$H$6:H280))</f>
        <v/>
      </c>
      <c r="O281" s="15" t="str">
        <f>IF(B281="","",COUNTIFS($B$6:B280,B281,$K$6:K280,"&lt;&gt;已记录"))</f>
        <v/>
      </c>
      <c r="P281" s="34"/>
    </row>
    <row r="282" spans="1:16" ht="21.75" customHeight="1">
      <c r="A282" s="16"/>
      <c r="B282" s="30"/>
      <c r="C282" s="31"/>
      <c r="D282" s="10"/>
      <c r="E282" s="10"/>
      <c r="F282" s="32"/>
      <c r="G282" s="15" t="str">
        <f t="shared" si="20"/>
        <v/>
      </c>
      <c r="H282" s="15" t="str">
        <f t="shared" si="21"/>
        <v/>
      </c>
      <c r="I282" s="17" t="str">
        <f t="shared" si="22"/>
        <v/>
      </c>
      <c r="J282" s="15" t="str">
        <f t="shared" si="23"/>
        <v/>
      </c>
      <c r="K282" s="19" t="str">
        <f t="shared" si="24"/>
        <v/>
      </c>
      <c r="L282" s="33"/>
      <c r="M282" s="15" t="str">
        <f>IF(B282="","",SUMIF($B$6:B281,B282,$I$6:I281))</f>
        <v/>
      </c>
      <c r="N282" s="15" t="str">
        <f>IF(B282="","",SUMIF($B$6:B281,B282,$H$6:H281))</f>
        <v/>
      </c>
      <c r="O282" s="15" t="str">
        <f>IF(B282="","",COUNTIFS($B$6:B281,B282,$K$6:K281,"&lt;&gt;已记录"))</f>
        <v/>
      </c>
      <c r="P282" s="34"/>
    </row>
    <row r="283" spans="1:16" ht="21.75" customHeight="1">
      <c r="A283" s="16"/>
      <c r="B283" s="30"/>
      <c r="C283" s="31"/>
      <c r="D283" s="10"/>
      <c r="E283" s="10"/>
      <c r="F283" s="32"/>
      <c r="G283" s="15" t="str">
        <f t="shared" si="20"/>
        <v/>
      </c>
      <c r="H283" s="15" t="str">
        <f t="shared" si="21"/>
        <v/>
      </c>
      <c r="I283" s="17" t="str">
        <f t="shared" si="22"/>
        <v/>
      </c>
      <c r="J283" s="15" t="str">
        <f t="shared" si="23"/>
        <v/>
      </c>
      <c r="K283" s="19" t="str">
        <f t="shared" si="24"/>
        <v/>
      </c>
      <c r="L283" s="33"/>
      <c r="M283" s="15" t="str">
        <f>IF(B283="","",SUMIF($B$6:B282,B283,$I$6:I282))</f>
        <v/>
      </c>
      <c r="N283" s="15" t="str">
        <f>IF(B283="","",SUMIF($B$6:B282,B283,$H$6:H282))</f>
        <v/>
      </c>
      <c r="O283" s="15" t="str">
        <f>IF(B283="","",COUNTIFS($B$6:B282,B283,$K$6:K282,"&lt;&gt;已记录"))</f>
        <v/>
      </c>
      <c r="P283" s="34"/>
    </row>
    <row r="284" spans="1:16" ht="21.75" customHeight="1">
      <c r="A284" s="16"/>
      <c r="B284" s="30"/>
      <c r="C284" s="31"/>
      <c r="D284" s="10"/>
      <c r="E284" s="10"/>
      <c r="F284" s="32"/>
      <c r="G284" s="15" t="str">
        <f t="shared" si="20"/>
        <v/>
      </c>
      <c r="H284" s="15" t="str">
        <f t="shared" si="21"/>
        <v/>
      </c>
      <c r="I284" s="17" t="str">
        <f t="shared" si="22"/>
        <v/>
      </c>
      <c r="J284" s="15" t="str">
        <f t="shared" si="23"/>
        <v/>
      </c>
      <c r="K284" s="19" t="str">
        <f t="shared" si="24"/>
        <v/>
      </c>
      <c r="L284" s="33"/>
      <c r="M284" s="15" t="str">
        <f>IF(B284="","",SUMIF($B$6:B283,B284,$I$6:I283))</f>
        <v/>
      </c>
      <c r="N284" s="15" t="str">
        <f>IF(B284="","",SUMIF($B$6:B283,B284,$H$6:H283))</f>
        <v/>
      </c>
      <c r="O284" s="15" t="str">
        <f>IF(B284="","",COUNTIFS($B$6:B283,B284,$K$6:K283,"&lt;&gt;已记录"))</f>
        <v/>
      </c>
      <c r="P284" s="34"/>
    </row>
    <row r="285" spans="1:16" ht="21.75" customHeight="1">
      <c r="A285" s="16"/>
      <c r="B285" s="30"/>
      <c r="C285" s="31"/>
      <c r="D285" s="10"/>
      <c r="E285" s="10"/>
      <c r="F285" s="32"/>
      <c r="G285" s="15" t="str">
        <f t="shared" si="20"/>
        <v/>
      </c>
      <c r="H285" s="15" t="str">
        <f t="shared" si="21"/>
        <v/>
      </c>
      <c r="I285" s="17" t="str">
        <f t="shared" si="22"/>
        <v/>
      </c>
      <c r="J285" s="15" t="str">
        <f t="shared" si="23"/>
        <v/>
      </c>
      <c r="K285" s="19" t="str">
        <f t="shared" si="24"/>
        <v/>
      </c>
      <c r="L285" s="33"/>
      <c r="M285" s="15" t="str">
        <f>IF(B285="","",SUMIF($B$6:B284,B285,$I$6:I284))</f>
        <v/>
      </c>
      <c r="N285" s="15" t="str">
        <f>IF(B285="","",SUMIF($B$6:B284,B285,$H$6:H284))</f>
        <v/>
      </c>
      <c r="O285" s="15" t="str">
        <f>IF(B285="","",COUNTIFS($B$6:B284,B285,$K$6:K284,"&lt;&gt;已记录"))</f>
        <v/>
      </c>
      <c r="P285" s="34"/>
    </row>
    <row r="286" spans="1:16" ht="21.75" customHeight="1">
      <c r="A286" s="16"/>
      <c r="B286" s="30"/>
      <c r="C286" s="31"/>
      <c r="D286" s="10"/>
      <c r="E286" s="10"/>
      <c r="F286" s="32"/>
      <c r="G286" s="15" t="str">
        <f t="shared" si="20"/>
        <v/>
      </c>
      <c r="H286" s="15" t="str">
        <f t="shared" si="21"/>
        <v/>
      </c>
      <c r="I286" s="17" t="str">
        <f t="shared" si="22"/>
        <v/>
      </c>
      <c r="J286" s="15" t="str">
        <f t="shared" si="23"/>
        <v/>
      </c>
      <c r="K286" s="19" t="str">
        <f t="shared" si="24"/>
        <v/>
      </c>
      <c r="L286" s="33"/>
      <c r="M286" s="15" t="str">
        <f>IF(B286="","",SUMIF($B$6:B285,B286,$I$6:I285))</f>
        <v/>
      </c>
      <c r="N286" s="15" t="str">
        <f>IF(B286="","",SUMIF($B$6:B285,B286,$H$6:H285))</f>
        <v/>
      </c>
      <c r="O286" s="15" t="str">
        <f>IF(B286="","",COUNTIFS($B$6:B285,B286,$K$6:K285,"&lt;&gt;已记录"))</f>
        <v/>
      </c>
      <c r="P286" s="34"/>
    </row>
    <row r="287" spans="1:16" ht="21.75" customHeight="1">
      <c r="A287" s="16"/>
      <c r="B287" s="30"/>
      <c r="C287" s="31"/>
      <c r="D287" s="10"/>
      <c r="E287" s="10"/>
      <c r="F287" s="32"/>
      <c r="G287" s="15" t="str">
        <f t="shared" si="20"/>
        <v/>
      </c>
      <c r="H287" s="15" t="str">
        <f t="shared" si="21"/>
        <v/>
      </c>
      <c r="I287" s="17" t="str">
        <f t="shared" si="22"/>
        <v/>
      </c>
      <c r="J287" s="15" t="str">
        <f t="shared" si="23"/>
        <v/>
      </c>
      <c r="K287" s="19" t="str">
        <f t="shared" si="24"/>
        <v/>
      </c>
      <c r="L287" s="33"/>
      <c r="M287" s="15" t="str">
        <f>IF(B287="","",SUMIF($B$6:B286,B287,$I$6:I286))</f>
        <v/>
      </c>
      <c r="N287" s="15" t="str">
        <f>IF(B287="","",SUMIF($B$6:B286,B287,$H$6:H286))</f>
        <v/>
      </c>
      <c r="O287" s="15" t="str">
        <f>IF(B287="","",COUNTIFS($B$6:B286,B287,$K$6:K286,"&lt;&gt;已记录"))</f>
        <v/>
      </c>
      <c r="P287" s="34"/>
    </row>
    <row r="288" spans="1:16" ht="21.75" customHeight="1">
      <c r="A288" s="16"/>
      <c r="B288" s="30"/>
      <c r="C288" s="31"/>
      <c r="D288" s="10"/>
      <c r="E288" s="10"/>
      <c r="F288" s="32"/>
      <c r="G288" s="15" t="str">
        <f t="shared" si="20"/>
        <v/>
      </c>
      <c r="H288" s="15" t="str">
        <f t="shared" si="21"/>
        <v/>
      </c>
      <c r="I288" s="17" t="str">
        <f t="shared" si="22"/>
        <v/>
      </c>
      <c r="J288" s="15" t="str">
        <f t="shared" si="23"/>
        <v/>
      </c>
      <c r="K288" s="19" t="str">
        <f t="shared" si="24"/>
        <v/>
      </c>
      <c r="L288" s="33"/>
      <c r="M288" s="15" t="str">
        <f>IF(B288="","",SUMIF($B$6:B287,B288,$I$6:I287))</f>
        <v/>
      </c>
      <c r="N288" s="15" t="str">
        <f>IF(B288="","",SUMIF($B$6:B287,B288,$H$6:H287))</f>
        <v/>
      </c>
      <c r="O288" s="15" t="str">
        <f>IF(B288="","",COUNTIFS($B$6:B287,B288,$K$6:K287,"&lt;&gt;已记录"))</f>
        <v/>
      </c>
      <c r="P288" s="34"/>
    </row>
    <row r="289" spans="1:16" ht="21.75" customHeight="1">
      <c r="A289" s="16"/>
      <c r="B289" s="30"/>
      <c r="C289" s="31"/>
      <c r="D289" s="10"/>
      <c r="E289" s="10"/>
      <c r="F289" s="32"/>
      <c r="G289" s="15" t="str">
        <f t="shared" si="20"/>
        <v/>
      </c>
      <c r="H289" s="15" t="str">
        <f t="shared" si="21"/>
        <v/>
      </c>
      <c r="I289" s="17" t="str">
        <f t="shared" si="22"/>
        <v/>
      </c>
      <c r="J289" s="15" t="str">
        <f t="shared" si="23"/>
        <v/>
      </c>
      <c r="K289" s="19" t="str">
        <f t="shared" si="24"/>
        <v/>
      </c>
      <c r="L289" s="33"/>
      <c r="M289" s="15" t="str">
        <f>IF(B289="","",SUMIF($B$6:B288,B289,$I$6:I288))</f>
        <v/>
      </c>
      <c r="N289" s="15" t="str">
        <f>IF(B289="","",SUMIF($B$6:B288,B289,$H$6:H288))</f>
        <v/>
      </c>
      <c r="O289" s="15" t="str">
        <f>IF(B289="","",COUNTIFS($B$6:B288,B289,$K$6:K288,"&lt;&gt;已记录"))</f>
        <v/>
      </c>
      <c r="P289" s="34"/>
    </row>
    <row r="290" spans="1:16" ht="21.75" customHeight="1">
      <c r="A290" s="16"/>
      <c r="B290" s="30"/>
      <c r="C290" s="31"/>
      <c r="D290" s="10"/>
      <c r="E290" s="10"/>
      <c r="F290" s="32"/>
      <c r="G290" s="15" t="str">
        <f t="shared" si="20"/>
        <v/>
      </c>
      <c r="H290" s="15" t="str">
        <f t="shared" si="21"/>
        <v/>
      </c>
      <c r="I290" s="17" t="str">
        <f t="shared" si="22"/>
        <v/>
      </c>
      <c r="J290" s="15" t="str">
        <f t="shared" si="23"/>
        <v/>
      </c>
      <c r="K290" s="19" t="str">
        <f t="shared" si="24"/>
        <v/>
      </c>
      <c r="L290" s="33"/>
      <c r="M290" s="15" t="str">
        <f>IF(B290="","",SUMIF($B$6:B289,B290,$I$6:I289))</f>
        <v/>
      </c>
      <c r="N290" s="15" t="str">
        <f>IF(B290="","",SUMIF($B$6:B289,B290,$H$6:H289))</f>
        <v/>
      </c>
      <c r="O290" s="15" t="str">
        <f>IF(B290="","",COUNTIFS($B$6:B289,B290,$K$6:K289,"&lt;&gt;已记录"))</f>
        <v/>
      </c>
      <c r="P290" s="34"/>
    </row>
    <row r="291" spans="1:16" ht="21.75" customHeight="1">
      <c r="A291" s="16"/>
      <c r="B291" s="30"/>
      <c r="C291" s="31"/>
      <c r="D291" s="10"/>
      <c r="E291" s="10"/>
      <c r="F291" s="32"/>
      <c r="G291" s="15" t="str">
        <f t="shared" si="20"/>
        <v/>
      </c>
      <c r="H291" s="15" t="str">
        <f t="shared" si="21"/>
        <v/>
      </c>
      <c r="I291" s="17" t="str">
        <f t="shared" si="22"/>
        <v/>
      </c>
      <c r="J291" s="15" t="str">
        <f t="shared" si="23"/>
        <v/>
      </c>
      <c r="K291" s="19" t="str">
        <f t="shared" si="24"/>
        <v/>
      </c>
      <c r="L291" s="33"/>
      <c r="M291" s="15" t="str">
        <f>IF(B291="","",SUMIF($B$6:B290,B291,$I$6:I290))</f>
        <v/>
      </c>
      <c r="N291" s="15" t="str">
        <f>IF(B291="","",SUMIF($B$6:B290,B291,$H$6:H290))</f>
        <v/>
      </c>
      <c r="O291" s="15" t="str">
        <f>IF(B291="","",COUNTIFS($B$6:B290,B291,$K$6:K290,"&lt;&gt;已记录"))</f>
        <v/>
      </c>
      <c r="P291" s="34"/>
    </row>
    <row r="292" spans="1:16" ht="21.75" customHeight="1">
      <c r="A292" s="16"/>
      <c r="B292" s="30"/>
      <c r="C292" s="31"/>
      <c r="D292" s="10"/>
      <c r="E292" s="10"/>
      <c r="F292" s="32"/>
      <c r="G292" s="15" t="str">
        <f t="shared" si="20"/>
        <v/>
      </c>
      <c r="H292" s="15" t="str">
        <f t="shared" si="21"/>
        <v/>
      </c>
      <c r="I292" s="17" t="str">
        <f t="shared" si="22"/>
        <v/>
      </c>
      <c r="J292" s="15" t="str">
        <f t="shared" si="23"/>
        <v/>
      </c>
      <c r="K292" s="19" t="str">
        <f t="shared" si="24"/>
        <v/>
      </c>
      <c r="L292" s="33"/>
      <c r="M292" s="15" t="str">
        <f>IF(B292="","",SUMIF($B$6:B291,B292,$I$6:I291))</f>
        <v/>
      </c>
      <c r="N292" s="15" t="str">
        <f>IF(B292="","",SUMIF($B$6:B291,B292,$H$6:H291))</f>
        <v/>
      </c>
      <c r="O292" s="15" t="str">
        <f>IF(B292="","",COUNTIFS($B$6:B291,B292,$K$6:K291,"&lt;&gt;已记录"))</f>
        <v/>
      </c>
      <c r="P292" s="34"/>
    </row>
    <row r="293" spans="1:16" ht="21.75" customHeight="1">
      <c r="A293" s="16"/>
      <c r="B293" s="30"/>
      <c r="C293" s="31"/>
      <c r="D293" s="10"/>
      <c r="E293" s="10"/>
      <c r="F293" s="32"/>
      <c r="G293" s="15" t="str">
        <f t="shared" si="20"/>
        <v/>
      </c>
      <c r="H293" s="15" t="str">
        <f t="shared" si="21"/>
        <v/>
      </c>
      <c r="I293" s="17" t="str">
        <f t="shared" si="22"/>
        <v/>
      </c>
      <c r="J293" s="15" t="str">
        <f t="shared" si="23"/>
        <v/>
      </c>
      <c r="K293" s="19" t="str">
        <f t="shared" si="24"/>
        <v/>
      </c>
      <c r="L293" s="33"/>
      <c r="M293" s="15" t="str">
        <f>IF(B293="","",SUMIF($B$6:B292,B293,$I$6:I292))</f>
        <v/>
      </c>
      <c r="N293" s="15" t="str">
        <f>IF(B293="","",SUMIF($B$6:B292,B293,$H$6:H292))</f>
        <v/>
      </c>
      <c r="O293" s="15" t="str">
        <f>IF(B293="","",COUNTIFS($B$6:B292,B293,$K$6:K292,"&lt;&gt;已记录"))</f>
        <v/>
      </c>
      <c r="P293" s="34"/>
    </row>
    <row r="294" spans="1:16" ht="21.75" customHeight="1">
      <c r="A294" s="16"/>
      <c r="B294" s="30"/>
      <c r="C294" s="31"/>
      <c r="D294" s="10"/>
      <c r="E294" s="10"/>
      <c r="F294" s="32"/>
      <c r="G294" s="15" t="str">
        <f t="shared" si="20"/>
        <v/>
      </c>
      <c r="H294" s="15" t="str">
        <f t="shared" si="21"/>
        <v/>
      </c>
      <c r="I294" s="17" t="str">
        <f t="shared" si="22"/>
        <v/>
      </c>
      <c r="J294" s="15" t="str">
        <f t="shared" si="23"/>
        <v/>
      </c>
      <c r="K294" s="19" t="str">
        <f t="shared" si="24"/>
        <v/>
      </c>
      <c r="L294" s="33"/>
      <c r="M294" s="15" t="str">
        <f>IF(B294="","",SUMIF($B$6:B293,B294,$I$6:I293))</f>
        <v/>
      </c>
      <c r="N294" s="15" t="str">
        <f>IF(B294="","",SUMIF($B$6:B293,B294,$H$6:H293))</f>
        <v/>
      </c>
      <c r="O294" s="15" t="str">
        <f>IF(B294="","",COUNTIFS($B$6:B293,B294,$K$6:K293,"&lt;&gt;已记录"))</f>
        <v/>
      </c>
      <c r="P294" s="34"/>
    </row>
    <row r="295" spans="1:16" ht="21.75" customHeight="1">
      <c r="A295" s="16"/>
      <c r="B295" s="30"/>
      <c r="C295" s="31"/>
      <c r="D295" s="10"/>
      <c r="E295" s="10"/>
      <c r="F295" s="32"/>
      <c r="G295" s="15" t="str">
        <f t="shared" si="20"/>
        <v/>
      </c>
      <c r="H295" s="15" t="str">
        <f t="shared" si="21"/>
        <v/>
      </c>
      <c r="I295" s="17" t="str">
        <f t="shared" si="22"/>
        <v/>
      </c>
      <c r="J295" s="15" t="str">
        <f t="shared" si="23"/>
        <v/>
      </c>
      <c r="K295" s="19" t="str">
        <f t="shared" si="24"/>
        <v/>
      </c>
      <c r="L295" s="33"/>
      <c r="M295" s="15" t="str">
        <f>IF(B295="","",SUMIF($B$6:B294,B295,$I$6:I294))</f>
        <v/>
      </c>
      <c r="N295" s="15" t="str">
        <f>IF(B295="","",SUMIF($B$6:B294,B295,$H$6:H294))</f>
        <v/>
      </c>
      <c r="O295" s="15" t="str">
        <f>IF(B295="","",COUNTIFS($B$6:B294,B295,$K$6:K294,"&lt;&gt;已记录"))</f>
        <v/>
      </c>
      <c r="P295" s="34"/>
    </row>
    <row r="296" spans="1:16" ht="21.75" customHeight="1">
      <c r="A296" s="16"/>
      <c r="B296" s="30"/>
      <c r="C296" s="31"/>
      <c r="D296" s="10"/>
      <c r="E296" s="10"/>
      <c r="F296" s="32"/>
      <c r="G296" s="15" t="str">
        <f t="shared" si="20"/>
        <v/>
      </c>
      <c r="H296" s="15" t="str">
        <f t="shared" si="21"/>
        <v/>
      </c>
      <c r="I296" s="17" t="str">
        <f t="shared" si="22"/>
        <v/>
      </c>
      <c r="J296" s="15" t="str">
        <f t="shared" si="23"/>
        <v/>
      </c>
      <c r="K296" s="19" t="str">
        <f t="shared" si="24"/>
        <v/>
      </c>
      <c r="L296" s="33"/>
      <c r="M296" s="15" t="str">
        <f>IF(B296="","",SUMIF($B$6:B295,B296,$I$6:I295))</f>
        <v/>
      </c>
      <c r="N296" s="15" t="str">
        <f>IF(B296="","",SUMIF($B$6:B295,B296,$H$6:H295))</f>
        <v/>
      </c>
      <c r="O296" s="15" t="str">
        <f>IF(B296="","",COUNTIFS($B$6:B295,B296,$K$6:K295,"&lt;&gt;已记录"))</f>
        <v/>
      </c>
      <c r="P296" s="34"/>
    </row>
    <row r="297" spans="1:16" ht="21.75" customHeight="1">
      <c r="A297" s="16"/>
      <c r="B297" s="30"/>
      <c r="C297" s="31"/>
      <c r="D297" s="10"/>
      <c r="E297" s="10"/>
      <c r="F297" s="32"/>
      <c r="G297" s="15" t="str">
        <f t="shared" si="20"/>
        <v/>
      </c>
      <c r="H297" s="15" t="str">
        <f t="shared" si="21"/>
        <v/>
      </c>
      <c r="I297" s="17" t="str">
        <f t="shared" si="22"/>
        <v/>
      </c>
      <c r="J297" s="15" t="str">
        <f t="shared" si="23"/>
        <v/>
      </c>
      <c r="K297" s="19" t="str">
        <f t="shared" si="24"/>
        <v/>
      </c>
      <c r="L297" s="33"/>
      <c r="M297" s="15" t="str">
        <f>IF(B297="","",SUMIF($B$6:B296,B297,$I$6:I296))</f>
        <v/>
      </c>
      <c r="N297" s="15" t="str">
        <f>IF(B297="","",SUMIF($B$6:B296,B297,$H$6:H296))</f>
        <v/>
      </c>
      <c r="O297" s="15" t="str">
        <f>IF(B297="","",COUNTIFS($B$6:B296,B297,$K$6:K296,"&lt;&gt;已记录"))</f>
        <v/>
      </c>
      <c r="P297" s="34"/>
    </row>
    <row r="298" spans="1:16" ht="21.75" customHeight="1">
      <c r="A298" s="16"/>
      <c r="B298" s="30"/>
      <c r="C298" s="31"/>
      <c r="D298" s="10"/>
      <c r="E298" s="10"/>
      <c r="F298" s="32"/>
      <c r="G298" s="15" t="str">
        <f t="shared" si="20"/>
        <v/>
      </c>
      <c r="H298" s="15" t="str">
        <f t="shared" si="21"/>
        <v/>
      </c>
      <c r="I298" s="17" t="str">
        <f t="shared" si="22"/>
        <v/>
      </c>
      <c r="J298" s="15" t="str">
        <f t="shared" si="23"/>
        <v/>
      </c>
      <c r="K298" s="19" t="str">
        <f t="shared" si="24"/>
        <v/>
      </c>
      <c r="L298" s="33"/>
      <c r="M298" s="15" t="str">
        <f>IF(B298="","",SUMIF($B$6:B297,B298,$I$6:I297))</f>
        <v/>
      </c>
      <c r="N298" s="15" t="str">
        <f>IF(B298="","",SUMIF($B$6:B297,B298,$H$6:H297))</f>
        <v/>
      </c>
      <c r="O298" s="15" t="str">
        <f>IF(B298="","",COUNTIFS($B$6:B297,B298,$K$6:K297,"&lt;&gt;已记录"))</f>
        <v/>
      </c>
      <c r="P298" s="34"/>
    </row>
    <row r="299" spans="1:16" ht="21.75" customHeight="1">
      <c r="A299" s="16"/>
      <c r="B299" s="30"/>
      <c r="C299" s="31"/>
      <c r="D299" s="10"/>
      <c r="E299" s="10"/>
      <c r="F299" s="32"/>
      <c r="G299" s="15" t="str">
        <f t="shared" si="20"/>
        <v/>
      </c>
      <c r="H299" s="15" t="str">
        <f t="shared" si="21"/>
        <v/>
      </c>
      <c r="I299" s="17" t="str">
        <f t="shared" si="22"/>
        <v/>
      </c>
      <c r="J299" s="15" t="str">
        <f t="shared" si="23"/>
        <v/>
      </c>
      <c r="K299" s="19" t="str">
        <f t="shared" si="24"/>
        <v/>
      </c>
      <c r="L299" s="33"/>
      <c r="M299" s="15" t="str">
        <f>IF(B299="","",SUMIF($B$6:B298,B299,$I$6:I298))</f>
        <v/>
      </c>
      <c r="N299" s="15" t="str">
        <f>IF(B299="","",SUMIF($B$6:B298,B299,$H$6:H298))</f>
        <v/>
      </c>
      <c r="O299" s="15" t="str">
        <f>IF(B299="","",COUNTIFS($B$6:B298,B299,$K$6:K298,"&lt;&gt;已记录"))</f>
        <v/>
      </c>
      <c r="P299" s="34"/>
    </row>
    <row r="300" spans="1:16" ht="21.75" customHeight="1">
      <c r="A300" s="16"/>
      <c r="B300" s="30"/>
      <c r="C300" s="31"/>
      <c r="D300" s="10"/>
      <c r="E300" s="10"/>
      <c r="F300" s="32"/>
      <c r="G300" s="15" t="str">
        <f t="shared" si="20"/>
        <v/>
      </c>
      <c r="H300" s="15" t="str">
        <f t="shared" si="21"/>
        <v/>
      </c>
      <c r="I300" s="17" t="str">
        <f t="shared" si="22"/>
        <v/>
      </c>
      <c r="J300" s="15" t="str">
        <f t="shared" si="23"/>
        <v/>
      </c>
      <c r="K300" s="19" t="str">
        <f t="shared" si="24"/>
        <v/>
      </c>
      <c r="L300" s="33"/>
      <c r="M300" s="15" t="str">
        <f>IF(B300="","",SUMIF($B$6:B299,B300,$I$6:I299))</f>
        <v/>
      </c>
      <c r="N300" s="15" t="str">
        <f>IF(B300="","",SUMIF($B$6:B299,B300,$H$6:H299))</f>
        <v/>
      </c>
      <c r="O300" s="15" t="str">
        <f>IF(B300="","",COUNTIFS($B$6:B299,B300,$K$6:K299,"&lt;&gt;已记录"))</f>
        <v/>
      </c>
      <c r="P300" s="34"/>
    </row>
    <row r="301" spans="1:16" ht="21.75" customHeight="1">
      <c r="A301" s="16"/>
      <c r="B301" s="30"/>
      <c r="C301" s="31"/>
      <c r="D301" s="10"/>
      <c r="E301" s="10"/>
      <c r="F301" s="32"/>
      <c r="G301" s="15" t="str">
        <f t="shared" si="20"/>
        <v/>
      </c>
      <c r="H301" s="15" t="str">
        <f t="shared" si="21"/>
        <v/>
      </c>
      <c r="I301" s="17" t="str">
        <f t="shared" si="22"/>
        <v/>
      </c>
      <c r="J301" s="15" t="str">
        <f t="shared" si="23"/>
        <v/>
      </c>
      <c r="K301" s="19" t="str">
        <f t="shared" si="24"/>
        <v/>
      </c>
      <c r="L301" s="33"/>
      <c r="M301" s="15" t="str">
        <f>IF(B301="","",SUMIF($B$6:B300,B301,$I$6:I300))</f>
        <v/>
      </c>
      <c r="N301" s="15" t="str">
        <f>IF(B301="","",SUMIF($B$6:B300,B301,$H$6:H300))</f>
        <v/>
      </c>
      <c r="O301" s="15" t="str">
        <f>IF(B301="","",COUNTIFS($B$6:B300,B301,$K$6:K300,"&lt;&gt;已记录"))</f>
        <v/>
      </c>
      <c r="P301" s="34"/>
    </row>
    <row r="302" spans="1:16" ht="21.75" customHeight="1">
      <c r="A302" s="16"/>
      <c r="B302" s="30"/>
      <c r="C302" s="31"/>
      <c r="D302" s="10"/>
      <c r="E302" s="10"/>
      <c r="F302" s="32"/>
      <c r="G302" s="15" t="str">
        <f t="shared" si="20"/>
        <v/>
      </c>
      <c r="H302" s="15" t="str">
        <f t="shared" si="21"/>
        <v/>
      </c>
      <c r="I302" s="17" t="str">
        <f t="shared" si="22"/>
        <v/>
      </c>
      <c r="J302" s="15" t="str">
        <f t="shared" si="23"/>
        <v/>
      </c>
      <c r="K302" s="19" t="str">
        <f t="shared" si="24"/>
        <v/>
      </c>
      <c r="L302" s="33"/>
      <c r="M302" s="15" t="str">
        <f>IF(B302="","",SUMIF($B$6:B301,B302,$I$6:I301))</f>
        <v/>
      </c>
      <c r="N302" s="15" t="str">
        <f>IF(B302="","",SUMIF($B$6:B301,B302,$H$6:H301))</f>
        <v/>
      </c>
      <c r="O302" s="15" t="str">
        <f>IF(B302="","",COUNTIFS($B$6:B301,B302,$K$6:K301,"&lt;&gt;已记录"))</f>
        <v/>
      </c>
      <c r="P302" s="34"/>
    </row>
    <row r="303" spans="1:16" ht="21.75" customHeight="1">
      <c r="A303" s="16"/>
      <c r="B303" s="30"/>
      <c r="C303" s="31"/>
      <c r="D303" s="10"/>
      <c r="E303" s="10"/>
      <c r="F303" s="32"/>
      <c r="G303" s="15" t="str">
        <f t="shared" si="20"/>
        <v/>
      </c>
      <c r="H303" s="15" t="str">
        <f t="shared" si="21"/>
        <v/>
      </c>
      <c r="I303" s="17" t="str">
        <f t="shared" si="22"/>
        <v/>
      </c>
      <c r="J303" s="15" t="str">
        <f t="shared" si="23"/>
        <v/>
      </c>
      <c r="K303" s="19" t="str">
        <f t="shared" si="24"/>
        <v/>
      </c>
      <c r="L303" s="33"/>
      <c r="M303" s="15" t="str">
        <f>IF(B303="","",SUMIF($B$6:B302,B303,$I$6:I302))</f>
        <v/>
      </c>
      <c r="N303" s="15" t="str">
        <f>IF(B303="","",SUMIF($B$6:B302,B303,$H$6:H302))</f>
        <v/>
      </c>
      <c r="O303" s="15" t="str">
        <f>IF(B303="","",COUNTIFS($B$6:B302,B303,$K$6:K302,"&lt;&gt;已记录"))</f>
        <v/>
      </c>
      <c r="P303" s="34"/>
    </row>
    <row r="304" spans="1:16" ht="21.75" customHeight="1">
      <c r="A304" s="16"/>
      <c r="B304" s="30"/>
      <c r="C304" s="31"/>
      <c r="D304" s="10"/>
      <c r="E304" s="10"/>
      <c r="F304" s="32"/>
      <c r="G304" s="15" t="str">
        <f t="shared" si="20"/>
        <v/>
      </c>
      <c r="H304" s="15" t="str">
        <f t="shared" si="21"/>
        <v/>
      </c>
      <c r="I304" s="17" t="str">
        <f t="shared" si="22"/>
        <v/>
      </c>
      <c r="J304" s="15" t="str">
        <f t="shared" si="23"/>
        <v/>
      </c>
      <c r="K304" s="19" t="str">
        <f t="shared" si="24"/>
        <v/>
      </c>
      <c r="L304" s="33"/>
      <c r="M304" s="15" t="str">
        <f>IF(B304="","",SUMIF($B$6:B303,B304,$I$6:I303))</f>
        <v/>
      </c>
      <c r="N304" s="15" t="str">
        <f>IF(B304="","",SUMIF($B$6:B303,B304,$H$6:H303))</f>
        <v/>
      </c>
      <c r="O304" s="15" t="str">
        <f>IF(B304="","",COUNTIFS($B$6:B303,B304,$K$6:K303,"&lt;&gt;已记录"))</f>
        <v/>
      </c>
      <c r="P304" s="34"/>
    </row>
    <row r="305" spans="1:16" ht="21.75" customHeight="1">
      <c r="A305" s="16"/>
      <c r="B305" s="30"/>
      <c r="C305" s="31"/>
      <c r="D305" s="10"/>
      <c r="E305" s="10"/>
      <c r="F305" s="32"/>
      <c r="G305" s="15" t="str">
        <f t="shared" si="20"/>
        <v/>
      </c>
      <c r="H305" s="15" t="str">
        <f t="shared" si="21"/>
        <v/>
      </c>
      <c r="I305" s="17" t="str">
        <f t="shared" si="22"/>
        <v/>
      </c>
      <c r="J305" s="15" t="str">
        <f t="shared" si="23"/>
        <v/>
      </c>
      <c r="K305" s="19" t="str">
        <f t="shared" si="24"/>
        <v/>
      </c>
      <c r="L305" s="33"/>
      <c r="M305" s="15" t="str">
        <f>IF(B305="","",SUMIF($B$6:B304,B305,$I$6:I304))</f>
        <v/>
      </c>
      <c r="N305" s="15" t="str">
        <f>IF(B305="","",SUMIF($B$6:B304,B305,$H$6:H304))</f>
        <v/>
      </c>
      <c r="O305" s="15" t="str">
        <f>IF(B305="","",COUNTIFS($B$6:B304,B305,$K$6:K304,"&lt;&gt;已记录"))</f>
        <v/>
      </c>
      <c r="P305" s="34"/>
    </row>
    <row r="306" spans="1:16" ht="21.75" customHeight="1">
      <c r="A306" s="16"/>
      <c r="B306" s="30"/>
      <c r="C306" s="31"/>
      <c r="D306" s="10"/>
      <c r="E306" s="10"/>
      <c r="F306" s="32"/>
      <c r="G306" s="15" t="str">
        <f t="shared" si="20"/>
        <v/>
      </c>
      <c r="H306" s="15" t="str">
        <f t="shared" si="21"/>
        <v/>
      </c>
      <c r="I306" s="17" t="str">
        <f t="shared" si="22"/>
        <v/>
      </c>
      <c r="J306" s="15" t="str">
        <f t="shared" si="23"/>
        <v/>
      </c>
      <c r="K306" s="19" t="str">
        <f t="shared" si="24"/>
        <v/>
      </c>
      <c r="L306" s="33"/>
      <c r="M306" s="15" t="str">
        <f>IF(B306="","",SUMIF($B$6:B305,B306,$I$6:I305))</f>
        <v/>
      </c>
      <c r="N306" s="15" t="str">
        <f>IF(B306="","",SUMIF($B$6:B305,B306,$H$6:H305))</f>
        <v/>
      </c>
      <c r="O306" s="15" t="str">
        <f>IF(B306="","",COUNTIFS($B$6:B305,B306,$K$6:K305,"&lt;&gt;已记录"))</f>
        <v/>
      </c>
      <c r="P306" s="34"/>
    </row>
    <row r="307" spans="1:16" ht="21.75" customHeight="1">
      <c r="A307" s="16"/>
      <c r="B307" s="30"/>
      <c r="C307" s="31"/>
      <c r="D307" s="10"/>
      <c r="E307" s="10"/>
      <c r="F307" s="32"/>
      <c r="G307" s="15" t="str">
        <f t="shared" si="20"/>
        <v/>
      </c>
      <c r="H307" s="15" t="str">
        <f t="shared" si="21"/>
        <v/>
      </c>
      <c r="I307" s="17" t="str">
        <f t="shared" si="22"/>
        <v/>
      </c>
      <c r="J307" s="15" t="str">
        <f t="shared" si="23"/>
        <v/>
      </c>
      <c r="K307" s="19" t="str">
        <f t="shared" si="24"/>
        <v/>
      </c>
      <c r="L307" s="33"/>
      <c r="M307" s="15" t="str">
        <f>IF(B307="","",SUMIF($B$6:B306,B307,$I$6:I306))</f>
        <v/>
      </c>
      <c r="N307" s="15" t="str">
        <f>IF(B307="","",SUMIF($B$6:B306,B307,$H$6:H306))</f>
        <v/>
      </c>
      <c r="O307" s="15" t="str">
        <f>IF(B307="","",COUNTIFS($B$6:B306,B307,$K$6:K306,"&lt;&gt;已记录"))</f>
        <v/>
      </c>
      <c r="P307" s="34"/>
    </row>
    <row r="308" spans="1:16" ht="21.75" customHeight="1">
      <c r="A308" s="16"/>
      <c r="B308" s="30"/>
      <c r="C308" s="31"/>
      <c r="D308" s="10"/>
      <c r="E308" s="10"/>
      <c r="F308" s="32"/>
      <c r="G308" s="15" t="str">
        <f t="shared" si="20"/>
        <v/>
      </c>
      <c r="H308" s="15" t="str">
        <f t="shared" si="21"/>
        <v/>
      </c>
      <c r="I308" s="17" t="str">
        <f t="shared" si="22"/>
        <v/>
      </c>
      <c r="J308" s="15" t="str">
        <f t="shared" si="23"/>
        <v/>
      </c>
      <c r="K308" s="19" t="str">
        <f t="shared" si="24"/>
        <v/>
      </c>
      <c r="L308" s="33"/>
      <c r="M308" s="15" t="str">
        <f>IF(B308="","",SUMIF($B$6:B307,B308,$I$6:I307))</f>
        <v/>
      </c>
      <c r="N308" s="15" t="str">
        <f>IF(B308="","",SUMIF($B$6:B307,B308,$H$6:H307))</f>
        <v/>
      </c>
      <c r="O308" s="15" t="str">
        <f>IF(B308="","",COUNTIFS($B$6:B307,B308,$K$6:K307,"&lt;&gt;已记录"))</f>
        <v/>
      </c>
      <c r="P308" s="34"/>
    </row>
    <row r="309" spans="1:16" ht="21.75" customHeight="1">
      <c r="A309" s="16"/>
      <c r="B309" s="30"/>
      <c r="C309" s="31"/>
      <c r="D309" s="10"/>
      <c r="E309" s="10"/>
      <c r="F309" s="32"/>
      <c r="G309" s="15" t="str">
        <f t="shared" si="20"/>
        <v/>
      </c>
      <c r="H309" s="15" t="str">
        <f t="shared" si="21"/>
        <v/>
      </c>
      <c r="I309" s="17" t="str">
        <f t="shared" si="22"/>
        <v/>
      </c>
      <c r="J309" s="15" t="str">
        <f t="shared" si="23"/>
        <v/>
      </c>
      <c r="K309" s="19" t="str">
        <f t="shared" si="24"/>
        <v/>
      </c>
      <c r="L309" s="33"/>
      <c r="M309" s="15" t="str">
        <f>IF(B309="","",SUMIF($B$6:B308,B309,$I$6:I308))</f>
        <v/>
      </c>
      <c r="N309" s="15" t="str">
        <f>IF(B309="","",SUMIF($B$6:B308,B309,$H$6:H308))</f>
        <v/>
      </c>
      <c r="O309" s="15" t="str">
        <f>IF(B309="","",COUNTIFS($B$6:B308,B309,$K$6:K308,"&lt;&gt;已记录"))</f>
        <v/>
      </c>
      <c r="P309" s="34"/>
    </row>
    <row r="310" spans="1:16" ht="21.75" customHeight="1">
      <c r="A310" s="16"/>
      <c r="B310" s="30"/>
      <c r="C310" s="31"/>
      <c r="D310" s="10"/>
      <c r="E310" s="10"/>
      <c r="F310" s="32"/>
      <c r="G310" s="15" t="str">
        <f t="shared" si="20"/>
        <v/>
      </c>
      <c r="H310" s="15" t="str">
        <f t="shared" si="21"/>
        <v/>
      </c>
      <c r="I310" s="17" t="str">
        <f t="shared" si="22"/>
        <v/>
      </c>
      <c r="J310" s="15" t="str">
        <f t="shared" si="23"/>
        <v/>
      </c>
      <c r="K310" s="19" t="str">
        <f t="shared" si="24"/>
        <v/>
      </c>
      <c r="L310" s="33"/>
      <c r="M310" s="15" t="str">
        <f>IF(B310="","",SUMIF($B$6:B309,B310,$I$6:I309))</f>
        <v/>
      </c>
      <c r="N310" s="15" t="str">
        <f>IF(B310="","",SUMIF($B$6:B309,B310,$H$6:H309))</f>
        <v/>
      </c>
      <c r="O310" s="15" t="str">
        <f>IF(B310="","",COUNTIFS($B$6:B309,B310,$K$6:K309,"&lt;&gt;已记录"))</f>
        <v/>
      </c>
      <c r="P310" s="34"/>
    </row>
    <row r="311" spans="1:16" ht="21.75" customHeight="1">
      <c r="A311" s="16"/>
      <c r="B311" s="30"/>
      <c r="C311" s="31"/>
      <c r="D311" s="10"/>
      <c r="E311" s="10"/>
      <c r="F311" s="32"/>
      <c r="G311" s="15" t="str">
        <f t="shared" si="20"/>
        <v/>
      </c>
      <c r="H311" s="15" t="str">
        <f t="shared" si="21"/>
        <v/>
      </c>
      <c r="I311" s="17" t="str">
        <f t="shared" si="22"/>
        <v/>
      </c>
      <c r="J311" s="15" t="str">
        <f t="shared" si="23"/>
        <v/>
      </c>
      <c r="K311" s="19" t="str">
        <f t="shared" si="24"/>
        <v/>
      </c>
      <c r="L311" s="33"/>
      <c r="M311" s="15" t="str">
        <f>IF(B311="","",SUMIF($B$6:B310,B311,$I$6:I310))</f>
        <v/>
      </c>
      <c r="N311" s="15" t="str">
        <f>IF(B311="","",SUMIF($B$6:B310,B311,$H$6:H310))</f>
        <v/>
      </c>
      <c r="O311" s="15" t="str">
        <f>IF(B311="","",COUNTIFS($B$6:B310,B311,$K$6:K310,"&lt;&gt;已记录"))</f>
        <v/>
      </c>
      <c r="P311" s="34"/>
    </row>
    <row r="312" spans="1:16" ht="21.75" customHeight="1">
      <c r="A312" s="16"/>
      <c r="B312" s="30"/>
      <c r="C312" s="31"/>
      <c r="D312" s="10"/>
      <c r="E312" s="10"/>
      <c r="F312" s="32"/>
      <c r="G312" s="15" t="str">
        <f t="shared" si="20"/>
        <v/>
      </c>
      <c r="H312" s="15" t="str">
        <f t="shared" si="21"/>
        <v/>
      </c>
      <c r="I312" s="17" t="str">
        <f t="shared" si="22"/>
        <v/>
      </c>
      <c r="J312" s="15" t="str">
        <f t="shared" si="23"/>
        <v/>
      </c>
      <c r="K312" s="19" t="str">
        <f t="shared" si="24"/>
        <v/>
      </c>
      <c r="L312" s="33"/>
      <c r="M312" s="15" t="str">
        <f>IF(B312="","",SUMIF($B$6:B311,B312,$I$6:I311))</f>
        <v/>
      </c>
      <c r="N312" s="15" t="str">
        <f>IF(B312="","",SUMIF($B$6:B311,B312,$H$6:H311))</f>
        <v/>
      </c>
      <c r="O312" s="15" t="str">
        <f>IF(B312="","",COUNTIFS($B$6:B311,B312,$K$6:K311,"&lt;&gt;已记录"))</f>
        <v/>
      </c>
      <c r="P312" s="34"/>
    </row>
    <row r="313" spans="1:16" ht="21.75" customHeight="1">
      <c r="A313" s="16"/>
      <c r="B313" s="30"/>
      <c r="C313" s="31"/>
      <c r="D313" s="10"/>
      <c r="E313" s="10"/>
      <c r="F313" s="32"/>
      <c r="G313" s="15" t="str">
        <f t="shared" si="20"/>
        <v/>
      </c>
      <c r="H313" s="15" t="str">
        <f t="shared" si="21"/>
        <v/>
      </c>
      <c r="I313" s="17" t="str">
        <f t="shared" si="22"/>
        <v/>
      </c>
      <c r="J313" s="15" t="str">
        <f t="shared" si="23"/>
        <v/>
      </c>
      <c r="K313" s="19" t="str">
        <f t="shared" si="24"/>
        <v/>
      </c>
      <c r="L313" s="33"/>
      <c r="M313" s="15" t="str">
        <f>IF(B313="","",SUMIF($B$6:B312,B313,$I$6:I312))</f>
        <v/>
      </c>
      <c r="N313" s="15" t="str">
        <f>IF(B313="","",SUMIF($B$6:B312,B313,$H$6:H312))</f>
        <v/>
      </c>
      <c r="O313" s="15" t="str">
        <f>IF(B313="","",COUNTIFS($B$6:B312,B313,$K$6:K312,"&lt;&gt;已记录"))</f>
        <v/>
      </c>
      <c r="P313" s="34"/>
    </row>
    <row r="314" spans="1:16" ht="21.75" customHeight="1">
      <c r="A314" s="16"/>
      <c r="B314" s="30"/>
      <c r="C314" s="31"/>
      <c r="D314" s="10"/>
      <c r="E314" s="10"/>
      <c r="F314" s="32"/>
      <c r="G314" s="15" t="str">
        <f t="shared" si="20"/>
        <v/>
      </c>
      <c r="H314" s="15" t="str">
        <f t="shared" si="21"/>
        <v/>
      </c>
      <c r="I314" s="17" t="str">
        <f t="shared" si="22"/>
        <v/>
      </c>
      <c r="J314" s="15" t="str">
        <f t="shared" si="23"/>
        <v/>
      </c>
      <c r="K314" s="19" t="str">
        <f t="shared" si="24"/>
        <v/>
      </c>
      <c r="L314" s="33"/>
      <c r="M314" s="15" t="str">
        <f>IF(B314="","",SUMIF($B$6:B313,B314,$I$6:I313))</f>
        <v/>
      </c>
      <c r="N314" s="15" t="str">
        <f>IF(B314="","",SUMIF($B$6:B313,B314,$H$6:H313))</f>
        <v/>
      </c>
      <c r="O314" s="15" t="str">
        <f>IF(B314="","",COUNTIFS($B$6:B313,B314,$K$6:K313,"&lt;&gt;已记录"))</f>
        <v/>
      </c>
      <c r="P314" s="34"/>
    </row>
    <row r="315" spans="1:16" ht="21.75" customHeight="1">
      <c r="A315" s="16"/>
      <c r="B315" s="30"/>
      <c r="C315" s="31"/>
      <c r="D315" s="10"/>
      <c r="E315" s="10"/>
      <c r="F315" s="32"/>
      <c r="G315" s="15" t="str">
        <f t="shared" si="20"/>
        <v/>
      </c>
      <c r="H315" s="15" t="str">
        <f t="shared" si="21"/>
        <v/>
      </c>
      <c r="I315" s="17" t="str">
        <f t="shared" si="22"/>
        <v/>
      </c>
      <c r="J315" s="15" t="str">
        <f t="shared" si="23"/>
        <v/>
      </c>
      <c r="K315" s="19" t="str">
        <f t="shared" si="24"/>
        <v/>
      </c>
      <c r="L315" s="33"/>
      <c r="M315" s="15" t="str">
        <f>IF(B315="","",SUMIF($B$6:B314,B315,$I$6:I314))</f>
        <v/>
      </c>
      <c r="N315" s="15" t="str">
        <f>IF(B315="","",SUMIF($B$6:B314,B315,$H$6:H314))</f>
        <v/>
      </c>
      <c r="O315" s="15" t="str">
        <f>IF(B315="","",COUNTIFS($B$6:B314,B315,$K$6:K314,"&lt;&gt;已记录"))</f>
        <v/>
      </c>
      <c r="P315" s="34"/>
    </row>
    <row r="316" spans="1:16" ht="21.75" customHeight="1">
      <c r="A316" s="16"/>
      <c r="B316" s="30"/>
      <c r="C316" s="31"/>
      <c r="D316" s="10"/>
      <c r="E316" s="10"/>
      <c r="F316" s="32"/>
      <c r="G316" s="15" t="str">
        <f t="shared" si="20"/>
        <v/>
      </c>
      <c r="H316" s="15" t="str">
        <f t="shared" si="21"/>
        <v/>
      </c>
      <c r="I316" s="17" t="str">
        <f t="shared" si="22"/>
        <v/>
      </c>
      <c r="J316" s="15" t="str">
        <f t="shared" si="23"/>
        <v/>
      </c>
      <c r="K316" s="19" t="str">
        <f t="shared" si="24"/>
        <v/>
      </c>
      <c r="L316" s="33"/>
      <c r="M316" s="15" t="str">
        <f>IF(B316="","",SUMIF($B$6:B315,B316,$I$6:I315))</f>
        <v/>
      </c>
      <c r="N316" s="15" t="str">
        <f>IF(B316="","",SUMIF($B$6:B315,B316,$H$6:H315))</f>
        <v/>
      </c>
      <c r="O316" s="15" t="str">
        <f>IF(B316="","",COUNTIFS($B$6:B315,B316,$K$6:K315,"&lt;&gt;已记录"))</f>
        <v/>
      </c>
      <c r="P316" s="34"/>
    </row>
    <row r="317" spans="1:16" ht="21.75" customHeight="1">
      <c r="A317" s="16"/>
      <c r="B317" s="30"/>
      <c r="C317" s="31"/>
      <c r="D317" s="10"/>
      <c r="E317" s="10"/>
      <c r="F317" s="32"/>
      <c r="G317" s="15" t="str">
        <f t="shared" si="20"/>
        <v/>
      </c>
      <c r="H317" s="15" t="str">
        <f t="shared" si="21"/>
        <v/>
      </c>
      <c r="I317" s="17" t="str">
        <f t="shared" si="22"/>
        <v/>
      </c>
      <c r="J317" s="15" t="str">
        <f t="shared" si="23"/>
        <v/>
      </c>
      <c r="K317" s="19" t="str">
        <f t="shared" si="24"/>
        <v/>
      </c>
      <c r="L317" s="33"/>
      <c r="M317" s="15" t="str">
        <f>IF(B317="","",SUMIF($B$6:B316,B317,$I$6:I316))</f>
        <v/>
      </c>
      <c r="N317" s="15" t="str">
        <f>IF(B317="","",SUMIF($B$6:B316,B317,$H$6:H316))</f>
        <v/>
      </c>
      <c r="O317" s="15" t="str">
        <f>IF(B317="","",COUNTIFS($B$6:B316,B317,$K$6:K316,"&lt;&gt;已记录"))</f>
        <v/>
      </c>
      <c r="P317" s="34"/>
    </row>
    <row r="318" spans="1:16" ht="21.75" customHeight="1">
      <c r="A318" s="16"/>
      <c r="B318" s="30"/>
      <c r="C318" s="31"/>
      <c r="D318" s="10"/>
      <c r="E318" s="10"/>
      <c r="F318" s="32"/>
      <c r="G318" s="15" t="str">
        <f t="shared" si="20"/>
        <v/>
      </c>
      <c r="H318" s="15" t="str">
        <f t="shared" si="21"/>
        <v/>
      </c>
      <c r="I318" s="17" t="str">
        <f t="shared" si="22"/>
        <v/>
      </c>
      <c r="J318" s="15" t="str">
        <f t="shared" si="23"/>
        <v/>
      </c>
      <c r="K318" s="19" t="str">
        <f t="shared" si="24"/>
        <v/>
      </c>
      <c r="L318" s="33"/>
      <c r="M318" s="15" t="str">
        <f>IF(B318="","",SUMIF($B$6:B317,B318,$I$6:I317))</f>
        <v/>
      </c>
      <c r="N318" s="15" t="str">
        <f>IF(B318="","",SUMIF($B$6:B317,B318,$H$6:H317))</f>
        <v/>
      </c>
      <c r="O318" s="15" t="str">
        <f>IF(B318="","",COUNTIFS($B$6:B317,B318,$K$6:K317,"&lt;&gt;已记录"))</f>
        <v/>
      </c>
      <c r="P318" s="34"/>
    </row>
    <row r="319" spans="1:16" ht="21.75" customHeight="1">
      <c r="A319" s="16"/>
      <c r="B319" s="30"/>
      <c r="C319" s="31"/>
      <c r="D319" s="10"/>
      <c r="E319" s="10"/>
      <c r="F319" s="32"/>
      <c r="G319" s="15" t="str">
        <f t="shared" si="20"/>
        <v/>
      </c>
      <c r="H319" s="15" t="str">
        <f t="shared" si="21"/>
        <v/>
      </c>
      <c r="I319" s="17" t="str">
        <f t="shared" si="22"/>
        <v/>
      </c>
      <c r="J319" s="15" t="str">
        <f t="shared" si="23"/>
        <v/>
      </c>
      <c r="K319" s="19" t="str">
        <f t="shared" si="24"/>
        <v/>
      </c>
      <c r="L319" s="33"/>
      <c r="M319" s="15" t="str">
        <f>IF(B319="","",SUMIF($B$6:B318,B319,$I$6:I318))</f>
        <v/>
      </c>
      <c r="N319" s="15" t="str">
        <f>IF(B319="","",SUMIF($B$6:B318,B319,$H$6:H318))</f>
        <v/>
      </c>
      <c r="O319" s="15" t="str">
        <f>IF(B319="","",COUNTIFS($B$6:B318,B319,$K$6:K318,"&lt;&gt;已记录"))</f>
        <v/>
      </c>
      <c r="P319" s="34"/>
    </row>
    <row r="320" spans="1:16" ht="21.75" customHeight="1">
      <c r="A320" s="16"/>
      <c r="B320" s="30"/>
      <c r="C320" s="31"/>
      <c r="D320" s="10"/>
      <c r="E320" s="10"/>
      <c r="F320" s="32"/>
      <c r="G320" s="15" t="str">
        <f t="shared" si="20"/>
        <v/>
      </c>
      <c r="H320" s="15" t="str">
        <f t="shared" si="21"/>
        <v/>
      </c>
      <c r="I320" s="17" t="str">
        <f t="shared" si="22"/>
        <v/>
      </c>
      <c r="J320" s="15" t="str">
        <f t="shared" si="23"/>
        <v/>
      </c>
      <c r="K320" s="19" t="str">
        <f t="shared" si="24"/>
        <v/>
      </c>
      <c r="L320" s="33"/>
      <c r="M320" s="15" t="str">
        <f>IF(B320="","",SUMIF($B$6:B319,B320,$I$6:I319))</f>
        <v/>
      </c>
      <c r="N320" s="15" t="str">
        <f>IF(B320="","",SUMIF($B$6:B319,B320,$H$6:H319))</f>
        <v/>
      </c>
      <c r="O320" s="15" t="str">
        <f>IF(B320="","",COUNTIFS($B$6:B319,B320,$K$6:K319,"&lt;&gt;已记录"))</f>
        <v/>
      </c>
      <c r="P320" s="34"/>
    </row>
    <row r="321" spans="1:16" ht="21.75" customHeight="1">
      <c r="A321" s="16"/>
      <c r="B321" s="30"/>
      <c r="C321" s="31"/>
      <c r="D321" s="10"/>
      <c r="E321" s="10"/>
      <c r="F321" s="32"/>
      <c r="G321" s="15" t="str">
        <f t="shared" si="20"/>
        <v/>
      </c>
      <c r="H321" s="15" t="str">
        <f t="shared" si="21"/>
        <v/>
      </c>
      <c r="I321" s="17" t="str">
        <f t="shared" si="22"/>
        <v/>
      </c>
      <c r="J321" s="15" t="str">
        <f t="shared" si="23"/>
        <v/>
      </c>
      <c r="K321" s="19" t="str">
        <f t="shared" si="24"/>
        <v/>
      </c>
      <c r="L321" s="33"/>
      <c r="M321" s="15" t="str">
        <f>IF(B321="","",SUMIF($B$6:B320,B321,$I$6:I320))</f>
        <v/>
      </c>
      <c r="N321" s="15" t="str">
        <f>IF(B321="","",SUMIF($B$6:B320,B321,$H$6:H320))</f>
        <v/>
      </c>
      <c r="O321" s="15" t="str">
        <f>IF(B321="","",COUNTIFS($B$6:B320,B321,$K$6:K320,"&lt;&gt;已记录"))</f>
        <v/>
      </c>
      <c r="P321" s="34"/>
    </row>
    <row r="322" spans="1:16" ht="21.75" customHeight="1">
      <c r="A322" s="16"/>
      <c r="B322" s="30"/>
      <c r="C322" s="31"/>
      <c r="D322" s="10"/>
      <c r="E322" s="10"/>
      <c r="F322" s="32"/>
      <c r="G322" s="15" t="str">
        <f t="shared" si="20"/>
        <v/>
      </c>
      <c r="H322" s="15" t="str">
        <f t="shared" si="21"/>
        <v/>
      </c>
      <c r="I322" s="17" t="str">
        <f t="shared" si="22"/>
        <v/>
      </c>
      <c r="J322" s="15" t="str">
        <f t="shared" si="23"/>
        <v/>
      </c>
      <c r="K322" s="19" t="str">
        <f t="shared" si="24"/>
        <v/>
      </c>
      <c r="L322" s="33"/>
      <c r="M322" s="15" t="str">
        <f>IF(B322="","",SUMIF($B$6:B321,B322,$I$6:I321))</f>
        <v/>
      </c>
      <c r="N322" s="15" t="str">
        <f>IF(B322="","",SUMIF($B$6:B321,B322,$H$6:H321))</f>
        <v/>
      </c>
      <c r="O322" s="15" t="str">
        <f>IF(B322="","",COUNTIFS($B$6:B321,B322,$K$6:K321,"&lt;&gt;已记录"))</f>
        <v/>
      </c>
      <c r="P322" s="34"/>
    </row>
    <row r="323" spans="1:16" ht="21.75" customHeight="1">
      <c r="A323" s="16"/>
      <c r="B323" s="30"/>
      <c r="C323" s="31"/>
      <c r="D323" s="10"/>
      <c r="E323" s="10"/>
      <c r="F323" s="32"/>
      <c r="G323" s="15" t="str">
        <f t="shared" si="20"/>
        <v/>
      </c>
      <c r="H323" s="15" t="str">
        <f t="shared" si="21"/>
        <v/>
      </c>
      <c r="I323" s="17" t="str">
        <f t="shared" si="22"/>
        <v/>
      </c>
      <c r="J323" s="15" t="str">
        <f t="shared" si="23"/>
        <v/>
      </c>
      <c r="K323" s="19" t="str">
        <f t="shared" si="24"/>
        <v/>
      </c>
      <c r="L323" s="33"/>
      <c r="M323" s="15" t="str">
        <f>IF(B323="","",SUMIF($B$6:B322,B323,$I$6:I322))</f>
        <v/>
      </c>
      <c r="N323" s="15" t="str">
        <f>IF(B323="","",SUMIF($B$6:B322,B323,$H$6:H322))</f>
        <v/>
      </c>
      <c r="O323" s="15" t="str">
        <f>IF(B323="","",COUNTIFS($B$6:B322,B323,$K$6:K322,"&lt;&gt;已记录"))</f>
        <v/>
      </c>
      <c r="P323" s="34"/>
    </row>
    <row r="324" spans="1:16" ht="21.75" customHeight="1">
      <c r="A324" s="16"/>
      <c r="B324" s="30"/>
      <c r="C324" s="31"/>
      <c r="D324" s="10"/>
      <c r="E324" s="10"/>
      <c r="F324" s="32"/>
      <c r="G324" s="15" t="str">
        <f t="shared" si="20"/>
        <v/>
      </c>
      <c r="H324" s="15" t="str">
        <f t="shared" si="21"/>
        <v/>
      </c>
      <c r="I324" s="17" t="str">
        <f t="shared" si="22"/>
        <v/>
      </c>
      <c r="J324" s="15" t="str">
        <f t="shared" si="23"/>
        <v/>
      </c>
      <c r="K324" s="19" t="str">
        <f t="shared" si="24"/>
        <v/>
      </c>
      <c r="L324" s="33"/>
      <c r="M324" s="15" t="str">
        <f>IF(B324="","",SUMIF($B$6:B323,B324,$I$6:I323))</f>
        <v/>
      </c>
      <c r="N324" s="15" t="str">
        <f>IF(B324="","",SUMIF($B$6:B323,B324,$H$6:H323))</f>
        <v/>
      </c>
      <c r="O324" s="15" t="str">
        <f>IF(B324="","",COUNTIFS($B$6:B323,B324,$K$6:K323,"&lt;&gt;已记录"))</f>
        <v/>
      </c>
      <c r="P324" s="34"/>
    </row>
    <row r="325" spans="1:16" ht="21.75" customHeight="1">
      <c r="A325" s="16"/>
      <c r="B325" s="30"/>
      <c r="C325" s="31"/>
      <c r="D325" s="10"/>
      <c r="E325" s="10"/>
      <c r="F325" s="32"/>
      <c r="G325" s="15" t="str">
        <f t="shared" si="20"/>
        <v/>
      </c>
      <c r="H325" s="15" t="str">
        <f t="shared" si="21"/>
        <v/>
      </c>
      <c r="I325" s="17" t="str">
        <f t="shared" si="22"/>
        <v/>
      </c>
      <c r="J325" s="15" t="str">
        <f t="shared" si="23"/>
        <v/>
      </c>
      <c r="K325" s="19" t="str">
        <f t="shared" si="24"/>
        <v/>
      </c>
      <c r="L325" s="33"/>
      <c r="M325" s="15" t="str">
        <f>IF(B325="","",SUMIF($B$6:B324,B325,$I$6:I324))</f>
        <v/>
      </c>
      <c r="N325" s="15" t="str">
        <f>IF(B325="","",SUMIF($B$6:B324,B325,$H$6:H324))</f>
        <v/>
      </c>
      <c r="O325" s="15" t="str">
        <f>IF(B325="","",COUNTIFS($B$6:B324,B325,$K$6:K324,"&lt;&gt;已记录"))</f>
        <v/>
      </c>
      <c r="P325" s="34"/>
    </row>
    <row r="326" spans="1:16" ht="21.75" customHeight="1">
      <c r="A326" s="16"/>
      <c r="B326" s="30"/>
      <c r="C326" s="31"/>
      <c r="D326" s="10"/>
      <c r="E326" s="10"/>
      <c r="F326" s="32"/>
      <c r="G326" s="15" t="str">
        <f t="shared" ref="G326:G389" si="25">IF(OR(B326="",D326="",C326=""),"",IF(C326="买入",-(D326+E326),IF(C326="卖出",D326-E326,"")))</f>
        <v/>
      </c>
      <c r="H326" s="15" t="str">
        <f t="shared" ref="H326:H389" si="26">IF(K326&lt;&gt;"已记录","",IF(C326="买入",D326+E326,-IF(M326=0,0,N326/M326*F326)))</f>
        <v/>
      </c>
      <c r="I326" s="17" t="str">
        <f t="shared" ref="I326:I389" si="27">IF(K326&lt;&gt;"已记录","",IF(C326="买入",F326,-F326))</f>
        <v/>
      </c>
      <c r="J326" s="15" t="str">
        <f t="shared" ref="J326:J389" si="28">IF(K326&lt;&gt;"已记录","",IF(C326="卖出",D326-E326+H326,0))</f>
        <v/>
      </c>
      <c r="K326" s="19" t="str">
        <f t="shared" ref="K326:K389" si="29">IF(B326="","",IF(OR(A326="",D326="",F326="",C326=""),"待补日期／金额／份额",IF(OR(D326&lt;=0,F326&lt;=0,E326&lt;0,AND(C326&lt;&gt;"买入",C326&lt;&gt;"卖出"),AND(C326="卖出",E326&gt;D326)),"请检查输入",IF(O326&gt;0,"待补前序记录",IF(AND(C326="卖出",F326&gt;M326+0.00000001),"卖出超过持仓","已记录")))))</f>
        <v/>
      </c>
      <c r="L326" s="33"/>
      <c r="M326" s="15" t="str">
        <f>IF(B326="","",SUMIF($B$6:B325,B326,$I$6:I325))</f>
        <v/>
      </c>
      <c r="N326" s="15" t="str">
        <f>IF(B326="","",SUMIF($B$6:B325,B326,$H$6:H325))</f>
        <v/>
      </c>
      <c r="O326" s="15" t="str">
        <f>IF(B326="","",COUNTIFS($B$6:B325,B326,$K$6:K325,"&lt;&gt;已记录"))</f>
        <v/>
      </c>
      <c r="P326" s="34"/>
    </row>
    <row r="327" spans="1:16" ht="21.75" customHeight="1">
      <c r="A327" s="16"/>
      <c r="B327" s="30"/>
      <c r="C327" s="31"/>
      <c r="D327" s="10"/>
      <c r="E327" s="10"/>
      <c r="F327" s="32"/>
      <c r="G327" s="15" t="str">
        <f t="shared" si="25"/>
        <v/>
      </c>
      <c r="H327" s="15" t="str">
        <f t="shared" si="26"/>
        <v/>
      </c>
      <c r="I327" s="17" t="str">
        <f t="shared" si="27"/>
        <v/>
      </c>
      <c r="J327" s="15" t="str">
        <f t="shared" si="28"/>
        <v/>
      </c>
      <c r="K327" s="19" t="str">
        <f t="shared" si="29"/>
        <v/>
      </c>
      <c r="L327" s="33"/>
      <c r="M327" s="15" t="str">
        <f>IF(B327="","",SUMIF($B$6:B326,B327,$I$6:I326))</f>
        <v/>
      </c>
      <c r="N327" s="15" t="str">
        <f>IF(B327="","",SUMIF($B$6:B326,B327,$H$6:H326))</f>
        <v/>
      </c>
      <c r="O327" s="15" t="str">
        <f>IF(B327="","",COUNTIFS($B$6:B326,B327,$K$6:K326,"&lt;&gt;已记录"))</f>
        <v/>
      </c>
      <c r="P327" s="34"/>
    </row>
    <row r="328" spans="1:16" ht="21.75" customHeight="1">
      <c r="A328" s="16"/>
      <c r="B328" s="30"/>
      <c r="C328" s="31"/>
      <c r="D328" s="10"/>
      <c r="E328" s="10"/>
      <c r="F328" s="32"/>
      <c r="G328" s="15" t="str">
        <f t="shared" si="25"/>
        <v/>
      </c>
      <c r="H328" s="15" t="str">
        <f t="shared" si="26"/>
        <v/>
      </c>
      <c r="I328" s="17" t="str">
        <f t="shared" si="27"/>
        <v/>
      </c>
      <c r="J328" s="15" t="str">
        <f t="shared" si="28"/>
        <v/>
      </c>
      <c r="K328" s="19" t="str">
        <f t="shared" si="29"/>
        <v/>
      </c>
      <c r="L328" s="33"/>
      <c r="M328" s="15" t="str">
        <f>IF(B328="","",SUMIF($B$6:B327,B328,$I$6:I327))</f>
        <v/>
      </c>
      <c r="N328" s="15" t="str">
        <f>IF(B328="","",SUMIF($B$6:B327,B328,$H$6:H327))</f>
        <v/>
      </c>
      <c r="O328" s="15" t="str">
        <f>IF(B328="","",COUNTIFS($B$6:B327,B328,$K$6:K327,"&lt;&gt;已记录"))</f>
        <v/>
      </c>
      <c r="P328" s="34"/>
    </row>
    <row r="329" spans="1:16" ht="21.75" customHeight="1">
      <c r="A329" s="16"/>
      <c r="B329" s="30"/>
      <c r="C329" s="31"/>
      <c r="D329" s="10"/>
      <c r="E329" s="10"/>
      <c r="F329" s="32"/>
      <c r="G329" s="15" t="str">
        <f t="shared" si="25"/>
        <v/>
      </c>
      <c r="H329" s="15" t="str">
        <f t="shared" si="26"/>
        <v/>
      </c>
      <c r="I329" s="17" t="str">
        <f t="shared" si="27"/>
        <v/>
      </c>
      <c r="J329" s="15" t="str">
        <f t="shared" si="28"/>
        <v/>
      </c>
      <c r="K329" s="19" t="str">
        <f t="shared" si="29"/>
        <v/>
      </c>
      <c r="L329" s="33"/>
      <c r="M329" s="15" t="str">
        <f>IF(B329="","",SUMIF($B$6:B328,B329,$I$6:I328))</f>
        <v/>
      </c>
      <c r="N329" s="15" t="str">
        <f>IF(B329="","",SUMIF($B$6:B328,B329,$H$6:H328))</f>
        <v/>
      </c>
      <c r="O329" s="15" t="str">
        <f>IF(B329="","",COUNTIFS($B$6:B328,B329,$K$6:K328,"&lt;&gt;已记录"))</f>
        <v/>
      </c>
      <c r="P329" s="34"/>
    </row>
    <row r="330" spans="1:16" ht="21.75" customHeight="1">
      <c r="A330" s="16"/>
      <c r="B330" s="30"/>
      <c r="C330" s="31"/>
      <c r="D330" s="10"/>
      <c r="E330" s="10"/>
      <c r="F330" s="32"/>
      <c r="G330" s="15" t="str">
        <f t="shared" si="25"/>
        <v/>
      </c>
      <c r="H330" s="15" t="str">
        <f t="shared" si="26"/>
        <v/>
      </c>
      <c r="I330" s="17" t="str">
        <f t="shared" si="27"/>
        <v/>
      </c>
      <c r="J330" s="15" t="str">
        <f t="shared" si="28"/>
        <v/>
      </c>
      <c r="K330" s="19" t="str">
        <f t="shared" si="29"/>
        <v/>
      </c>
      <c r="L330" s="33"/>
      <c r="M330" s="15" t="str">
        <f>IF(B330="","",SUMIF($B$6:B329,B330,$I$6:I329))</f>
        <v/>
      </c>
      <c r="N330" s="15" t="str">
        <f>IF(B330="","",SUMIF($B$6:B329,B330,$H$6:H329))</f>
        <v/>
      </c>
      <c r="O330" s="15" t="str">
        <f>IF(B330="","",COUNTIFS($B$6:B329,B330,$K$6:K329,"&lt;&gt;已记录"))</f>
        <v/>
      </c>
      <c r="P330" s="34"/>
    </row>
    <row r="331" spans="1:16" ht="21.75" customHeight="1">
      <c r="A331" s="16"/>
      <c r="B331" s="30"/>
      <c r="C331" s="31"/>
      <c r="D331" s="10"/>
      <c r="E331" s="10"/>
      <c r="F331" s="32"/>
      <c r="G331" s="15" t="str">
        <f t="shared" si="25"/>
        <v/>
      </c>
      <c r="H331" s="15" t="str">
        <f t="shared" si="26"/>
        <v/>
      </c>
      <c r="I331" s="17" t="str">
        <f t="shared" si="27"/>
        <v/>
      </c>
      <c r="J331" s="15" t="str">
        <f t="shared" si="28"/>
        <v/>
      </c>
      <c r="K331" s="19" t="str">
        <f t="shared" si="29"/>
        <v/>
      </c>
      <c r="L331" s="33"/>
      <c r="M331" s="15" t="str">
        <f>IF(B331="","",SUMIF($B$6:B330,B331,$I$6:I330))</f>
        <v/>
      </c>
      <c r="N331" s="15" t="str">
        <f>IF(B331="","",SUMIF($B$6:B330,B331,$H$6:H330))</f>
        <v/>
      </c>
      <c r="O331" s="15" t="str">
        <f>IF(B331="","",COUNTIFS($B$6:B330,B331,$K$6:K330,"&lt;&gt;已记录"))</f>
        <v/>
      </c>
      <c r="P331" s="34"/>
    </row>
    <row r="332" spans="1:16" ht="21.75" customHeight="1">
      <c r="A332" s="16"/>
      <c r="B332" s="30"/>
      <c r="C332" s="31"/>
      <c r="D332" s="10"/>
      <c r="E332" s="10"/>
      <c r="F332" s="32"/>
      <c r="G332" s="15" t="str">
        <f t="shared" si="25"/>
        <v/>
      </c>
      <c r="H332" s="15" t="str">
        <f t="shared" si="26"/>
        <v/>
      </c>
      <c r="I332" s="17" t="str">
        <f t="shared" si="27"/>
        <v/>
      </c>
      <c r="J332" s="15" t="str">
        <f t="shared" si="28"/>
        <v/>
      </c>
      <c r="K332" s="19" t="str">
        <f t="shared" si="29"/>
        <v/>
      </c>
      <c r="L332" s="33"/>
      <c r="M332" s="15" t="str">
        <f>IF(B332="","",SUMIF($B$6:B331,B332,$I$6:I331))</f>
        <v/>
      </c>
      <c r="N332" s="15" t="str">
        <f>IF(B332="","",SUMIF($B$6:B331,B332,$H$6:H331))</f>
        <v/>
      </c>
      <c r="O332" s="15" t="str">
        <f>IF(B332="","",COUNTIFS($B$6:B331,B332,$K$6:K331,"&lt;&gt;已记录"))</f>
        <v/>
      </c>
      <c r="P332" s="34"/>
    </row>
    <row r="333" spans="1:16" ht="21.75" customHeight="1">
      <c r="A333" s="16"/>
      <c r="B333" s="30"/>
      <c r="C333" s="31"/>
      <c r="D333" s="10"/>
      <c r="E333" s="10"/>
      <c r="F333" s="32"/>
      <c r="G333" s="15" t="str">
        <f t="shared" si="25"/>
        <v/>
      </c>
      <c r="H333" s="15" t="str">
        <f t="shared" si="26"/>
        <v/>
      </c>
      <c r="I333" s="17" t="str">
        <f t="shared" si="27"/>
        <v/>
      </c>
      <c r="J333" s="15" t="str">
        <f t="shared" si="28"/>
        <v/>
      </c>
      <c r="K333" s="19" t="str">
        <f t="shared" si="29"/>
        <v/>
      </c>
      <c r="L333" s="33"/>
      <c r="M333" s="15" t="str">
        <f>IF(B333="","",SUMIF($B$6:B332,B333,$I$6:I332))</f>
        <v/>
      </c>
      <c r="N333" s="15" t="str">
        <f>IF(B333="","",SUMIF($B$6:B332,B333,$H$6:H332))</f>
        <v/>
      </c>
      <c r="O333" s="15" t="str">
        <f>IF(B333="","",COUNTIFS($B$6:B332,B333,$K$6:K332,"&lt;&gt;已记录"))</f>
        <v/>
      </c>
      <c r="P333" s="34"/>
    </row>
    <row r="334" spans="1:16" ht="21.75" customHeight="1">
      <c r="A334" s="16"/>
      <c r="B334" s="30"/>
      <c r="C334" s="31"/>
      <c r="D334" s="10"/>
      <c r="E334" s="10"/>
      <c r="F334" s="32"/>
      <c r="G334" s="15" t="str">
        <f t="shared" si="25"/>
        <v/>
      </c>
      <c r="H334" s="15" t="str">
        <f t="shared" si="26"/>
        <v/>
      </c>
      <c r="I334" s="17" t="str">
        <f t="shared" si="27"/>
        <v/>
      </c>
      <c r="J334" s="15" t="str">
        <f t="shared" si="28"/>
        <v/>
      </c>
      <c r="K334" s="19" t="str">
        <f t="shared" si="29"/>
        <v/>
      </c>
      <c r="L334" s="33"/>
      <c r="M334" s="15" t="str">
        <f>IF(B334="","",SUMIF($B$6:B333,B334,$I$6:I333))</f>
        <v/>
      </c>
      <c r="N334" s="15" t="str">
        <f>IF(B334="","",SUMIF($B$6:B333,B334,$H$6:H333))</f>
        <v/>
      </c>
      <c r="O334" s="15" t="str">
        <f>IF(B334="","",COUNTIFS($B$6:B333,B334,$K$6:K333,"&lt;&gt;已记录"))</f>
        <v/>
      </c>
      <c r="P334" s="34"/>
    </row>
    <row r="335" spans="1:16" ht="21.75" customHeight="1">
      <c r="A335" s="16"/>
      <c r="B335" s="30"/>
      <c r="C335" s="31"/>
      <c r="D335" s="10"/>
      <c r="E335" s="10"/>
      <c r="F335" s="32"/>
      <c r="G335" s="15" t="str">
        <f t="shared" si="25"/>
        <v/>
      </c>
      <c r="H335" s="15" t="str">
        <f t="shared" si="26"/>
        <v/>
      </c>
      <c r="I335" s="17" t="str">
        <f t="shared" si="27"/>
        <v/>
      </c>
      <c r="J335" s="15" t="str">
        <f t="shared" si="28"/>
        <v/>
      </c>
      <c r="K335" s="19" t="str">
        <f t="shared" si="29"/>
        <v/>
      </c>
      <c r="L335" s="33"/>
      <c r="M335" s="15" t="str">
        <f>IF(B335="","",SUMIF($B$6:B334,B335,$I$6:I334))</f>
        <v/>
      </c>
      <c r="N335" s="15" t="str">
        <f>IF(B335="","",SUMIF($B$6:B334,B335,$H$6:H334))</f>
        <v/>
      </c>
      <c r="O335" s="15" t="str">
        <f>IF(B335="","",COUNTIFS($B$6:B334,B335,$K$6:K334,"&lt;&gt;已记录"))</f>
        <v/>
      </c>
      <c r="P335" s="34"/>
    </row>
    <row r="336" spans="1:16" ht="21.75" customHeight="1">
      <c r="A336" s="16"/>
      <c r="B336" s="30"/>
      <c r="C336" s="31"/>
      <c r="D336" s="10"/>
      <c r="E336" s="10"/>
      <c r="F336" s="32"/>
      <c r="G336" s="15" t="str">
        <f t="shared" si="25"/>
        <v/>
      </c>
      <c r="H336" s="15" t="str">
        <f t="shared" si="26"/>
        <v/>
      </c>
      <c r="I336" s="17" t="str">
        <f t="shared" si="27"/>
        <v/>
      </c>
      <c r="J336" s="15" t="str">
        <f t="shared" si="28"/>
        <v/>
      </c>
      <c r="K336" s="19" t="str">
        <f t="shared" si="29"/>
        <v/>
      </c>
      <c r="L336" s="33"/>
      <c r="M336" s="15" t="str">
        <f>IF(B336="","",SUMIF($B$6:B335,B336,$I$6:I335))</f>
        <v/>
      </c>
      <c r="N336" s="15" t="str">
        <f>IF(B336="","",SUMIF($B$6:B335,B336,$H$6:H335))</f>
        <v/>
      </c>
      <c r="O336" s="15" t="str">
        <f>IF(B336="","",COUNTIFS($B$6:B335,B336,$K$6:K335,"&lt;&gt;已记录"))</f>
        <v/>
      </c>
      <c r="P336" s="34"/>
    </row>
    <row r="337" spans="1:16" ht="21.75" customHeight="1">
      <c r="A337" s="16"/>
      <c r="B337" s="30"/>
      <c r="C337" s="31"/>
      <c r="D337" s="10"/>
      <c r="E337" s="10"/>
      <c r="F337" s="32"/>
      <c r="G337" s="15" t="str">
        <f t="shared" si="25"/>
        <v/>
      </c>
      <c r="H337" s="15" t="str">
        <f t="shared" si="26"/>
        <v/>
      </c>
      <c r="I337" s="17" t="str">
        <f t="shared" si="27"/>
        <v/>
      </c>
      <c r="J337" s="15" t="str">
        <f t="shared" si="28"/>
        <v/>
      </c>
      <c r="K337" s="19" t="str">
        <f t="shared" si="29"/>
        <v/>
      </c>
      <c r="L337" s="33"/>
      <c r="M337" s="15" t="str">
        <f>IF(B337="","",SUMIF($B$6:B336,B337,$I$6:I336))</f>
        <v/>
      </c>
      <c r="N337" s="15" t="str">
        <f>IF(B337="","",SUMIF($B$6:B336,B337,$H$6:H336))</f>
        <v/>
      </c>
      <c r="O337" s="15" t="str">
        <f>IF(B337="","",COUNTIFS($B$6:B336,B337,$K$6:K336,"&lt;&gt;已记录"))</f>
        <v/>
      </c>
      <c r="P337" s="34"/>
    </row>
    <row r="338" spans="1:16" ht="21.75" customHeight="1">
      <c r="A338" s="16"/>
      <c r="B338" s="30"/>
      <c r="C338" s="31"/>
      <c r="D338" s="10"/>
      <c r="E338" s="10"/>
      <c r="F338" s="32"/>
      <c r="G338" s="15" t="str">
        <f t="shared" si="25"/>
        <v/>
      </c>
      <c r="H338" s="15" t="str">
        <f t="shared" si="26"/>
        <v/>
      </c>
      <c r="I338" s="17" t="str">
        <f t="shared" si="27"/>
        <v/>
      </c>
      <c r="J338" s="15" t="str">
        <f t="shared" si="28"/>
        <v/>
      </c>
      <c r="K338" s="19" t="str">
        <f t="shared" si="29"/>
        <v/>
      </c>
      <c r="L338" s="33"/>
      <c r="M338" s="15" t="str">
        <f>IF(B338="","",SUMIF($B$6:B337,B338,$I$6:I337))</f>
        <v/>
      </c>
      <c r="N338" s="15" t="str">
        <f>IF(B338="","",SUMIF($B$6:B337,B338,$H$6:H337))</f>
        <v/>
      </c>
      <c r="O338" s="15" t="str">
        <f>IF(B338="","",COUNTIFS($B$6:B337,B338,$K$6:K337,"&lt;&gt;已记录"))</f>
        <v/>
      </c>
      <c r="P338" s="34"/>
    </row>
    <row r="339" spans="1:16" ht="21.75" customHeight="1">
      <c r="A339" s="16"/>
      <c r="B339" s="30"/>
      <c r="C339" s="31"/>
      <c r="D339" s="10"/>
      <c r="E339" s="10"/>
      <c r="F339" s="32"/>
      <c r="G339" s="15" t="str">
        <f t="shared" si="25"/>
        <v/>
      </c>
      <c r="H339" s="15" t="str">
        <f t="shared" si="26"/>
        <v/>
      </c>
      <c r="I339" s="17" t="str">
        <f t="shared" si="27"/>
        <v/>
      </c>
      <c r="J339" s="15" t="str">
        <f t="shared" si="28"/>
        <v/>
      </c>
      <c r="K339" s="19" t="str">
        <f t="shared" si="29"/>
        <v/>
      </c>
      <c r="L339" s="33"/>
      <c r="M339" s="15" t="str">
        <f>IF(B339="","",SUMIF($B$6:B338,B339,$I$6:I338))</f>
        <v/>
      </c>
      <c r="N339" s="15" t="str">
        <f>IF(B339="","",SUMIF($B$6:B338,B339,$H$6:H338))</f>
        <v/>
      </c>
      <c r="O339" s="15" t="str">
        <f>IF(B339="","",COUNTIFS($B$6:B338,B339,$K$6:K338,"&lt;&gt;已记录"))</f>
        <v/>
      </c>
      <c r="P339" s="34"/>
    </row>
    <row r="340" spans="1:16" ht="21.75" customHeight="1">
      <c r="A340" s="16"/>
      <c r="B340" s="30"/>
      <c r="C340" s="31"/>
      <c r="D340" s="10"/>
      <c r="E340" s="10"/>
      <c r="F340" s="32"/>
      <c r="G340" s="15" t="str">
        <f t="shared" si="25"/>
        <v/>
      </c>
      <c r="H340" s="15" t="str">
        <f t="shared" si="26"/>
        <v/>
      </c>
      <c r="I340" s="17" t="str">
        <f t="shared" si="27"/>
        <v/>
      </c>
      <c r="J340" s="15" t="str">
        <f t="shared" si="28"/>
        <v/>
      </c>
      <c r="K340" s="19" t="str">
        <f t="shared" si="29"/>
        <v/>
      </c>
      <c r="L340" s="33"/>
      <c r="M340" s="15" t="str">
        <f>IF(B340="","",SUMIF($B$6:B339,B340,$I$6:I339))</f>
        <v/>
      </c>
      <c r="N340" s="15" t="str">
        <f>IF(B340="","",SUMIF($B$6:B339,B340,$H$6:H339))</f>
        <v/>
      </c>
      <c r="O340" s="15" t="str">
        <f>IF(B340="","",COUNTIFS($B$6:B339,B340,$K$6:K339,"&lt;&gt;已记录"))</f>
        <v/>
      </c>
      <c r="P340" s="34"/>
    </row>
    <row r="341" spans="1:16" ht="21.75" customHeight="1">
      <c r="A341" s="16"/>
      <c r="B341" s="30"/>
      <c r="C341" s="31"/>
      <c r="D341" s="10"/>
      <c r="E341" s="10"/>
      <c r="F341" s="32"/>
      <c r="G341" s="15" t="str">
        <f t="shared" si="25"/>
        <v/>
      </c>
      <c r="H341" s="15" t="str">
        <f t="shared" si="26"/>
        <v/>
      </c>
      <c r="I341" s="17" t="str">
        <f t="shared" si="27"/>
        <v/>
      </c>
      <c r="J341" s="15" t="str">
        <f t="shared" si="28"/>
        <v/>
      </c>
      <c r="K341" s="19" t="str">
        <f t="shared" si="29"/>
        <v/>
      </c>
      <c r="L341" s="33"/>
      <c r="M341" s="15" t="str">
        <f>IF(B341="","",SUMIF($B$6:B340,B341,$I$6:I340))</f>
        <v/>
      </c>
      <c r="N341" s="15" t="str">
        <f>IF(B341="","",SUMIF($B$6:B340,B341,$H$6:H340))</f>
        <v/>
      </c>
      <c r="O341" s="15" t="str">
        <f>IF(B341="","",COUNTIFS($B$6:B340,B341,$K$6:K340,"&lt;&gt;已记录"))</f>
        <v/>
      </c>
      <c r="P341" s="34"/>
    </row>
    <row r="342" spans="1:16" ht="21.75" customHeight="1">
      <c r="A342" s="16"/>
      <c r="B342" s="30"/>
      <c r="C342" s="31"/>
      <c r="D342" s="10"/>
      <c r="E342" s="10"/>
      <c r="F342" s="32"/>
      <c r="G342" s="15" t="str">
        <f t="shared" si="25"/>
        <v/>
      </c>
      <c r="H342" s="15" t="str">
        <f t="shared" si="26"/>
        <v/>
      </c>
      <c r="I342" s="17" t="str">
        <f t="shared" si="27"/>
        <v/>
      </c>
      <c r="J342" s="15" t="str">
        <f t="shared" si="28"/>
        <v/>
      </c>
      <c r="K342" s="19" t="str">
        <f t="shared" si="29"/>
        <v/>
      </c>
      <c r="L342" s="33"/>
      <c r="M342" s="15" t="str">
        <f>IF(B342="","",SUMIF($B$6:B341,B342,$I$6:I341))</f>
        <v/>
      </c>
      <c r="N342" s="15" t="str">
        <f>IF(B342="","",SUMIF($B$6:B341,B342,$H$6:H341))</f>
        <v/>
      </c>
      <c r="O342" s="15" t="str">
        <f>IF(B342="","",COUNTIFS($B$6:B341,B342,$K$6:K341,"&lt;&gt;已记录"))</f>
        <v/>
      </c>
      <c r="P342" s="34"/>
    </row>
    <row r="343" spans="1:16" ht="21.75" customHeight="1">
      <c r="A343" s="16"/>
      <c r="B343" s="30"/>
      <c r="C343" s="31"/>
      <c r="D343" s="10"/>
      <c r="E343" s="10"/>
      <c r="F343" s="32"/>
      <c r="G343" s="15" t="str">
        <f t="shared" si="25"/>
        <v/>
      </c>
      <c r="H343" s="15" t="str">
        <f t="shared" si="26"/>
        <v/>
      </c>
      <c r="I343" s="17" t="str">
        <f t="shared" si="27"/>
        <v/>
      </c>
      <c r="J343" s="15" t="str">
        <f t="shared" si="28"/>
        <v/>
      </c>
      <c r="K343" s="19" t="str">
        <f t="shared" si="29"/>
        <v/>
      </c>
      <c r="L343" s="33"/>
      <c r="M343" s="15" t="str">
        <f>IF(B343="","",SUMIF($B$6:B342,B343,$I$6:I342))</f>
        <v/>
      </c>
      <c r="N343" s="15" t="str">
        <f>IF(B343="","",SUMIF($B$6:B342,B343,$H$6:H342))</f>
        <v/>
      </c>
      <c r="O343" s="15" t="str">
        <f>IF(B343="","",COUNTIFS($B$6:B342,B343,$K$6:K342,"&lt;&gt;已记录"))</f>
        <v/>
      </c>
      <c r="P343" s="34"/>
    </row>
    <row r="344" spans="1:16" ht="21.75" customHeight="1">
      <c r="A344" s="16"/>
      <c r="B344" s="30"/>
      <c r="C344" s="31"/>
      <c r="D344" s="10"/>
      <c r="E344" s="10"/>
      <c r="F344" s="32"/>
      <c r="G344" s="15" t="str">
        <f t="shared" si="25"/>
        <v/>
      </c>
      <c r="H344" s="15" t="str">
        <f t="shared" si="26"/>
        <v/>
      </c>
      <c r="I344" s="17" t="str">
        <f t="shared" si="27"/>
        <v/>
      </c>
      <c r="J344" s="15" t="str">
        <f t="shared" si="28"/>
        <v/>
      </c>
      <c r="K344" s="19" t="str">
        <f t="shared" si="29"/>
        <v/>
      </c>
      <c r="L344" s="33"/>
      <c r="M344" s="15" t="str">
        <f>IF(B344="","",SUMIF($B$6:B343,B344,$I$6:I343))</f>
        <v/>
      </c>
      <c r="N344" s="15" t="str">
        <f>IF(B344="","",SUMIF($B$6:B343,B344,$H$6:H343))</f>
        <v/>
      </c>
      <c r="O344" s="15" t="str">
        <f>IF(B344="","",COUNTIFS($B$6:B343,B344,$K$6:K343,"&lt;&gt;已记录"))</f>
        <v/>
      </c>
      <c r="P344" s="34"/>
    </row>
    <row r="345" spans="1:16" ht="21.75" customHeight="1">
      <c r="A345" s="16"/>
      <c r="B345" s="30"/>
      <c r="C345" s="31"/>
      <c r="D345" s="10"/>
      <c r="E345" s="10"/>
      <c r="F345" s="32"/>
      <c r="G345" s="15" t="str">
        <f t="shared" si="25"/>
        <v/>
      </c>
      <c r="H345" s="15" t="str">
        <f t="shared" si="26"/>
        <v/>
      </c>
      <c r="I345" s="17" t="str">
        <f t="shared" si="27"/>
        <v/>
      </c>
      <c r="J345" s="15" t="str">
        <f t="shared" si="28"/>
        <v/>
      </c>
      <c r="K345" s="19" t="str">
        <f t="shared" si="29"/>
        <v/>
      </c>
      <c r="L345" s="33"/>
      <c r="M345" s="15" t="str">
        <f>IF(B345="","",SUMIF($B$6:B344,B345,$I$6:I344))</f>
        <v/>
      </c>
      <c r="N345" s="15" t="str">
        <f>IF(B345="","",SUMIF($B$6:B344,B345,$H$6:H344))</f>
        <v/>
      </c>
      <c r="O345" s="15" t="str">
        <f>IF(B345="","",COUNTIFS($B$6:B344,B345,$K$6:K344,"&lt;&gt;已记录"))</f>
        <v/>
      </c>
      <c r="P345" s="34"/>
    </row>
    <row r="346" spans="1:16" ht="21.75" customHeight="1">
      <c r="A346" s="16"/>
      <c r="B346" s="30"/>
      <c r="C346" s="31"/>
      <c r="D346" s="10"/>
      <c r="E346" s="10"/>
      <c r="F346" s="32"/>
      <c r="G346" s="15" t="str">
        <f t="shared" si="25"/>
        <v/>
      </c>
      <c r="H346" s="15" t="str">
        <f t="shared" si="26"/>
        <v/>
      </c>
      <c r="I346" s="17" t="str">
        <f t="shared" si="27"/>
        <v/>
      </c>
      <c r="J346" s="15" t="str">
        <f t="shared" si="28"/>
        <v/>
      </c>
      <c r="K346" s="19" t="str">
        <f t="shared" si="29"/>
        <v/>
      </c>
      <c r="L346" s="33"/>
      <c r="M346" s="15" t="str">
        <f>IF(B346="","",SUMIF($B$6:B345,B346,$I$6:I345))</f>
        <v/>
      </c>
      <c r="N346" s="15" t="str">
        <f>IF(B346="","",SUMIF($B$6:B345,B346,$H$6:H345))</f>
        <v/>
      </c>
      <c r="O346" s="15" t="str">
        <f>IF(B346="","",COUNTIFS($B$6:B345,B346,$K$6:K345,"&lt;&gt;已记录"))</f>
        <v/>
      </c>
      <c r="P346" s="34"/>
    </row>
    <row r="347" spans="1:16" ht="21.75" customHeight="1">
      <c r="A347" s="16"/>
      <c r="B347" s="30"/>
      <c r="C347" s="31"/>
      <c r="D347" s="10"/>
      <c r="E347" s="10"/>
      <c r="F347" s="32"/>
      <c r="G347" s="15" t="str">
        <f t="shared" si="25"/>
        <v/>
      </c>
      <c r="H347" s="15" t="str">
        <f t="shared" si="26"/>
        <v/>
      </c>
      <c r="I347" s="17" t="str">
        <f t="shared" si="27"/>
        <v/>
      </c>
      <c r="J347" s="15" t="str">
        <f t="shared" si="28"/>
        <v/>
      </c>
      <c r="K347" s="19" t="str">
        <f t="shared" si="29"/>
        <v/>
      </c>
      <c r="L347" s="33"/>
      <c r="M347" s="15" t="str">
        <f>IF(B347="","",SUMIF($B$6:B346,B347,$I$6:I346))</f>
        <v/>
      </c>
      <c r="N347" s="15" t="str">
        <f>IF(B347="","",SUMIF($B$6:B346,B347,$H$6:H346))</f>
        <v/>
      </c>
      <c r="O347" s="15" t="str">
        <f>IF(B347="","",COUNTIFS($B$6:B346,B347,$K$6:K346,"&lt;&gt;已记录"))</f>
        <v/>
      </c>
      <c r="P347" s="34"/>
    </row>
    <row r="348" spans="1:16" ht="21.75" customHeight="1">
      <c r="A348" s="16"/>
      <c r="B348" s="30"/>
      <c r="C348" s="31"/>
      <c r="D348" s="10"/>
      <c r="E348" s="10"/>
      <c r="F348" s="32"/>
      <c r="G348" s="15" t="str">
        <f t="shared" si="25"/>
        <v/>
      </c>
      <c r="H348" s="15" t="str">
        <f t="shared" si="26"/>
        <v/>
      </c>
      <c r="I348" s="17" t="str">
        <f t="shared" si="27"/>
        <v/>
      </c>
      <c r="J348" s="15" t="str">
        <f t="shared" si="28"/>
        <v/>
      </c>
      <c r="K348" s="19" t="str">
        <f t="shared" si="29"/>
        <v/>
      </c>
      <c r="L348" s="33"/>
      <c r="M348" s="15" t="str">
        <f>IF(B348="","",SUMIF($B$6:B347,B348,$I$6:I347))</f>
        <v/>
      </c>
      <c r="N348" s="15" t="str">
        <f>IF(B348="","",SUMIF($B$6:B347,B348,$H$6:H347))</f>
        <v/>
      </c>
      <c r="O348" s="15" t="str">
        <f>IF(B348="","",COUNTIFS($B$6:B347,B348,$K$6:K347,"&lt;&gt;已记录"))</f>
        <v/>
      </c>
      <c r="P348" s="34"/>
    </row>
    <row r="349" spans="1:16" ht="21.75" customHeight="1">
      <c r="A349" s="16"/>
      <c r="B349" s="30"/>
      <c r="C349" s="31"/>
      <c r="D349" s="10"/>
      <c r="E349" s="10"/>
      <c r="F349" s="32"/>
      <c r="G349" s="15" t="str">
        <f t="shared" si="25"/>
        <v/>
      </c>
      <c r="H349" s="15" t="str">
        <f t="shared" si="26"/>
        <v/>
      </c>
      <c r="I349" s="17" t="str">
        <f t="shared" si="27"/>
        <v/>
      </c>
      <c r="J349" s="15" t="str">
        <f t="shared" si="28"/>
        <v/>
      </c>
      <c r="K349" s="19" t="str">
        <f t="shared" si="29"/>
        <v/>
      </c>
      <c r="L349" s="33"/>
      <c r="M349" s="15" t="str">
        <f>IF(B349="","",SUMIF($B$6:B348,B349,$I$6:I348))</f>
        <v/>
      </c>
      <c r="N349" s="15" t="str">
        <f>IF(B349="","",SUMIF($B$6:B348,B349,$H$6:H348))</f>
        <v/>
      </c>
      <c r="O349" s="15" t="str">
        <f>IF(B349="","",COUNTIFS($B$6:B348,B349,$K$6:K348,"&lt;&gt;已记录"))</f>
        <v/>
      </c>
      <c r="P349" s="34"/>
    </row>
    <row r="350" spans="1:16" ht="21.75" customHeight="1">
      <c r="A350" s="16"/>
      <c r="B350" s="30"/>
      <c r="C350" s="31"/>
      <c r="D350" s="10"/>
      <c r="E350" s="10"/>
      <c r="F350" s="32"/>
      <c r="G350" s="15" t="str">
        <f t="shared" si="25"/>
        <v/>
      </c>
      <c r="H350" s="15" t="str">
        <f t="shared" si="26"/>
        <v/>
      </c>
      <c r="I350" s="17" t="str">
        <f t="shared" si="27"/>
        <v/>
      </c>
      <c r="J350" s="15" t="str">
        <f t="shared" si="28"/>
        <v/>
      </c>
      <c r="K350" s="19" t="str">
        <f t="shared" si="29"/>
        <v/>
      </c>
      <c r="L350" s="33"/>
      <c r="M350" s="15" t="str">
        <f>IF(B350="","",SUMIF($B$6:B349,B350,$I$6:I349))</f>
        <v/>
      </c>
      <c r="N350" s="15" t="str">
        <f>IF(B350="","",SUMIF($B$6:B349,B350,$H$6:H349))</f>
        <v/>
      </c>
      <c r="O350" s="15" t="str">
        <f>IF(B350="","",COUNTIFS($B$6:B349,B350,$K$6:K349,"&lt;&gt;已记录"))</f>
        <v/>
      </c>
      <c r="P350" s="34"/>
    </row>
    <row r="351" spans="1:16" ht="21.75" customHeight="1">
      <c r="A351" s="16"/>
      <c r="B351" s="30"/>
      <c r="C351" s="31"/>
      <c r="D351" s="10"/>
      <c r="E351" s="10"/>
      <c r="F351" s="32"/>
      <c r="G351" s="15" t="str">
        <f t="shared" si="25"/>
        <v/>
      </c>
      <c r="H351" s="15" t="str">
        <f t="shared" si="26"/>
        <v/>
      </c>
      <c r="I351" s="17" t="str">
        <f t="shared" si="27"/>
        <v/>
      </c>
      <c r="J351" s="15" t="str">
        <f t="shared" si="28"/>
        <v/>
      </c>
      <c r="K351" s="19" t="str">
        <f t="shared" si="29"/>
        <v/>
      </c>
      <c r="L351" s="33"/>
      <c r="M351" s="15" t="str">
        <f>IF(B351="","",SUMIF($B$6:B350,B351,$I$6:I350))</f>
        <v/>
      </c>
      <c r="N351" s="15" t="str">
        <f>IF(B351="","",SUMIF($B$6:B350,B351,$H$6:H350))</f>
        <v/>
      </c>
      <c r="O351" s="15" t="str">
        <f>IF(B351="","",COUNTIFS($B$6:B350,B351,$K$6:K350,"&lt;&gt;已记录"))</f>
        <v/>
      </c>
      <c r="P351" s="34"/>
    </row>
    <row r="352" spans="1:16" ht="21.75" customHeight="1">
      <c r="A352" s="16"/>
      <c r="B352" s="30"/>
      <c r="C352" s="31"/>
      <c r="D352" s="10"/>
      <c r="E352" s="10"/>
      <c r="F352" s="32"/>
      <c r="G352" s="15" t="str">
        <f t="shared" si="25"/>
        <v/>
      </c>
      <c r="H352" s="15" t="str">
        <f t="shared" si="26"/>
        <v/>
      </c>
      <c r="I352" s="17" t="str">
        <f t="shared" si="27"/>
        <v/>
      </c>
      <c r="J352" s="15" t="str">
        <f t="shared" si="28"/>
        <v/>
      </c>
      <c r="K352" s="19" t="str">
        <f t="shared" si="29"/>
        <v/>
      </c>
      <c r="L352" s="33"/>
      <c r="M352" s="15" t="str">
        <f>IF(B352="","",SUMIF($B$6:B351,B352,$I$6:I351))</f>
        <v/>
      </c>
      <c r="N352" s="15" t="str">
        <f>IF(B352="","",SUMIF($B$6:B351,B352,$H$6:H351))</f>
        <v/>
      </c>
      <c r="O352" s="15" t="str">
        <f>IF(B352="","",COUNTIFS($B$6:B351,B352,$K$6:K351,"&lt;&gt;已记录"))</f>
        <v/>
      </c>
      <c r="P352" s="34"/>
    </row>
    <row r="353" spans="1:16" ht="21.75" customHeight="1">
      <c r="A353" s="16"/>
      <c r="B353" s="30"/>
      <c r="C353" s="31"/>
      <c r="D353" s="10"/>
      <c r="E353" s="10"/>
      <c r="F353" s="32"/>
      <c r="G353" s="15" t="str">
        <f t="shared" si="25"/>
        <v/>
      </c>
      <c r="H353" s="15" t="str">
        <f t="shared" si="26"/>
        <v/>
      </c>
      <c r="I353" s="17" t="str">
        <f t="shared" si="27"/>
        <v/>
      </c>
      <c r="J353" s="15" t="str">
        <f t="shared" si="28"/>
        <v/>
      </c>
      <c r="K353" s="19" t="str">
        <f t="shared" si="29"/>
        <v/>
      </c>
      <c r="L353" s="33"/>
      <c r="M353" s="15" t="str">
        <f>IF(B353="","",SUMIF($B$6:B352,B353,$I$6:I352))</f>
        <v/>
      </c>
      <c r="N353" s="15" t="str">
        <f>IF(B353="","",SUMIF($B$6:B352,B353,$H$6:H352))</f>
        <v/>
      </c>
      <c r="O353" s="15" t="str">
        <f>IF(B353="","",COUNTIFS($B$6:B352,B353,$K$6:K352,"&lt;&gt;已记录"))</f>
        <v/>
      </c>
      <c r="P353" s="34"/>
    </row>
    <row r="354" spans="1:16" ht="21.75" customHeight="1">
      <c r="A354" s="16"/>
      <c r="B354" s="30"/>
      <c r="C354" s="31"/>
      <c r="D354" s="10"/>
      <c r="E354" s="10"/>
      <c r="F354" s="32"/>
      <c r="G354" s="15" t="str">
        <f t="shared" si="25"/>
        <v/>
      </c>
      <c r="H354" s="15" t="str">
        <f t="shared" si="26"/>
        <v/>
      </c>
      <c r="I354" s="17" t="str">
        <f t="shared" si="27"/>
        <v/>
      </c>
      <c r="J354" s="15" t="str">
        <f t="shared" si="28"/>
        <v/>
      </c>
      <c r="K354" s="19" t="str">
        <f t="shared" si="29"/>
        <v/>
      </c>
      <c r="L354" s="33"/>
      <c r="M354" s="15" t="str">
        <f>IF(B354="","",SUMIF($B$6:B353,B354,$I$6:I353))</f>
        <v/>
      </c>
      <c r="N354" s="15" t="str">
        <f>IF(B354="","",SUMIF($B$6:B353,B354,$H$6:H353))</f>
        <v/>
      </c>
      <c r="O354" s="15" t="str">
        <f>IF(B354="","",COUNTIFS($B$6:B353,B354,$K$6:K353,"&lt;&gt;已记录"))</f>
        <v/>
      </c>
      <c r="P354" s="34"/>
    </row>
    <row r="355" spans="1:16" ht="21.75" customHeight="1">
      <c r="A355" s="16"/>
      <c r="B355" s="30"/>
      <c r="C355" s="31"/>
      <c r="D355" s="10"/>
      <c r="E355" s="10"/>
      <c r="F355" s="32"/>
      <c r="G355" s="15" t="str">
        <f t="shared" si="25"/>
        <v/>
      </c>
      <c r="H355" s="15" t="str">
        <f t="shared" si="26"/>
        <v/>
      </c>
      <c r="I355" s="17" t="str">
        <f t="shared" si="27"/>
        <v/>
      </c>
      <c r="J355" s="15" t="str">
        <f t="shared" si="28"/>
        <v/>
      </c>
      <c r="K355" s="19" t="str">
        <f t="shared" si="29"/>
        <v/>
      </c>
      <c r="L355" s="33"/>
      <c r="M355" s="15" t="str">
        <f>IF(B355="","",SUMIF($B$6:B354,B355,$I$6:I354))</f>
        <v/>
      </c>
      <c r="N355" s="15" t="str">
        <f>IF(B355="","",SUMIF($B$6:B354,B355,$H$6:H354))</f>
        <v/>
      </c>
      <c r="O355" s="15" t="str">
        <f>IF(B355="","",COUNTIFS($B$6:B354,B355,$K$6:K354,"&lt;&gt;已记录"))</f>
        <v/>
      </c>
      <c r="P355" s="34"/>
    </row>
    <row r="356" spans="1:16" ht="21.75" customHeight="1">
      <c r="A356" s="16"/>
      <c r="B356" s="30"/>
      <c r="C356" s="31"/>
      <c r="D356" s="10"/>
      <c r="E356" s="10"/>
      <c r="F356" s="32"/>
      <c r="G356" s="15" t="str">
        <f t="shared" si="25"/>
        <v/>
      </c>
      <c r="H356" s="15" t="str">
        <f t="shared" si="26"/>
        <v/>
      </c>
      <c r="I356" s="17" t="str">
        <f t="shared" si="27"/>
        <v/>
      </c>
      <c r="J356" s="15" t="str">
        <f t="shared" si="28"/>
        <v/>
      </c>
      <c r="K356" s="19" t="str">
        <f t="shared" si="29"/>
        <v/>
      </c>
      <c r="L356" s="33"/>
      <c r="M356" s="15" t="str">
        <f>IF(B356="","",SUMIF($B$6:B355,B356,$I$6:I355))</f>
        <v/>
      </c>
      <c r="N356" s="15" t="str">
        <f>IF(B356="","",SUMIF($B$6:B355,B356,$H$6:H355))</f>
        <v/>
      </c>
      <c r="O356" s="15" t="str">
        <f>IF(B356="","",COUNTIFS($B$6:B355,B356,$K$6:K355,"&lt;&gt;已记录"))</f>
        <v/>
      </c>
      <c r="P356" s="34"/>
    </row>
    <row r="357" spans="1:16" ht="21.75" customHeight="1">
      <c r="A357" s="16"/>
      <c r="B357" s="30"/>
      <c r="C357" s="31"/>
      <c r="D357" s="10"/>
      <c r="E357" s="10"/>
      <c r="F357" s="32"/>
      <c r="G357" s="15" t="str">
        <f t="shared" si="25"/>
        <v/>
      </c>
      <c r="H357" s="15" t="str">
        <f t="shared" si="26"/>
        <v/>
      </c>
      <c r="I357" s="17" t="str">
        <f t="shared" si="27"/>
        <v/>
      </c>
      <c r="J357" s="15" t="str">
        <f t="shared" si="28"/>
        <v/>
      </c>
      <c r="K357" s="19" t="str">
        <f t="shared" si="29"/>
        <v/>
      </c>
      <c r="L357" s="33"/>
      <c r="M357" s="15" t="str">
        <f>IF(B357="","",SUMIF($B$6:B356,B357,$I$6:I356))</f>
        <v/>
      </c>
      <c r="N357" s="15" t="str">
        <f>IF(B357="","",SUMIF($B$6:B356,B357,$H$6:H356))</f>
        <v/>
      </c>
      <c r="O357" s="15" t="str">
        <f>IF(B357="","",COUNTIFS($B$6:B356,B357,$K$6:K356,"&lt;&gt;已记录"))</f>
        <v/>
      </c>
      <c r="P357" s="34"/>
    </row>
    <row r="358" spans="1:16" ht="21.75" customHeight="1">
      <c r="A358" s="16"/>
      <c r="B358" s="30"/>
      <c r="C358" s="31"/>
      <c r="D358" s="10"/>
      <c r="E358" s="10"/>
      <c r="F358" s="32"/>
      <c r="G358" s="15" t="str">
        <f t="shared" si="25"/>
        <v/>
      </c>
      <c r="H358" s="15" t="str">
        <f t="shared" si="26"/>
        <v/>
      </c>
      <c r="I358" s="17" t="str">
        <f t="shared" si="27"/>
        <v/>
      </c>
      <c r="J358" s="15" t="str">
        <f t="shared" si="28"/>
        <v/>
      </c>
      <c r="K358" s="19" t="str">
        <f t="shared" si="29"/>
        <v/>
      </c>
      <c r="L358" s="33"/>
      <c r="M358" s="15" t="str">
        <f>IF(B358="","",SUMIF($B$6:B357,B358,$I$6:I357))</f>
        <v/>
      </c>
      <c r="N358" s="15" t="str">
        <f>IF(B358="","",SUMIF($B$6:B357,B358,$H$6:H357))</f>
        <v/>
      </c>
      <c r="O358" s="15" t="str">
        <f>IF(B358="","",COUNTIFS($B$6:B357,B358,$K$6:K357,"&lt;&gt;已记录"))</f>
        <v/>
      </c>
      <c r="P358" s="34"/>
    </row>
    <row r="359" spans="1:16" ht="21.75" customHeight="1">
      <c r="A359" s="16"/>
      <c r="B359" s="30"/>
      <c r="C359" s="31"/>
      <c r="D359" s="10"/>
      <c r="E359" s="10"/>
      <c r="F359" s="32"/>
      <c r="G359" s="15" t="str">
        <f t="shared" si="25"/>
        <v/>
      </c>
      <c r="H359" s="15" t="str">
        <f t="shared" si="26"/>
        <v/>
      </c>
      <c r="I359" s="17" t="str">
        <f t="shared" si="27"/>
        <v/>
      </c>
      <c r="J359" s="15" t="str">
        <f t="shared" si="28"/>
        <v/>
      </c>
      <c r="K359" s="19" t="str">
        <f t="shared" si="29"/>
        <v/>
      </c>
      <c r="L359" s="33"/>
      <c r="M359" s="15" t="str">
        <f>IF(B359="","",SUMIF($B$6:B358,B359,$I$6:I358))</f>
        <v/>
      </c>
      <c r="N359" s="15" t="str">
        <f>IF(B359="","",SUMIF($B$6:B358,B359,$H$6:H358))</f>
        <v/>
      </c>
      <c r="O359" s="15" t="str">
        <f>IF(B359="","",COUNTIFS($B$6:B358,B359,$K$6:K358,"&lt;&gt;已记录"))</f>
        <v/>
      </c>
      <c r="P359" s="34"/>
    </row>
    <row r="360" spans="1:16" ht="21.75" customHeight="1">
      <c r="A360" s="16"/>
      <c r="B360" s="30"/>
      <c r="C360" s="31"/>
      <c r="D360" s="10"/>
      <c r="E360" s="10"/>
      <c r="F360" s="32"/>
      <c r="G360" s="15" t="str">
        <f t="shared" si="25"/>
        <v/>
      </c>
      <c r="H360" s="15" t="str">
        <f t="shared" si="26"/>
        <v/>
      </c>
      <c r="I360" s="17" t="str">
        <f t="shared" si="27"/>
        <v/>
      </c>
      <c r="J360" s="15" t="str">
        <f t="shared" si="28"/>
        <v/>
      </c>
      <c r="K360" s="19" t="str">
        <f t="shared" si="29"/>
        <v/>
      </c>
      <c r="L360" s="33"/>
      <c r="M360" s="15" t="str">
        <f>IF(B360="","",SUMIF($B$6:B359,B360,$I$6:I359))</f>
        <v/>
      </c>
      <c r="N360" s="15" t="str">
        <f>IF(B360="","",SUMIF($B$6:B359,B360,$H$6:H359))</f>
        <v/>
      </c>
      <c r="O360" s="15" t="str">
        <f>IF(B360="","",COUNTIFS($B$6:B359,B360,$K$6:K359,"&lt;&gt;已记录"))</f>
        <v/>
      </c>
      <c r="P360" s="34"/>
    </row>
    <row r="361" spans="1:16" ht="21.75" customHeight="1">
      <c r="A361" s="16"/>
      <c r="B361" s="30"/>
      <c r="C361" s="31"/>
      <c r="D361" s="10"/>
      <c r="E361" s="10"/>
      <c r="F361" s="32"/>
      <c r="G361" s="15" t="str">
        <f t="shared" si="25"/>
        <v/>
      </c>
      <c r="H361" s="15" t="str">
        <f t="shared" si="26"/>
        <v/>
      </c>
      <c r="I361" s="17" t="str">
        <f t="shared" si="27"/>
        <v/>
      </c>
      <c r="J361" s="15" t="str">
        <f t="shared" si="28"/>
        <v/>
      </c>
      <c r="K361" s="19" t="str">
        <f t="shared" si="29"/>
        <v/>
      </c>
      <c r="L361" s="33"/>
      <c r="M361" s="15" t="str">
        <f>IF(B361="","",SUMIF($B$6:B360,B361,$I$6:I360))</f>
        <v/>
      </c>
      <c r="N361" s="15" t="str">
        <f>IF(B361="","",SUMIF($B$6:B360,B361,$H$6:H360))</f>
        <v/>
      </c>
      <c r="O361" s="15" t="str">
        <f>IF(B361="","",COUNTIFS($B$6:B360,B361,$K$6:K360,"&lt;&gt;已记录"))</f>
        <v/>
      </c>
      <c r="P361" s="34"/>
    </row>
    <row r="362" spans="1:16" ht="21.75" customHeight="1">
      <c r="A362" s="16"/>
      <c r="B362" s="30"/>
      <c r="C362" s="31"/>
      <c r="D362" s="10"/>
      <c r="E362" s="10"/>
      <c r="F362" s="32"/>
      <c r="G362" s="15" t="str">
        <f t="shared" si="25"/>
        <v/>
      </c>
      <c r="H362" s="15" t="str">
        <f t="shared" si="26"/>
        <v/>
      </c>
      <c r="I362" s="17" t="str">
        <f t="shared" si="27"/>
        <v/>
      </c>
      <c r="J362" s="15" t="str">
        <f t="shared" si="28"/>
        <v/>
      </c>
      <c r="K362" s="19" t="str">
        <f t="shared" si="29"/>
        <v/>
      </c>
      <c r="L362" s="33"/>
      <c r="M362" s="15" t="str">
        <f>IF(B362="","",SUMIF($B$6:B361,B362,$I$6:I361))</f>
        <v/>
      </c>
      <c r="N362" s="15" t="str">
        <f>IF(B362="","",SUMIF($B$6:B361,B362,$H$6:H361))</f>
        <v/>
      </c>
      <c r="O362" s="15" t="str">
        <f>IF(B362="","",COUNTIFS($B$6:B361,B362,$K$6:K361,"&lt;&gt;已记录"))</f>
        <v/>
      </c>
      <c r="P362" s="34"/>
    </row>
    <row r="363" spans="1:16" ht="21.75" customHeight="1">
      <c r="A363" s="16"/>
      <c r="B363" s="30"/>
      <c r="C363" s="31"/>
      <c r="D363" s="10"/>
      <c r="E363" s="10"/>
      <c r="F363" s="32"/>
      <c r="G363" s="15" t="str">
        <f t="shared" si="25"/>
        <v/>
      </c>
      <c r="H363" s="15" t="str">
        <f t="shared" si="26"/>
        <v/>
      </c>
      <c r="I363" s="17" t="str">
        <f t="shared" si="27"/>
        <v/>
      </c>
      <c r="J363" s="15" t="str">
        <f t="shared" si="28"/>
        <v/>
      </c>
      <c r="K363" s="19" t="str">
        <f t="shared" si="29"/>
        <v/>
      </c>
      <c r="L363" s="33"/>
      <c r="M363" s="15" t="str">
        <f>IF(B363="","",SUMIF($B$6:B362,B363,$I$6:I362))</f>
        <v/>
      </c>
      <c r="N363" s="15" t="str">
        <f>IF(B363="","",SUMIF($B$6:B362,B363,$H$6:H362))</f>
        <v/>
      </c>
      <c r="O363" s="15" t="str">
        <f>IF(B363="","",COUNTIFS($B$6:B362,B363,$K$6:K362,"&lt;&gt;已记录"))</f>
        <v/>
      </c>
      <c r="P363" s="34"/>
    </row>
    <row r="364" spans="1:16" ht="21.75" customHeight="1">
      <c r="A364" s="16"/>
      <c r="B364" s="30"/>
      <c r="C364" s="31"/>
      <c r="D364" s="10"/>
      <c r="E364" s="10"/>
      <c r="F364" s="32"/>
      <c r="G364" s="15" t="str">
        <f t="shared" si="25"/>
        <v/>
      </c>
      <c r="H364" s="15" t="str">
        <f t="shared" si="26"/>
        <v/>
      </c>
      <c r="I364" s="17" t="str">
        <f t="shared" si="27"/>
        <v/>
      </c>
      <c r="J364" s="15" t="str">
        <f t="shared" si="28"/>
        <v/>
      </c>
      <c r="K364" s="19" t="str">
        <f t="shared" si="29"/>
        <v/>
      </c>
      <c r="L364" s="33"/>
      <c r="M364" s="15" t="str">
        <f>IF(B364="","",SUMIF($B$6:B363,B364,$I$6:I363))</f>
        <v/>
      </c>
      <c r="N364" s="15" t="str">
        <f>IF(B364="","",SUMIF($B$6:B363,B364,$H$6:H363))</f>
        <v/>
      </c>
      <c r="O364" s="15" t="str">
        <f>IF(B364="","",COUNTIFS($B$6:B363,B364,$K$6:K363,"&lt;&gt;已记录"))</f>
        <v/>
      </c>
      <c r="P364" s="34"/>
    </row>
    <row r="365" spans="1:16" ht="21.75" customHeight="1">
      <c r="A365" s="16"/>
      <c r="B365" s="30"/>
      <c r="C365" s="31"/>
      <c r="D365" s="10"/>
      <c r="E365" s="10"/>
      <c r="F365" s="32"/>
      <c r="G365" s="15" t="str">
        <f t="shared" si="25"/>
        <v/>
      </c>
      <c r="H365" s="15" t="str">
        <f t="shared" si="26"/>
        <v/>
      </c>
      <c r="I365" s="17" t="str">
        <f t="shared" si="27"/>
        <v/>
      </c>
      <c r="J365" s="15" t="str">
        <f t="shared" si="28"/>
        <v/>
      </c>
      <c r="K365" s="19" t="str">
        <f t="shared" si="29"/>
        <v/>
      </c>
      <c r="L365" s="33"/>
      <c r="M365" s="15" t="str">
        <f>IF(B365="","",SUMIF($B$6:B364,B365,$I$6:I364))</f>
        <v/>
      </c>
      <c r="N365" s="15" t="str">
        <f>IF(B365="","",SUMIF($B$6:B364,B365,$H$6:H364))</f>
        <v/>
      </c>
      <c r="O365" s="15" t="str">
        <f>IF(B365="","",COUNTIFS($B$6:B364,B365,$K$6:K364,"&lt;&gt;已记录"))</f>
        <v/>
      </c>
      <c r="P365" s="34"/>
    </row>
    <row r="366" spans="1:16" ht="21.75" customHeight="1">
      <c r="A366" s="16"/>
      <c r="B366" s="30"/>
      <c r="C366" s="31"/>
      <c r="D366" s="10"/>
      <c r="E366" s="10"/>
      <c r="F366" s="32"/>
      <c r="G366" s="15" t="str">
        <f t="shared" si="25"/>
        <v/>
      </c>
      <c r="H366" s="15" t="str">
        <f t="shared" si="26"/>
        <v/>
      </c>
      <c r="I366" s="17" t="str">
        <f t="shared" si="27"/>
        <v/>
      </c>
      <c r="J366" s="15" t="str">
        <f t="shared" si="28"/>
        <v/>
      </c>
      <c r="K366" s="19" t="str">
        <f t="shared" si="29"/>
        <v/>
      </c>
      <c r="L366" s="33"/>
      <c r="M366" s="15" t="str">
        <f>IF(B366="","",SUMIF($B$6:B365,B366,$I$6:I365))</f>
        <v/>
      </c>
      <c r="N366" s="15" t="str">
        <f>IF(B366="","",SUMIF($B$6:B365,B366,$H$6:H365))</f>
        <v/>
      </c>
      <c r="O366" s="15" t="str">
        <f>IF(B366="","",COUNTIFS($B$6:B365,B366,$K$6:K365,"&lt;&gt;已记录"))</f>
        <v/>
      </c>
      <c r="P366" s="34"/>
    </row>
    <row r="367" spans="1:16" ht="21.75" customHeight="1">
      <c r="A367" s="16"/>
      <c r="B367" s="30"/>
      <c r="C367" s="31"/>
      <c r="D367" s="10"/>
      <c r="E367" s="10"/>
      <c r="F367" s="32"/>
      <c r="G367" s="15" t="str">
        <f t="shared" si="25"/>
        <v/>
      </c>
      <c r="H367" s="15" t="str">
        <f t="shared" si="26"/>
        <v/>
      </c>
      <c r="I367" s="17" t="str">
        <f t="shared" si="27"/>
        <v/>
      </c>
      <c r="J367" s="15" t="str">
        <f t="shared" si="28"/>
        <v/>
      </c>
      <c r="K367" s="19" t="str">
        <f t="shared" si="29"/>
        <v/>
      </c>
      <c r="L367" s="33"/>
      <c r="M367" s="15" t="str">
        <f>IF(B367="","",SUMIF($B$6:B366,B367,$I$6:I366))</f>
        <v/>
      </c>
      <c r="N367" s="15" t="str">
        <f>IF(B367="","",SUMIF($B$6:B366,B367,$H$6:H366))</f>
        <v/>
      </c>
      <c r="O367" s="15" t="str">
        <f>IF(B367="","",COUNTIFS($B$6:B366,B367,$K$6:K366,"&lt;&gt;已记录"))</f>
        <v/>
      </c>
      <c r="P367" s="34"/>
    </row>
    <row r="368" spans="1:16" ht="21.75" customHeight="1">
      <c r="A368" s="16"/>
      <c r="B368" s="30"/>
      <c r="C368" s="31"/>
      <c r="D368" s="10"/>
      <c r="E368" s="10"/>
      <c r="F368" s="32"/>
      <c r="G368" s="15" t="str">
        <f t="shared" si="25"/>
        <v/>
      </c>
      <c r="H368" s="15" t="str">
        <f t="shared" si="26"/>
        <v/>
      </c>
      <c r="I368" s="17" t="str">
        <f t="shared" si="27"/>
        <v/>
      </c>
      <c r="J368" s="15" t="str">
        <f t="shared" si="28"/>
        <v/>
      </c>
      <c r="K368" s="19" t="str">
        <f t="shared" si="29"/>
        <v/>
      </c>
      <c r="L368" s="33"/>
      <c r="M368" s="15" t="str">
        <f>IF(B368="","",SUMIF($B$6:B367,B368,$I$6:I367))</f>
        <v/>
      </c>
      <c r="N368" s="15" t="str">
        <f>IF(B368="","",SUMIF($B$6:B367,B368,$H$6:H367))</f>
        <v/>
      </c>
      <c r="O368" s="15" t="str">
        <f>IF(B368="","",COUNTIFS($B$6:B367,B368,$K$6:K367,"&lt;&gt;已记录"))</f>
        <v/>
      </c>
      <c r="P368" s="34"/>
    </row>
    <row r="369" spans="1:16" ht="21.75" customHeight="1">
      <c r="A369" s="16"/>
      <c r="B369" s="30"/>
      <c r="C369" s="31"/>
      <c r="D369" s="10"/>
      <c r="E369" s="10"/>
      <c r="F369" s="32"/>
      <c r="G369" s="15" t="str">
        <f t="shared" si="25"/>
        <v/>
      </c>
      <c r="H369" s="15" t="str">
        <f t="shared" si="26"/>
        <v/>
      </c>
      <c r="I369" s="17" t="str">
        <f t="shared" si="27"/>
        <v/>
      </c>
      <c r="J369" s="15" t="str">
        <f t="shared" si="28"/>
        <v/>
      </c>
      <c r="K369" s="19" t="str">
        <f t="shared" si="29"/>
        <v/>
      </c>
      <c r="L369" s="33"/>
      <c r="M369" s="15" t="str">
        <f>IF(B369="","",SUMIF($B$6:B368,B369,$I$6:I368))</f>
        <v/>
      </c>
      <c r="N369" s="15" t="str">
        <f>IF(B369="","",SUMIF($B$6:B368,B369,$H$6:H368))</f>
        <v/>
      </c>
      <c r="O369" s="15" t="str">
        <f>IF(B369="","",COUNTIFS($B$6:B368,B369,$K$6:K368,"&lt;&gt;已记录"))</f>
        <v/>
      </c>
      <c r="P369" s="34"/>
    </row>
    <row r="370" spans="1:16" ht="21.75" customHeight="1">
      <c r="A370" s="16"/>
      <c r="B370" s="30"/>
      <c r="C370" s="31"/>
      <c r="D370" s="10"/>
      <c r="E370" s="10"/>
      <c r="F370" s="32"/>
      <c r="G370" s="15" t="str">
        <f t="shared" si="25"/>
        <v/>
      </c>
      <c r="H370" s="15" t="str">
        <f t="shared" si="26"/>
        <v/>
      </c>
      <c r="I370" s="17" t="str">
        <f t="shared" si="27"/>
        <v/>
      </c>
      <c r="J370" s="15" t="str">
        <f t="shared" si="28"/>
        <v/>
      </c>
      <c r="K370" s="19" t="str">
        <f t="shared" si="29"/>
        <v/>
      </c>
      <c r="L370" s="33"/>
      <c r="M370" s="15" t="str">
        <f>IF(B370="","",SUMIF($B$6:B369,B370,$I$6:I369))</f>
        <v/>
      </c>
      <c r="N370" s="15" t="str">
        <f>IF(B370="","",SUMIF($B$6:B369,B370,$H$6:H369))</f>
        <v/>
      </c>
      <c r="O370" s="15" t="str">
        <f>IF(B370="","",COUNTIFS($B$6:B369,B370,$K$6:K369,"&lt;&gt;已记录"))</f>
        <v/>
      </c>
      <c r="P370" s="34"/>
    </row>
    <row r="371" spans="1:16" ht="21.75" customHeight="1">
      <c r="A371" s="16"/>
      <c r="B371" s="30"/>
      <c r="C371" s="31"/>
      <c r="D371" s="10"/>
      <c r="E371" s="10"/>
      <c r="F371" s="32"/>
      <c r="G371" s="15" t="str">
        <f t="shared" si="25"/>
        <v/>
      </c>
      <c r="H371" s="15" t="str">
        <f t="shared" si="26"/>
        <v/>
      </c>
      <c r="I371" s="17" t="str">
        <f t="shared" si="27"/>
        <v/>
      </c>
      <c r="J371" s="15" t="str">
        <f t="shared" si="28"/>
        <v/>
      </c>
      <c r="K371" s="19" t="str">
        <f t="shared" si="29"/>
        <v/>
      </c>
      <c r="L371" s="33"/>
      <c r="M371" s="15" t="str">
        <f>IF(B371="","",SUMIF($B$6:B370,B371,$I$6:I370))</f>
        <v/>
      </c>
      <c r="N371" s="15" t="str">
        <f>IF(B371="","",SUMIF($B$6:B370,B371,$H$6:H370))</f>
        <v/>
      </c>
      <c r="O371" s="15" t="str">
        <f>IF(B371="","",COUNTIFS($B$6:B370,B371,$K$6:K370,"&lt;&gt;已记录"))</f>
        <v/>
      </c>
      <c r="P371" s="34"/>
    </row>
    <row r="372" spans="1:16" ht="21.75" customHeight="1">
      <c r="A372" s="16"/>
      <c r="B372" s="30"/>
      <c r="C372" s="31"/>
      <c r="D372" s="10"/>
      <c r="E372" s="10"/>
      <c r="F372" s="32"/>
      <c r="G372" s="15" t="str">
        <f t="shared" si="25"/>
        <v/>
      </c>
      <c r="H372" s="15" t="str">
        <f t="shared" si="26"/>
        <v/>
      </c>
      <c r="I372" s="17" t="str">
        <f t="shared" si="27"/>
        <v/>
      </c>
      <c r="J372" s="15" t="str">
        <f t="shared" si="28"/>
        <v/>
      </c>
      <c r="K372" s="19" t="str">
        <f t="shared" si="29"/>
        <v/>
      </c>
      <c r="L372" s="33"/>
      <c r="M372" s="15" t="str">
        <f>IF(B372="","",SUMIF($B$6:B371,B372,$I$6:I371))</f>
        <v/>
      </c>
      <c r="N372" s="15" t="str">
        <f>IF(B372="","",SUMIF($B$6:B371,B372,$H$6:H371))</f>
        <v/>
      </c>
      <c r="O372" s="15" t="str">
        <f>IF(B372="","",COUNTIFS($B$6:B371,B372,$K$6:K371,"&lt;&gt;已记录"))</f>
        <v/>
      </c>
      <c r="P372" s="34"/>
    </row>
    <row r="373" spans="1:16" ht="21.75" customHeight="1">
      <c r="A373" s="16"/>
      <c r="B373" s="30"/>
      <c r="C373" s="31"/>
      <c r="D373" s="10"/>
      <c r="E373" s="10"/>
      <c r="F373" s="32"/>
      <c r="G373" s="15" t="str">
        <f t="shared" si="25"/>
        <v/>
      </c>
      <c r="H373" s="15" t="str">
        <f t="shared" si="26"/>
        <v/>
      </c>
      <c r="I373" s="17" t="str">
        <f t="shared" si="27"/>
        <v/>
      </c>
      <c r="J373" s="15" t="str">
        <f t="shared" si="28"/>
        <v/>
      </c>
      <c r="K373" s="19" t="str">
        <f t="shared" si="29"/>
        <v/>
      </c>
      <c r="L373" s="33"/>
      <c r="M373" s="15" t="str">
        <f>IF(B373="","",SUMIF($B$6:B372,B373,$I$6:I372))</f>
        <v/>
      </c>
      <c r="N373" s="15" t="str">
        <f>IF(B373="","",SUMIF($B$6:B372,B373,$H$6:H372))</f>
        <v/>
      </c>
      <c r="O373" s="15" t="str">
        <f>IF(B373="","",COUNTIFS($B$6:B372,B373,$K$6:K372,"&lt;&gt;已记录"))</f>
        <v/>
      </c>
      <c r="P373" s="34"/>
    </row>
    <row r="374" spans="1:16" ht="21.75" customHeight="1">
      <c r="A374" s="16"/>
      <c r="B374" s="30"/>
      <c r="C374" s="31"/>
      <c r="D374" s="10"/>
      <c r="E374" s="10"/>
      <c r="F374" s="32"/>
      <c r="G374" s="15" t="str">
        <f t="shared" si="25"/>
        <v/>
      </c>
      <c r="H374" s="15" t="str">
        <f t="shared" si="26"/>
        <v/>
      </c>
      <c r="I374" s="17" t="str">
        <f t="shared" si="27"/>
        <v/>
      </c>
      <c r="J374" s="15" t="str">
        <f t="shared" si="28"/>
        <v/>
      </c>
      <c r="K374" s="19" t="str">
        <f t="shared" si="29"/>
        <v/>
      </c>
      <c r="L374" s="33"/>
      <c r="M374" s="15" t="str">
        <f>IF(B374="","",SUMIF($B$6:B373,B374,$I$6:I373))</f>
        <v/>
      </c>
      <c r="N374" s="15" t="str">
        <f>IF(B374="","",SUMIF($B$6:B373,B374,$H$6:H373))</f>
        <v/>
      </c>
      <c r="O374" s="15" t="str">
        <f>IF(B374="","",COUNTIFS($B$6:B373,B374,$K$6:K373,"&lt;&gt;已记录"))</f>
        <v/>
      </c>
      <c r="P374" s="34"/>
    </row>
    <row r="375" spans="1:16" ht="21.75" customHeight="1">
      <c r="A375" s="16"/>
      <c r="B375" s="30"/>
      <c r="C375" s="31"/>
      <c r="D375" s="10"/>
      <c r="E375" s="10"/>
      <c r="F375" s="32"/>
      <c r="G375" s="15" t="str">
        <f t="shared" si="25"/>
        <v/>
      </c>
      <c r="H375" s="15" t="str">
        <f t="shared" si="26"/>
        <v/>
      </c>
      <c r="I375" s="17" t="str">
        <f t="shared" si="27"/>
        <v/>
      </c>
      <c r="J375" s="15" t="str">
        <f t="shared" si="28"/>
        <v/>
      </c>
      <c r="K375" s="19" t="str">
        <f t="shared" si="29"/>
        <v/>
      </c>
      <c r="L375" s="33"/>
      <c r="M375" s="15" t="str">
        <f>IF(B375="","",SUMIF($B$6:B374,B375,$I$6:I374))</f>
        <v/>
      </c>
      <c r="N375" s="15" t="str">
        <f>IF(B375="","",SUMIF($B$6:B374,B375,$H$6:H374))</f>
        <v/>
      </c>
      <c r="O375" s="15" t="str">
        <f>IF(B375="","",COUNTIFS($B$6:B374,B375,$K$6:K374,"&lt;&gt;已记录"))</f>
        <v/>
      </c>
      <c r="P375" s="34"/>
    </row>
    <row r="376" spans="1:16" ht="21.75" customHeight="1">
      <c r="A376" s="16"/>
      <c r="B376" s="30"/>
      <c r="C376" s="31"/>
      <c r="D376" s="10"/>
      <c r="E376" s="10"/>
      <c r="F376" s="32"/>
      <c r="G376" s="15" t="str">
        <f t="shared" si="25"/>
        <v/>
      </c>
      <c r="H376" s="15" t="str">
        <f t="shared" si="26"/>
        <v/>
      </c>
      <c r="I376" s="17" t="str">
        <f t="shared" si="27"/>
        <v/>
      </c>
      <c r="J376" s="15" t="str">
        <f t="shared" si="28"/>
        <v/>
      </c>
      <c r="K376" s="19" t="str">
        <f t="shared" si="29"/>
        <v/>
      </c>
      <c r="L376" s="33"/>
      <c r="M376" s="15" t="str">
        <f>IF(B376="","",SUMIF($B$6:B375,B376,$I$6:I375))</f>
        <v/>
      </c>
      <c r="N376" s="15" t="str">
        <f>IF(B376="","",SUMIF($B$6:B375,B376,$H$6:H375))</f>
        <v/>
      </c>
      <c r="O376" s="15" t="str">
        <f>IF(B376="","",COUNTIFS($B$6:B375,B376,$K$6:K375,"&lt;&gt;已记录"))</f>
        <v/>
      </c>
      <c r="P376" s="34"/>
    </row>
    <row r="377" spans="1:16" ht="21.75" customHeight="1">
      <c r="A377" s="16"/>
      <c r="B377" s="30"/>
      <c r="C377" s="31"/>
      <c r="D377" s="10"/>
      <c r="E377" s="10"/>
      <c r="F377" s="32"/>
      <c r="G377" s="15" t="str">
        <f t="shared" si="25"/>
        <v/>
      </c>
      <c r="H377" s="15" t="str">
        <f t="shared" si="26"/>
        <v/>
      </c>
      <c r="I377" s="17" t="str">
        <f t="shared" si="27"/>
        <v/>
      </c>
      <c r="J377" s="15" t="str">
        <f t="shared" si="28"/>
        <v/>
      </c>
      <c r="K377" s="19" t="str">
        <f t="shared" si="29"/>
        <v/>
      </c>
      <c r="L377" s="33"/>
      <c r="M377" s="15" t="str">
        <f>IF(B377="","",SUMIF($B$6:B376,B377,$I$6:I376))</f>
        <v/>
      </c>
      <c r="N377" s="15" t="str">
        <f>IF(B377="","",SUMIF($B$6:B376,B377,$H$6:H376))</f>
        <v/>
      </c>
      <c r="O377" s="15" t="str">
        <f>IF(B377="","",COUNTIFS($B$6:B376,B377,$K$6:K376,"&lt;&gt;已记录"))</f>
        <v/>
      </c>
      <c r="P377" s="34"/>
    </row>
    <row r="378" spans="1:16" ht="21.75" customHeight="1">
      <c r="A378" s="16"/>
      <c r="B378" s="30"/>
      <c r="C378" s="31"/>
      <c r="D378" s="10"/>
      <c r="E378" s="10"/>
      <c r="F378" s="32"/>
      <c r="G378" s="15" t="str">
        <f t="shared" si="25"/>
        <v/>
      </c>
      <c r="H378" s="15" t="str">
        <f t="shared" si="26"/>
        <v/>
      </c>
      <c r="I378" s="17" t="str">
        <f t="shared" si="27"/>
        <v/>
      </c>
      <c r="J378" s="15" t="str">
        <f t="shared" si="28"/>
        <v/>
      </c>
      <c r="K378" s="19" t="str">
        <f t="shared" si="29"/>
        <v/>
      </c>
      <c r="L378" s="33"/>
      <c r="M378" s="15" t="str">
        <f>IF(B378="","",SUMIF($B$6:B377,B378,$I$6:I377))</f>
        <v/>
      </c>
      <c r="N378" s="15" t="str">
        <f>IF(B378="","",SUMIF($B$6:B377,B378,$H$6:H377))</f>
        <v/>
      </c>
      <c r="O378" s="15" t="str">
        <f>IF(B378="","",COUNTIFS($B$6:B377,B378,$K$6:K377,"&lt;&gt;已记录"))</f>
        <v/>
      </c>
      <c r="P378" s="34"/>
    </row>
    <row r="379" spans="1:16" ht="21.75" customHeight="1">
      <c r="A379" s="16"/>
      <c r="B379" s="30"/>
      <c r="C379" s="31"/>
      <c r="D379" s="10"/>
      <c r="E379" s="10"/>
      <c r="F379" s="32"/>
      <c r="G379" s="15" t="str">
        <f t="shared" si="25"/>
        <v/>
      </c>
      <c r="H379" s="15" t="str">
        <f t="shared" si="26"/>
        <v/>
      </c>
      <c r="I379" s="17" t="str">
        <f t="shared" si="27"/>
        <v/>
      </c>
      <c r="J379" s="15" t="str">
        <f t="shared" si="28"/>
        <v/>
      </c>
      <c r="K379" s="19" t="str">
        <f t="shared" si="29"/>
        <v/>
      </c>
      <c r="L379" s="33"/>
      <c r="M379" s="15" t="str">
        <f>IF(B379="","",SUMIF($B$6:B378,B379,$I$6:I378))</f>
        <v/>
      </c>
      <c r="N379" s="15" t="str">
        <f>IF(B379="","",SUMIF($B$6:B378,B379,$H$6:H378))</f>
        <v/>
      </c>
      <c r="O379" s="15" t="str">
        <f>IF(B379="","",COUNTIFS($B$6:B378,B379,$K$6:K378,"&lt;&gt;已记录"))</f>
        <v/>
      </c>
      <c r="P379" s="34"/>
    </row>
    <row r="380" spans="1:16" ht="21.75" customHeight="1">
      <c r="A380" s="16"/>
      <c r="B380" s="30"/>
      <c r="C380" s="31"/>
      <c r="D380" s="10"/>
      <c r="E380" s="10"/>
      <c r="F380" s="32"/>
      <c r="G380" s="15" t="str">
        <f t="shared" si="25"/>
        <v/>
      </c>
      <c r="H380" s="15" t="str">
        <f t="shared" si="26"/>
        <v/>
      </c>
      <c r="I380" s="17" t="str">
        <f t="shared" si="27"/>
        <v/>
      </c>
      <c r="J380" s="15" t="str">
        <f t="shared" si="28"/>
        <v/>
      </c>
      <c r="K380" s="19" t="str">
        <f t="shared" si="29"/>
        <v/>
      </c>
      <c r="L380" s="33"/>
      <c r="M380" s="15" t="str">
        <f>IF(B380="","",SUMIF($B$6:B379,B380,$I$6:I379))</f>
        <v/>
      </c>
      <c r="N380" s="15" t="str">
        <f>IF(B380="","",SUMIF($B$6:B379,B380,$H$6:H379))</f>
        <v/>
      </c>
      <c r="O380" s="15" t="str">
        <f>IF(B380="","",COUNTIFS($B$6:B379,B380,$K$6:K379,"&lt;&gt;已记录"))</f>
        <v/>
      </c>
      <c r="P380" s="34"/>
    </row>
    <row r="381" spans="1:16" ht="21.75" customHeight="1">
      <c r="A381" s="16"/>
      <c r="B381" s="30"/>
      <c r="C381" s="31"/>
      <c r="D381" s="10"/>
      <c r="E381" s="10"/>
      <c r="F381" s="32"/>
      <c r="G381" s="15" t="str">
        <f t="shared" si="25"/>
        <v/>
      </c>
      <c r="H381" s="15" t="str">
        <f t="shared" si="26"/>
        <v/>
      </c>
      <c r="I381" s="17" t="str">
        <f t="shared" si="27"/>
        <v/>
      </c>
      <c r="J381" s="15" t="str">
        <f t="shared" si="28"/>
        <v/>
      </c>
      <c r="K381" s="19" t="str">
        <f t="shared" si="29"/>
        <v/>
      </c>
      <c r="L381" s="33"/>
      <c r="M381" s="15" t="str">
        <f>IF(B381="","",SUMIF($B$6:B380,B381,$I$6:I380))</f>
        <v/>
      </c>
      <c r="N381" s="15" t="str">
        <f>IF(B381="","",SUMIF($B$6:B380,B381,$H$6:H380))</f>
        <v/>
      </c>
      <c r="O381" s="15" t="str">
        <f>IF(B381="","",COUNTIFS($B$6:B380,B381,$K$6:K380,"&lt;&gt;已记录"))</f>
        <v/>
      </c>
      <c r="P381" s="34"/>
    </row>
    <row r="382" spans="1:16" ht="21.75" customHeight="1">
      <c r="A382" s="16"/>
      <c r="B382" s="30"/>
      <c r="C382" s="31"/>
      <c r="D382" s="10"/>
      <c r="E382" s="10"/>
      <c r="F382" s="32"/>
      <c r="G382" s="15" t="str">
        <f t="shared" si="25"/>
        <v/>
      </c>
      <c r="H382" s="15" t="str">
        <f t="shared" si="26"/>
        <v/>
      </c>
      <c r="I382" s="17" t="str">
        <f t="shared" si="27"/>
        <v/>
      </c>
      <c r="J382" s="15" t="str">
        <f t="shared" si="28"/>
        <v/>
      </c>
      <c r="K382" s="19" t="str">
        <f t="shared" si="29"/>
        <v/>
      </c>
      <c r="L382" s="33"/>
      <c r="M382" s="15" t="str">
        <f>IF(B382="","",SUMIF($B$6:B381,B382,$I$6:I381))</f>
        <v/>
      </c>
      <c r="N382" s="15" t="str">
        <f>IF(B382="","",SUMIF($B$6:B381,B382,$H$6:H381))</f>
        <v/>
      </c>
      <c r="O382" s="15" t="str">
        <f>IF(B382="","",COUNTIFS($B$6:B381,B382,$K$6:K381,"&lt;&gt;已记录"))</f>
        <v/>
      </c>
      <c r="P382" s="34"/>
    </row>
    <row r="383" spans="1:16" ht="21.75" customHeight="1">
      <c r="A383" s="16"/>
      <c r="B383" s="30"/>
      <c r="C383" s="31"/>
      <c r="D383" s="10"/>
      <c r="E383" s="10"/>
      <c r="F383" s="32"/>
      <c r="G383" s="15" t="str">
        <f t="shared" si="25"/>
        <v/>
      </c>
      <c r="H383" s="15" t="str">
        <f t="shared" si="26"/>
        <v/>
      </c>
      <c r="I383" s="17" t="str">
        <f t="shared" si="27"/>
        <v/>
      </c>
      <c r="J383" s="15" t="str">
        <f t="shared" si="28"/>
        <v/>
      </c>
      <c r="K383" s="19" t="str">
        <f t="shared" si="29"/>
        <v/>
      </c>
      <c r="L383" s="33"/>
      <c r="M383" s="15" t="str">
        <f>IF(B383="","",SUMIF($B$6:B382,B383,$I$6:I382))</f>
        <v/>
      </c>
      <c r="N383" s="15" t="str">
        <f>IF(B383="","",SUMIF($B$6:B382,B383,$H$6:H382))</f>
        <v/>
      </c>
      <c r="O383" s="15" t="str">
        <f>IF(B383="","",COUNTIFS($B$6:B382,B383,$K$6:K382,"&lt;&gt;已记录"))</f>
        <v/>
      </c>
      <c r="P383" s="34"/>
    </row>
    <row r="384" spans="1:16" ht="21.75" customHeight="1">
      <c r="A384" s="16"/>
      <c r="B384" s="30"/>
      <c r="C384" s="31"/>
      <c r="D384" s="10"/>
      <c r="E384" s="10"/>
      <c r="F384" s="32"/>
      <c r="G384" s="15" t="str">
        <f t="shared" si="25"/>
        <v/>
      </c>
      <c r="H384" s="15" t="str">
        <f t="shared" si="26"/>
        <v/>
      </c>
      <c r="I384" s="17" t="str">
        <f t="shared" si="27"/>
        <v/>
      </c>
      <c r="J384" s="15" t="str">
        <f t="shared" si="28"/>
        <v/>
      </c>
      <c r="K384" s="19" t="str">
        <f t="shared" si="29"/>
        <v/>
      </c>
      <c r="L384" s="33"/>
      <c r="M384" s="15" t="str">
        <f>IF(B384="","",SUMIF($B$6:B383,B384,$I$6:I383))</f>
        <v/>
      </c>
      <c r="N384" s="15" t="str">
        <f>IF(B384="","",SUMIF($B$6:B383,B384,$H$6:H383))</f>
        <v/>
      </c>
      <c r="O384" s="15" t="str">
        <f>IF(B384="","",COUNTIFS($B$6:B383,B384,$K$6:K383,"&lt;&gt;已记录"))</f>
        <v/>
      </c>
      <c r="P384" s="34"/>
    </row>
    <row r="385" spans="1:16" ht="21.75" customHeight="1">
      <c r="A385" s="16"/>
      <c r="B385" s="30"/>
      <c r="C385" s="31"/>
      <c r="D385" s="10"/>
      <c r="E385" s="10"/>
      <c r="F385" s="32"/>
      <c r="G385" s="15" t="str">
        <f t="shared" si="25"/>
        <v/>
      </c>
      <c r="H385" s="15" t="str">
        <f t="shared" si="26"/>
        <v/>
      </c>
      <c r="I385" s="17" t="str">
        <f t="shared" si="27"/>
        <v/>
      </c>
      <c r="J385" s="15" t="str">
        <f t="shared" si="28"/>
        <v/>
      </c>
      <c r="K385" s="19" t="str">
        <f t="shared" si="29"/>
        <v/>
      </c>
      <c r="L385" s="33"/>
      <c r="M385" s="15" t="str">
        <f>IF(B385="","",SUMIF($B$6:B384,B385,$I$6:I384))</f>
        <v/>
      </c>
      <c r="N385" s="15" t="str">
        <f>IF(B385="","",SUMIF($B$6:B384,B385,$H$6:H384))</f>
        <v/>
      </c>
      <c r="O385" s="15" t="str">
        <f>IF(B385="","",COUNTIFS($B$6:B384,B385,$K$6:K384,"&lt;&gt;已记录"))</f>
        <v/>
      </c>
      <c r="P385" s="34"/>
    </row>
    <row r="386" spans="1:16" ht="21.75" customHeight="1">
      <c r="A386" s="16"/>
      <c r="B386" s="30"/>
      <c r="C386" s="31"/>
      <c r="D386" s="10"/>
      <c r="E386" s="10"/>
      <c r="F386" s="32"/>
      <c r="G386" s="15" t="str">
        <f t="shared" si="25"/>
        <v/>
      </c>
      <c r="H386" s="15" t="str">
        <f t="shared" si="26"/>
        <v/>
      </c>
      <c r="I386" s="17" t="str">
        <f t="shared" si="27"/>
        <v/>
      </c>
      <c r="J386" s="15" t="str">
        <f t="shared" si="28"/>
        <v/>
      </c>
      <c r="K386" s="19" t="str">
        <f t="shared" si="29"/>
        <v/>
      </c>
      <c r="L386" s="33"/>
      <c r="M386" s="15" t="str">
        <f>IF(B386="","",SUMIF($B$6:B385,B386,$I$6:I385))</f>
        <v/>
      </c>
      <c r="N386" s="15" t="str">
        <f>IF(B386="","",SUMIF($B$6:B385,B386,$H$6:H385))</f>
        <v/>
      </c>
      <c r="O386" s="15" t="str">
        <f>IF(B386="","",COUNTIFS($B$6:B385,B386,$K$6:K385,"&lt;&gt;已记录"))</f>
        <v/>
      </c>
      <c r="P386" s="34"/>
    </row>
    <row r="387" spans="1:16" ht="21.75" customHeight="1">
      <c r="A387" s="16"/>
      <c r="B387" s="30"/>
      <c r="C387" s="31"/>
      <c r="D387" s="10"/>
      <c r="E387" s="10"/>
      <c r="F387" s="32"/>
      <c r="G387" s="15" t="str">
        <f t="shared" si="25"/>
        <v/>
      </c>
      <c r="H387" s="15" t="str">
        <f t="shared" si="26"/>
        <v/>
      </c>
      <c r="I387" s="17" t="str">
        <f t="shared" si="27"/>
        <v/>
      </c>
      <c r="J387" s="15" t="str">
        <f t="shared" si="28"/>
        <v/>
      </c>
      <c r="K387" s="19" t="str">
        <f t="shared" si="29"/>
        <v/>
      </c>
      <c r="L387" s="33"/>
      <c r="M387" s="15" t="str">
        <f>IF(B387="","",SUMIF($B$6:B386,B387,$I$6:I386))</f>
        <v/>
      </c>
      <c r="N387" s="15" t="str">
        <f>IF(B387="","",SUMIF($B$6:B386,B387,$H$6:H386))</f>
        <v/>
      </c>
      <c r="O387" s="15" t="str">
        <f>IF(B387="","",COUNTIFS($B$6:B386,B387,$K$6:K386,"&lt;&gt;已记录"))</f>
        <v/>
      </c>
      <c r="P387" s="34"/>
    </row>
    <row r="388" spans="1:16" ht="21.75" customHeight="1">
      <c r="A388" s="16"/>
      <c r="B388" s="30"/>
      <c r="C388" s="31"/>
      <c r="D388" s="10"/>
      <c r="E388" s="10"/>
      <c r="F388" s="32"/>
      <c r="G388" s="15" t="str">
        <f t="shared" si="25"/>
        <v/>
      </c>
      <c r="H388" s="15" t="str">
        <f t="shared" si="26"/>
        <v/>
      </c>
      <c r="I388" s="17" t="str">
        <f t="shared" si="27"/>
        <v/>
      </c>
      <c r="J388" s="15" t="str">
        <f t="shared" si="28"/>
        <v/>
      </c>
      <c r="K388" s="19" t="str">
        <f t="shared" si="29"/>
        <v/>
      </c>
      <c r="L388" s="33"/>
      <c r="M388" s="15" t="str">
        <f>IF(B388="","",SUMIF($B$6:B387,B388,$I$6:I387))</f>
        <v/>
      </c>
      <c r="N388" s="15" t="str">
        <f>IF(B388="","",SUMIF($B$6:B387,B388,$H$6:H387))</f>
        <v/>
      </c>
      <c r="O388" s="15" t="str">
        <f>IF(B388="","",COUNTIFS($B$6:B387,B388,$K$6:K387,"&lt;&gt;已记录"))</f>
        <v/>
      </c>
      <c r="P388" s="34"/>
    </row>
    <row r="389" spans="1:16" ht="21.75" customHeight="1">
      <c r="A389" s="16"/>
      <c r="B389" s="30"/>
      <c r="C389" s="31"/>
      <c r="D389" s="10"/>
      <c r="E389" s="10"/>
      <c r="F389" s="32"/>
      <c r="G389" s="15" t="str">
        <f t="shared" si="25"/>
        <v/>
      </c>
      <c r="H389" s="15" t="str">
        <f t="shared" si="26"/>
        <v/>
      </c>
      <c r="I389" s="17" t="str">
        <f t="shared" si="27"/>
        <v/>
      </c>
      <c r="J389" s="15" t="str">
        <f t="shared" si="28"/>
        <v/>
      </c>
      <c r="K389" s="19" t="str">
        <f t="shared" si="29"/>
        <v/>
      </c>
      <c r="L389" s="33"/>
      <c r="M389" s="15" t="str">
        <f>IF(B389="","",SUMIF($B$6:B388,B389,$I$6:I388))</f>
        <v/>
      </c>
      <c r="N389" s="15" t="str">
        <f>IF(B389="","",SUMIF($B$6:B388,B389,$H$6:H388))</f>
        <v/>
      </c>
      <c r="O389" s="15" t="str">
        <f>IF(B389="","",COUNTIFS($B$6:B388,B389,$K$6:K388,"&lt;&gt;已记录"))</f>
        <v/>
      </c>
      <c r="P389" s="34"/>
    </row>
    <row r="390" spans="1:16" ht="21.75" customHeight="1">
      <c r="A390" s="16"/>
      <c r="B390" s="30"/>
      <c r="C390" s="31"/>
      <c r="D390" s="10"/>
      <c r="E390" s="10"/>
      <c r="F390" s="32"/>
      <c r="G390" s="15" t="str">
        <f t="shared" ref="G390:G453" si="30">IF(OR(B390="",D390="",C390=""),"",IF(C390="买入",-(D390+E390),IF(C390="卖出",D390-E390,"")))</f>
        <v/>
      </c>
      <c r="H390" s="15" t="str">
        <f t="shared" ref="H390:H453" si="31">IF(K390&lt;&gt;"已记录","",IF(C390="买入",D390+E390,-IF(M390=0,0,N390/M390*F390)))</f>
        <v/>
      </c>
      <c r="I390" s="17" t="str">
        <f t="shared" ref="I390:I453" si="32">IF(K390&lt;&gt;"已记录","",IF(C390="买入",F390,-F390))</f>
        <v/>
      </c>
      <c r="J390" s="15" t="str">
        <f t="shared" ref="J390:J453" si="33">IF(K390&lt;&gt;"已记录","",IF(C390="卖出",D390-E390+H390,0))</f>
        <v/>
      </c>
      <c r="K390" s="19" t="str">
        <f t="shared" ref="K390:K453" si="34">IF(B390="","",IF(OR(A390="",D390="",F390="",C390=""),"待补日期／金额／份额",IF(OR(D390&lt;=0,F390&lt;=0,E390&lt;0,AND(C390&lt;&gt;"买入",C390&lt;&gt;"卖出"),AND(C390="卖出",E390&gt;D390)),"请检查输入",IF(O390&gt;0,"待补前序记录",IF(AND(C390="卖出",F390&gt;M390+0.00000001),"卖出超过持仓","已记录")))))</f>
        <v/>
      </c>
      <c r="L390" s="33"/>
      <c r="M390" s="15" t="str">
        <f>IF(B390="","",SUMIF($B$6:B389,B390,$I$6:I389))</f>
        <v/>
      </c>
      <c r="N390" s="15" t="str">
        <f>IF(B390="","",SUMIF($B$6:B389,B390,$H$6:H389))</f>
        <v/>
      </c>
      <c r="O390" s="15" t="str">
        <f>IF(B390="","",COUNTIFS($B$6:B389,B390,$K$6:K389,"&lt;&gt;已记录"))</f>
        <v/>
      </c>
      <c r="P390" s="34"/>
    </row>
    <row r="391" spans="1:16" ht="21.75" customHeight="1">
      <c r="A391" s="16"/>
      <c r="B391" s="30"/>
      <c r="C391" s="31"/>
      <c r="D391" s="10"/>
      <c r="E391" s="10"/>
      <c r="F391" s="32"/>
      <c r="G391" s="15" t="str">
        <f t="shared" si="30"/>
        <v/>
      </c>
      <c r="H391" s="15" t="str">
        <f t="shared" si="31"/>
        <v/>
      </c>
      <c r="I391" s="17" t="str">
        <f t="shared" si="32"/>
        <v/>
      </c>
      <c r="J391" s="15" t="str">
        <f t="shared" si="33"/>
        <v/>
      </c>
      <c r="K391" s="19" t="str">
        <f t="shared" si="34"/>
        <v/>
      </c>
      <c r="L391" s="33"/>
      <c r="M391" s="15" t="str">
        <f>IF(B391="","",SUMIF($B$6:B390,B391,$I$6:I390))</f>
        <v/>
      </c>
      <c r="N391" s="15" t="str">
        <f>IF(B391="","",SUMIF($B$6:B390,B391,$H$6:H390))</f>
        <v/>
      </c>
      <c r="O391" s="15" t="str">
        <f>IF(B391="","",COUNTIFS($B$6:B390,B391,$K$6:K390,"&lt;&gt;已记录"))</f>
        <v/>
      </c>
      <c r="P391" s="34"/>
    </row>
    <row r="392" spans="1:16" ht="21.75" customHeight="1">
      <c r="A392" s="16"/>
      <c r="B392" s="30"/>
      <c r="C392" s="31"/>
      <c r="D392" s="10"/>
      <c r="E392" s="10"/>
      <c r="F392" s="32"/>
      <c r="G392" s="15" t="str">
        <f t="shared" si="30"/>
        <v/>
      </c>
      <c r="H392" s="15" t="str">
        <f t="shared" si="31"/>
        <v/>
      </c>
      <c r="I392" s="17" t="str">
        <f t="shared" si="32"/>
        <v/>
      </c>
      <c r="J392" s="15" t="str">
        <f t="shared" si="33"/>
        <v/>
      </c>
      <c r="K392" s="19" t="str">
        <f t="shared" si="34"/>
        <v/>
      </c>
      <c r="L392" s="33"/>
      <c r="M392" s="15" t="str">
        <f>IF(B392="","",SUMIF($B$6:B391,B392,$I$6:I391))</f>
        <v/>
      </c>
      <c r="N392" s="15" t="str">
        <f>IF(B392="","",SUMIF($B$6:B391,B392,$H$6:H391))</f>
        <v/>
      </c>
      <c r="O392" s="15" t="str">
        <f>IF(B392="","",COUNTIFS($B$6:B391,B392,$K$6:K391,"&lt;&gt;已记录"))</f>
        <v/>
      </c>
      <c r="P392" s="34"/>
    </row>
    <row r="393" spans="1:16" ht="21.75" customHeight="1">
      <c r="A393" s="16"/>
      <c r="B393" s="30"/>
      <c r="C393" s="31"/>
      <c r="D393" s="10"/>
      <c r="E393" s="10"/>
      <c r="F393" s="32"/>
      <c r="G393" s="15" t="str">
        <f t="shared" si="30"/>
        <v/>
      </c>
      <c r="H393" s="15" t="str">
        <f t="shared" si="31"/>
        <v/>
      </c>
      <c r="I393" s="17" t="str">
        <f t="shared" si="32"/>
        <v/>
      </c>
      <c r="J393" s="15" t="str">
        <f t="shared" si="33"/>
        <v/>
      </c>
      <c r="K393" s="19" t="str">
        <f t="shared" si="34"/>
        <v/>
      </c>
      <c r="L393" s="33"/>
      <c r="M393" s="15" t="str">
        <f>IF(B393="","",SUMIF($B$6:B392,B393,$I$6:I392))</f>
        <v/>
      </c>
      <c r="N393" s="15" t="str">
        <f>IF(B393="","",SUMIF($B$6:B392,B393,$H$6:H392))</f>
        <v/>
      </c>
      <c r="O393" s="15" t="str">
        <f>IF(B393="","",COUNTIFS($B$6:B392,B393,$K$6:K392,"&lt;&gt;已记录"))</f>
        <v/>
      </c>
      <c r="P393" s="34"/>
    </row>
    <row r="394" spans="1:16" ht="21.75" customHeight="1">
      <c r="A394" s="16"/>
      <c r="B394" s="30"/>
      <c r="C394" s="31"/>
      <c r="D394" s="10"/>
      <c r="E394" s="10"/>
      <c r="F394" s="32"/>
      <c r="G394" s="15" t="str">
        <f t="shared" si="30"/>
        <v/>
      </c>
      <c r="H394" s="15" t="str">
        <f t="shared" si="31"/>
        <v/>
      </c>
      <c r="I394" s="17" t="str">
        <f t="shared" si="32"/>
        <v/>
      </c>
      <c r="J394" s="15" t="str">
        <f t="shared" si="33"/>
        <v/>
      </c>
      <c r="K394" s="19" t="str">
        <f t="shared" si="34"/>
        <v/>
      </c>
      <c r="L394" s="33"/>
      <c r="M394" s="15" t="str">
        <f>IF(B394="","",SUMIF($B$6:B393,B394,$I$6:I393))</f>
        <v/>
      </c>
      <c r="N394" s="15" t="str">
        <f>IF(B394="","",SUMIF($B$6:B393,B394,$H$6:H393))</f>
        <v/>
      </c>
      <c r="O394" s="15" t="str">
        <f>IF(B394="","",COUNTIFS($B$6:B393,B394,$K$6:K393,"&lt;&gt;已记录"))</f>
        <v/>
      </c>
      <c r="P394" s="34"/>
    </row>
    <row r="395" spans="1:16" ht="21.75" customHeight="1">
      <c r="A395" s="16"/>
      <c r="B395" s="30"/>
      <c r="C395" s="31"/>
      <c r="D395" s="10"/>
      <c r="E395" s="10"/>
      <c r="F395" s="32"/>
      <c r="G395" s="15" t="str">
        <f t="shared" si="30"/>
        <v/>
      </c>
      <c r="H395" s="15" t="str">
        <f t="shared" si="31"/>
        <v/>
      </c>
      <c r="I395" s="17" t="str">
        <f t="shared" si="32"/>
        <v/>
      </c>
      <c r="J395" s="15" t="str">
        <f t="shared" si="33"/>
        <v/>
      </c>
      <c r="K395" s="19" t="str">
        <f t="shared" si="34"/>
        <v/>
      </c>
      <c r="L395" s="33"/>
      <c r="M395" s="15" t="str">
        <f>IF(B395="","",SUMIF($B$6:B394,B395,$I$6:I394))</f>
        <v/>
      </c>
      <c r="N395" s="15" t="str">
        <f>IF(B395="","",SUMIF($B$6:B394,B395,$H$6:H394))</f>
        <v/>
      </c>
      <c r="O395" s="15" t="str">
        <f>IF(B395="","",COUNTIFS($B$6:B394,B395,$K$6:K394,"&lt;&gt;已记录"))</f>
        <v/>
      </c>
      <c r="P395" s="34"/>
    </row>
    <row r="396" spans="1:16" ht="21.75" customHeight="1">
      <c r="A396" s="16"/>
      <c r="B396" s="30"/>
      <c r="C396" s="31"/>
      <c r="D396" s="10"/>
      <c r="E396" s="10"/>
      <c r="F396" s="32"/>
      <c r="G396" s="15" t="str">
        <f t="shared" si="30"/>
        <v/>
      </c>
      <c r="H396" s="15" t="str">
        <f t="shared" si="31"/>
        <v/>
      </c>
      <c r="I396" s="17" t="str">
        <f t="shared" si="32"/>
        <v/>
      </c>
      <c r="J396" s="15" t="str">
        <f t="shared" si="33"/>
        <v/>
      </c>
      <c r="K396" s="19" t="str">
        <f t="shared" si="34"/>
        <v/>
      </c>
      <c r="L396" s="33"/>
      <c r="M396" s="15" t="str">
        <f>IF(B396="","",SUMIF($B$6:B395,B396,$I$6:I395))</f>
        <v/>
      </c>
      <c r="N396" s="15" t="str">
        <f>IF(B396="","",SUMIF($B$6:B395,B396,$H$6:H395))</f>
        <v/>
      </c>
      <c r="O396" s="15" t="str">
        <f>IF(B396="","",COUNTIFS($B$6:B395,B396,$K$6:K395,"&lt;&gt;已记录"))</f>
        <v/>
      </c>
      <c r="P396" s="34"/>
    </row>
    <row r="397" spans="1:16" ht="21.75" customHeight="1">
      <c r="A397" s="16"/>
      <c r="B397" s="30"/>
      <c r="C397" s="31"/>
      <c r="D397" s="10"/>
      <c r="E397" s="10"/>
      <c r="F397" s="32"/>
      <c r="G397" s="15" t="str">
        <f t="shared" si="30"/>
        <v/>
      </c>
      <c r="H397" s="15" t="str">
        <f t="shared" si="31"/>
        <v/>
      </c>
      <c r="I397" s="17" t="str">
        <f t="shared" si="32"/>
        <v/>
      </c>
      <c r="J397" s="15" t="str">
        <f t="shared" si="33"/>
        <v/>
      </c>
      <c r="K397" s="19" t="str">
        <f t="shared" si="34"/>
        <v/>
      </c>
      <c r="L397" s="33"/>
      <c r="M397" s="15" t="str">
        <f>IF(B397="","",SUMIF($B$6:B396,B397,$I$6:I396))</f>
        <v/>
      </c>
      <c r="N397" s="15" t="str">
        <f>IF(B397="","",SUMIF($B$6:B396,B397,$H$6:H396))</f>
        <v/>
      </c>
      <c r="O397" s="15" t="str">
        <f>IF(B397="","",COUNTIFS($B$6:B396,B397,$K$6:K396,"&lt;&gt;已记录"))</f>
        <v/>
      </c>
      <c r="P397" s="34"/>
    </row>
    <row r="398" spans="1:16" ht="21.75" customHeight="1">
      <c r="A398" s="16"/>
      <c r="B398" s="30"/>
      <c r="C398" s="31"/>
      <c r="D398" s="10"/>
      <c r="E398" s="10"/>
      <c r="F398" s="32"/>
      <c r="G398" s="15" t="str">
        <f t="shared" si="30"/>
        <v/>
      </c>
      <c r="H398" s="15" t="str">
        <f t="shared" si="31"/>
        <v/>
      </c>
      <c r="I398" s="17" t="str">
        <f t="shared" si="32"/>
        <v/>
      </c>
      <c r="J398" s="15" t="str">
        <f t="shared" si="33"/>
        <v/>
      </c>
      <c r="K398" s="19" t="str">
        <f t="shared" si="34"/>
        <v/>
      </c>
      <c r="L398" s="33"/>
      <c r="M398" s="15" t="str">
        <f>IF(B398="","",SUMIF($B$6:B397,B398,$I$6:I397))</f>
        <v/>
      </c>
      <c r="N398" s="15" t="str">
        <f>IF(B398="","",SUMIF($B$6:B397,B398,$H$6:H397))</f>
        <v/>
      </c>
      <c r="O398" s="15" t="str">
        <f>IF(B398="","",COUNTIFS($B$6:B397,B398,$K$6:K397,"&lt;&gt;已记录"))</f>
        <v/>
      </c>
      <c r="P398" s="34"/>
    </row>
    <row r="399" spans="1:16" ht="21.75" customHeight="1">
      <c r="A399" s="16"/>
      <c r="B399" s="30"/>
      <c r="C399" s="31"/>
      <c r="D399" s="10"/>
      <c r="E399" s="10"/>
      <c r="F399" s="32"/>
      <c r="G399" s="15" t="str">
        <f t="shared" si="30"/>
        <v/>
      </c>
      <c r="H399" s="15" t="str">
        <f t="shared" si="31"/>
        <v/>
      </c>
      <c r="I399" s="17" t="str">
        <f t="shared" si="32"/>
        <v/>
      </c>
      <c r="J399" s="15" t="str">
        <f t="shared" si="33"/>
        <v/>
      </c>
      <c r="K399" s="19" t="str">
        <f t="shared" si="34"/>
        <v/>
      </c>
      <c r="L399" s="33"/>
      <c r="M399" s="15" t="str">
        <f>IF(B399="","",SUMIF($B$6:B398,B399,$I$6:I398))</f>
        <v/>
      </c>
      <c r="N399" s="15" t="str">
        <f>IF(B399="","",SUMIF($B$6:B398,B399,$H$6:H398))</f>
        <v/>
      </c>
      <c r="O399" s="15" t="str">
        <f>IF(B399="","",COUNTIFS($B$6:B398,B399,$K$6:K398,"&lt;&gt;已记录"))</f>
        <v/>
      </c>
      <c r="P399" s="34"/>
    </row>
    <row r="400" spans="1:16" ht="21.75" customHeight="1">
      <c r="A400" s="16"/>
      <c r="B400" s="30"/>
      <c r="C400" s="31"/>
      <c r="D400" s="10"/>
      <c r="E400" s="10"/>
      <c r="F400" s="32"/>
      <c r="G400" s="15" t="str">
        <f t="shared" si="30"/>
        <v/>
      </c>
      <c r="H400" s="15" t="str">
        <f t="shared" si="31"/>
        <v/>
      </c>
      <c r="I400" s="17" t="str">
        <f t="shared" si="32"/>
        <v/>
      </c>
      <c r="J400" s="15" t="str">
        <f t="shared" si="33"/>
        <v/>
      </c>
      <c r="K400" s="19" t="str">
        <f t="shared" si="34"/>
        <v/>
      </c>
      <c r="L400" s="33"/>
      <c r="M400" s="15" t="str">
        <f>IF(B400="","",SUMIF($B$6:B399,B400,$I$6:I399))</f>
        <v/>
      </c>
      <c r="N400" s="15" t="str">
        <f>IF(B400="","",SUMIF($B$6:B399,B400,$H$6:H399))</f>
        <v/>
      </c>
      <c r="O400" s="15" t="str">
        <f>IF(B400="","",COUNTIFS($B$6:B399,B400,$K$6:K399,"&lt;&gt;已记录"))</f>
        <v/>
      </c>
      <c r="P400" s="34"/>
    </row>
    <row r="401" spans="1:16" ht="21.75" customHeight="1">
      <c r="A401" s="16"/>
      <c r="B401" s="30"/>
      <c r="C401" s="31"/>
      <c r="D401" s="10"/>
      <c r="E401" s="10"/>
      <c r="F401" s="32"/>
      <c r="G401" s="15" t="str">
        <f t="shared" si="30"/>
        <v/>
      </c>
      <c r="H401" s="15" t="str">
        <f t="shared" si="31"/>
        <v/>
      </c>
      <c r="I401" s="17" t="str">
        <f t="shared" si="32"/>
        <v/>
      </c>
      <c r="J401" s="15" t="str">
        <f t="shared" si="33"/>
        <v/>
      </c>
      <c r="K401" s="19" t="str">
        <f t="shared" si="34"/>
        <v/>
      </c>
      <c r="L401" s="33"/>
      <c r="M401" s="15" t="str">
        <f>IF(B401="","",SUMIF($B$6:B400,B401,$I$6:I400))</f>
        <v/>
      </c>
      <c r="N401" s="15" t="str">
        <f>IF(B401="","",SUMIF($B$6:B400,B401,$H$6:H400))</f>
        <v/>
      </c>
      <c r="O401" s="15" t="str">
        <f>IF(B401="","",COUNTIFS($B$6:B400,B401,$K$6:K400,"&lt;&gt;已记录"))</f>
        <v/>
      </c>
      <c r="P401" s="34"/>
    </row>
    <row r="402" spans="1:16" ht="21.75" customHeight="1">
      <c r="A402" s="16"/>
      <c r="B402" s="30"/>
      <c r="C402" s="31"/>
      <c r="D402" s="10"/>
      <c r="E402" s="10"/>
      <c r="F402" s="32"/>
      <c r="G402" s="15" t="str">
        <f t="shared" si="30"/>
        <v/>
      </c>
      <c r="H402" s="15" t="str">
        <f t="shared" si="31"/>
        <v/>
      </c>
      <c r="I402" s="17" t="str">
        <f t="shared" si="32"/>
        <v/>
      </c>
      <c r="J402" s="15" t="str">
        <f t="shared" si="33"/>
        <v/>
      </c>
      <c r="K402" s="19" t="str">
        <f t="shared" si="34"/>
        <v/>
      </c>
      <c r="L402" s="33"/>
      <c r="M402" s="15" t="str">
        <f>IF(B402="","",SUMIF($B$6:B401,B402,$I$6:I401))</f>
        <v/>
      </c>
      <c r="N402" s="15" t="str">
        <f>IF(B402="","",SUMIF($B$6:B401,B402,$H$6:H401))</f>
        <v/>
      </c>
      <c r="O402" s="15" t="str">
        <f>IF(B402="","",COUNTIFS($B$6:B401,B402,$K$6:K401,"&lt;&gt;已记录"))</f>
        <v/>
      </c>
      <c r="P402" s="34"/>
    </row>
    <row r="403" spans="1:16" ht="21.75" customHeight="1">
      <c r="A403" s="16"/>
      <c r="B403" s="30"/>
      <c r="C403" s="31"/>
      <c r="D403" s="10"/>
      <c r="E403" s="10"/>
      <c r="F403" s="32"/>
      <c r="G403" s="15" t="str">
        <f t="shared" si="30"/>
        <v/>
      </c>
      <c r="H403" s="15" t="str">
        <f t="shared" si="31"/>
        <v/>
      </c>
      <c r="I403" s="17" t="str">
        <f t="shared" si="32"/>
        <v/>
      </c>
      <c r="J403" s="15" t="str">
        <f t="shared" si="33"/>
        <v/>
      </c>
      <c r="K403" s="19" t="str">
        <f t="shared" si="34"/>
        <v/>
      </c>
      <c r="L403" s="33"/>
      <c r="M403" s="15" t="str">
        <f>IF(B403="","",SUMIF($B$6:B402,B403,$I$6:I402))</f>
        <v/>
      </c>
      <c r="N403" s="15" t="str">
        <f>IF(B403="","",SUMIF($B$6:B402,B403,$H$6:H402))</f>
        <v/>
      </c>
      <c r="O403" s="15" t="str">
        <f>IF(B403="","",COUNTIFS($B$6:B402,B403,$K$6:K402,"&lt;&gt;已记录"))</f>
        <v/>
      </c>
      <c r="P403" s="34"/>
    </row>
    <row r="404" spans="1:16" ht="21.75" customHeight="1">
      <c r="A404" s="16"/>
      <c r="B404" s="30"/>
      <c r="C404" s="31"/>
      <c r="D404" s="10"/>
      <c r="E404" s="10"/>
      <c r="F404" s="32"/>
      <c r="G404" s="15" t="str">
        <f t="shared" si="30"/>
        <v/>
      </c>
      <c r="H404" s="15" t="str">
        <f t="shared" si="31"/>
        <v/>
      </c>
      <c r="I404" s="17" t="str">
        <f t="shared" si="32"/>
        <v/>
      </c>
      <c r="J404" s="15" t="str">
        <f t="shared" si="33"/>
        <v/>
      </c>
      <c r="K404" s="19" t="str">
        <f t="shared" si="34"/>
        <v/>
      </c>
      <c r="L404" s="33"/>
      <c r="M404" s="15" t="str">
        <f>IF(B404="","",SUMIF($B$6:B403,B404,$I$6:I403))</f>
        <v/>
      </c>
      <c r="N404" s="15" t="str">
        <f>IF(B404="","",SUMIF($B$6:B403,B404,$H$6:H403))</f>
        <v/>
      </c>
      <c r="O404" s="15" t="str">
        <f>IF(B404="","",COUNTIFS($B$6:B403,B404,$K$6:K403,"&lt;&gt;已记录"))</f>
        <v/>
      </c>
      <c r="P404" s="34"/>
    </row>
    <row r="405" spans="1:16" ht="21.75" customHeight="1">
      <c r="A405" s="16"/>
      <c r="B405" s="30"/>
      <c r="C405" s="31"/>
      <c r="D405" s="10"/>
      <c r="E405" s="10"/>
      <c r="F405" s="32"/>
      <c r="G405" s="15" t="str">
        <f t="shared" si="30"/>
        <v/>
      </c>
      <c r="H405" s="15" t="str">
        <f t="shared" si="31"/>
        <v/>
      </c>
      <c r="I405" s="17" t="str">
        <f t="shared" si="32"/>
        <v/>
      </c>
      <c r="J405" s="15" t="str">
        <f t="shared" si="33"/>
        <v/>
      </c>
      <c r="K405" s="19" t="str">
        <f t="shared" si="34"/>
        <v/>
      </c>
      <c r="L405" s="33"/>
      <c r="M405" s="15" t="str">
        <f>IF(B405="","",SUMIF($B$6:B404,B405,$I$6:I404))</f>
        <v/>
      </c>
      <c r="N405" s="15" t="str">
        <f>IF(B405="","",SUMIF($B$6:B404,B405,$H$6:H404))</f>
        <v/>
      </c>
      <c r="O405" s="15" t="str">
        <f>IF(B405="","",COUNTIFS($B$6:B404,B405,$K$6:K404,"&lt;&gt;已记录"))</f>
        <v/>
      </c>
      <c r="P405" s="34"/>
    </row>
    <row r="406" spans="1:16" ht="21.75" customHeight="1">
      <c r="A406" s="16"/>
      <c r="B406" s="30"/>
      <c r="C406" s="31"/>
      <c r="D406" s="10"/>
      <c r="E406" s="10"/>
      <c r="F406" s="32"/>
      <c r="G406" s="15" t="str">
        <f t="shared" si="30"/>
        <v/>
      </c>
      <c r="H406" s="15" t="str">
        <f t="shared" si="31"/>
        <v/>
      </c>
      <c r="I406" s="17" t="str">
        <f t="shared" si="32"/>
        <v/>
      </c>
      <c r="J406" s="15" t="str">
        <f t="shared" si="33"/>
        <v/>
      </c>
      <c r="K406" s="19" t="str">
        <f t="shared" si="34"/>
        <v/>
      </c>
      <c r="L406" s="33"/>
      <c r="M406" s="15" t="str">
        <f>IF(B406="","",SUMIF($B$6:B405,B406,$I$6:I405))</f>
        <v/>
      </c>
      <c r="N406" s="15" t="str">
        <f>IF(B406="","",SUMIF($B$6:B405,B406,$H$6:H405))</f>
        <v/>
      </c>
      <c r="O406" s="15" t="str">
        <f>IF(B406="","",COUNTIFS($B$6:B405,B406,$K$6:K405,"&lt;&gt;已记录"))</f>
        <v/>
      </c>
      <c r="P406" s="34"/>
    </row>
    <row r="407" spans="1:16" ht="21.75" customHeight="1">
      <c r="A407" s="16"/>
      <c r="B407" s="30"/>
      <c r="C407" s="31"/>
      <c r="D407" s="10"/>
      <c r="E407" s="10"/>
      <c r="F407" s="32"/>
      <c r="G407" s="15" t="str">
        <f t="shared" si="30"/>
        <v/>
      </c>
      <c r="H407" s="15" t="str">
        <f t="shared" si="31"/>
        <v/>
      </c>
      <c r="I407" s="17" t="str">
        <f t="shared" si="32"/>
        <v/>
      </c>
      <c r="J407" s="15" t="str">
        <f t="shared" si="33"/>
        <v/>
      </c>
      <c r="K407" s="19" t="str">
        <f t="shared" si="34"/>
        <v/>
      </c>
      <c r="L407" s="33"/>
      <c r="M407" s="15" t="str">
        <f>IF(B407="","",SUMIF($B$6:B406,B407,$I$6:I406))</f>
        <v/>
      </c>
      <c r="N407" s="15" t="str">
        <f>IF(B407="","",SUMIF($B$6:B406,B407,$H$6:H406))</f>
        <v/>
      </c>
      <c r="O407" s="15" t="str">
        <f>IF(B407="","",COUNTIFS($B$6:B406,B407,$K$6:K406,"&lt;&gt;已记录"))</f>
        <v/>
      </c>
      <c r="P407" s="34"/>
    </row>
    <row r="408" spans="1:16" ht="21.75" customHeight="1">
      <c r="A408" s="16"/>
      <c r="B408" s="30"/>
      <c r="C408" s="31"/>
      <c r="D408" s="10"/>
      <c r="E408" s="10"/>
      <c r="F408" s="32"/>
      <c r="G408" s="15" t="str">
        <f t="shared" si="30"/>
        <v/>
      </c>
      <c r="H408" s="15" t="str">
        <f t="shared" si="31"/>
        <v/>
      </c>
      <c r="I408" s="17" t="str">
        <f t="shared" si="32"/>
        <v/>
      </c>
      <c r="J408" s="15" t="str">
        <f t="shared" si="33"/>
        <v/>
      </c>
      <c r="K408" s="19" t="str">
        <f t="shared" si="34"/>
        <v/>
      </c>
      <c r="L408" s="33"/>
      <c r="M408" s="15" t="str">
        <f>IF(B408="","",SUMIF($B$6:B407,B408,$I$6:I407))</f>
        <v/>
      </c>
      <c r="N408" s="15" t="str">
        <f>IF(B408="","",SUMIF($B$6:B407,B408,$H$6:H407))</f>
        <v/>
      </c>
      <c r="O408" s="15" t="str">
        <f>IF(B408="","",COUNTIFS($B$6:B407,B408,$K$6:K407,"&lt;&gt;已记录"))</f>
        <v/>
      </c>
      <c r="P408" s="34"/>
    </row>
    <row r="409" spans="1:16" ht="21.75" customHeight="1">
      <c r="A409" s="16"/>
      <c r="B409" s="30"/>
      <c r="C409" s="31"/>
      <c r="D409" s="10"/>
      <c r="E409" s="10"/>
      <c r="F409" s="32"/>
      <c r="G409" s="15" t="str">
        <f t="shared" si="30"/>
        <v/>
      </c>
      <c r="H409" s="15" t="str">
        <f t="shared" si="31"/>
        <v/>
      </c>
      <c r="I409" s="17" t="str">
        <f t="shared" si="32"/>
        <v/>
      </c>
      <c r="J409" s="15" t="str">
        <f t="shared" si="33"/>
        <v/>
      </c>
      <c r="K409" s="19" t="str">
        <f t="shared" si="34"/>
        <v/>
      </c>
      <c r="L409" s="33"/>
      <c r="M409" s="15" t="str">
        <f>IF(B409="","",SUMIF($B$6:B408,B409,$I$6:I408))</f>
        <v/>
      </c>
      <c r="N409" s="15" t="str">
        <f>IF(B409="","",SUMIF($B$6:B408,B409,$H$6:H408))</f>
        <v/>
      </c>
      <c r="O409" s="15" t="str">
        <f>IF(B409="","",COUNTIFS($B$6:B408,B409,$K$6:K408,"&lt;&gt;已记录"))</f>
        <v/>
      </c>
      <c r="P409" s="34"/>
    </row>
    <row r="410" spans="1:16" ht="21.75" customHeight="1">
      <c r="A410" s="16"/>
      <c r="B410" s="30"/>
      <c r="C410" s="31"/>
      <c r="D410" s="10"/>
      <c r="E410" s="10"/>
      <c r="F410" s="32"/>
      <c r="G410" s="15" t="str">
        <f t="shared" si="30"/>
        <v/>
      </c>
      <c r="H410" s="15" t="str">
        <f t="shared" si="31"/>
        <v/>
      </c>
      <c r="I410" s="17" t="str">
        <f t="shared" si="32"/>
        <v/>
      </c>
      <c r="J410" s="15" t="str">
        <f t="shared" si="33"/>
        <v/>
      </c>
      <c r="K410" s="19" t="str">
        <f t="shared" si="34"/>
        <v/>
      </c>
      <c r="L410" s="33"/>
      <c r="M410" s="15" t="str">
        <f>IF(B410="","",SUMIF($B$6:B409,B410,$I$6:I409))</f>
        <v/>
      </c>
      <c r="N410" s="15" t="str">
        <f>IF(B410="","",SUMIF($B$6:B409,B410,$H$6:H409))</f>
        <v/>
      </c>
      <c r="O410" s="15" t="str">
        <f>IF(B410="","",COUNTIFS($B$6:B409,B410,$K$6:K409,"&lt;&gt;已记录"))</f>
        <v/>
      </c>
      <c r="P410" s="34"/>
    </row>
    <row r="411" spans="1:16" ht="21.75" customHeight="1">
      <c r="A411" s="16"/>
      <c r="B411" s="30"/>
      <c r="C411" s="31"/>
      <c r="D411" s="10"/>
      <c r="E411" s="10"/>
      <c r="F411" s="32"/>
      <c r="G411" s="15" t="str">
        <f t="shared" si="30"/>
        <v/>
      </c>
      <c r="H411" s="15" t="str">
        <f t="shared" si="31"/>
        <v/>
      </c>
      <c r="I411" s="17" t="str">
        <f t="shared" si="32"/>
        <v/>
      </c>
      <c r="J411" s="15" t="str">
        <f t="shared" si="33"/>
        <v/>
      </c>
      <c r="K411" s="19" t="str">
        <f t="shared" si="34"/>
        <v/>
      </c>
      <c r="L411" s="33"/>
      <c r="M411" s="15" t="str">
        <f>IF(B411="","",SUMIF($B$6:B410,B411,$I$6:I410))</f>
        <v/>
      </c>
      <c r="N411" s="15" t="str">
        <f>IF(B411="","",SUMIF($B$6:B410,B411,$H$6:H410))</f>
        <v/>
      </c>
      <c r="O411" s="15" t="str">
        <f>IF(B411="","",COUNTIFS($B$6:B410,B411,$K$6:K410,"&lt;&gt;已记录"))</f>
        <v/>
      </c>
      <c r="P411" s="34"/>
    </row>
    <row r="412" spans="1:16" ht="21.75" customHeight="1">
      <c r="A412" s="16"/>
      <c r="B412" s="30"/>
      <c r="C412" s="31"/>
      <c r="D412" s="10"/>
      <c r="E412" s="10"/>
      <c r="F412" s="32"/>
      <c r="G412" s="15" t="str">
        <f t="shared" si="30"/>
        <v/>
      </c>
      <c r="H412" s="15" t="str">
        <f t="shared" si="31"/>
        <v/>
      </c>
      <c r="I412" s="17" t="str">
        <f t="shared" si="32"/>
        <v/>
      </c>
      <c r="J412" s="15" t="str">
        <f t="shared" si="33"/>
        <v/>
      </c>
      <c r="K412" s="19" t="str">
        <f t="shared" si="34"/>
        <v/>
      </c>
      <c r="L412" s="33"/>
      <c r="M412" s="15" t="str">
        <f>IF(B412="","",SUMIF($B$6:B411,B412,$I$6:I411))</f>
        <v/>
      </c>
      <c r="N412" s="15" t="str">
        <f>IF(B412="","",SUMIF($B$6:B411,B412,$H$6:H411))</f>
        <v/>
      </c>
      <c r="O412" s="15" t="str">
        <f>IF(B412="","",COUNTIFS($B$6:B411,B412,$K$6:K411,"&lt;&gt;已记录"))</f>
        <v/>
      </c>
      <c r="P412" s="34"/>
    </row>
    <row r="413" spans="1:16" ht="21.75" customHeight="1">
      <c r="A413" s="16"/>
      <c r="B413" s="30"/>
      <c r="C413" s="31"/>
      <c r="D413" s="10"/>
      <c r="E413" s="10"/>
      <c r="F413" s="32"/>
      <c r="G413" s="15" t="str">
        <f t="shared" si="30"/>
        <v/>
      </c>
      <c r="H413" s="15" t="str">
        <f t="shared" si="31"/>
        <v/>
      </c>
      <c r="I413" s="17" t="str">
        <f t="shared" si="32"/>
        <v/>
      </c>
      <c r="J413" s="15" t="str">
        <f t="shared" si="33"/>
        <v/>
      </c>
      <c r="K413" s="19" t="str">
        <f t="shared" si="34"/>
        <v/>
      </c>
      <c r="L413" s="33"/>
      <c r="M413" s="15" t="str">
        <f>IF(B413="","",SUMIF($B$6:B412,B413,$I$6:I412))</f>
        <v/>
      </c>
      <c r="N413" s="15" t="str">
        <f>IF(B413="","",SUMIF($B$6:B412,B413,$H$6:H412))</f>
        <v/>
      </c>
      <c r="O413" s="15" t="str">
        <f>IF(B413="","",COUNTIFS($B$6:B412,B413,$K$6:K412,"&lt;&gt;已记录"))</f>
        <v/>
      </c>
      <c r="P413" s="34"/>
    </row>
    <row r="414" spans="1:16" ht="21.75" customHeight="1">
      <c r="A414" s="16"/>
      <c r="B414" s="30"/>
      <c r="C414" s="31"/>
      <c r="D414" s="10"/>
      <c r="E414" s="10"/>
      <c r="F414" s="32"/>
      <c r="G414" s="15" t="str">
        <f t="shared" si="30"/>
        <v/>
      </c>
      <c r="H414" s="15" t="str">
        <f t="shared" si="31"/>
        <v/>
      </c>
      <c r="I414" s="17" t="str">
        <f t="shared" si="32"/>
        <v/>
      </c>
      <c r="J414" s="15" t="str">
        <f t="shared" si="33"/>
        <v/>
      </c>
      <c r="K414" s="19" t="str">
        <f t="shared" si="34"/>
        <v/>
      </c>
      <c r="L414" s="33"/>
      <c r="M414" s="15" t="str">
        <f>IF(B414="","",SUMIF($B$6:B413,B414,$I$6:I413))</f>
        <v/>
      </c>
      <c r="N414" s="15" t="str">
        <f>IF(B414="","",SUMIF($B$6:B413,B414,$H$6:H413))</f>
        <v/>
      </c>
      <c r="O414" s="15" t="str">
        <f>IF(B414="","",COUNTIFS($B$6:B413,B414,$K$6:K413,"&lt;&gt;已记录"))</f>
        <v/>
      </c>
      <c r="P414" s="34"/>
    </row>
    <row r="415" spans="1:16" ht="21.75" customHeight="1">
      <c r="A415" s="16"/>
      <c r="B415" s="30"/>
      <c r="C415" s="31"/>
      <c r="D415" s="10"/>
      <c r="E415" s="10"/>
      <c r="F415" s="32"/>
      <c r="G415" s="15" t="str">
        <f t="shared" si="30"/>
        <v/>
      </c>
      <c r="H415" s="15" t="str">
        <f t="shared" si="31"/>
        <v/>
      </c>
      <c r="I415" s="17" t="str">
        <f t="shared" si="32"/>
        <v/>
      </c>
      <c r="J415" s="15" t="str">
        <f t="shared" si="33"/>
        <v/>
      </c>
      <c r="K415" s="19" t="str">
        <f t="shared" si="34"/>
        <v/>
      </c>
      <c r="L415" s="33"/>
      <c r="M415" s="15" t="str">
        <f>IF(B415="","",SUMIF($B$6:B414,B415,$I$6:I414))</f>
        <v/>
      </c>
      <c r="N415" s="15" t="str">
        <f>IF(B415="","",SUMIF($B$6:B414,B415,$H$6:H414))</f>
        <v/>
      </c>
      <c r="O415" s="15" t="str">
        <f>IF(B415="","",COUNTIFS($B$6:B414,B415,$K$6:K414,"&lt;&gt;已记录"))</f>
        <v/>
      </c>
      <c r="P415" s="34"/>
    </row>
    <row r="416" spans="1:16" ht="21.75" customHeight="1">
      <c r="A416" s="16"/>
      <c r="B416" s="30"/>
      <c r="C416" s="31"/>
      <c r="D416" s="10"/>
      <c r="E416" s="10"/>
      <c r="F416" s="32"/>
      <c r="G416" s="15" t="str">
        <f t="shared" si="30"/>
        <v/>
      </c>
      <c r="H416" s="15" t="str">
        <f t="shared" si="31"/>
        <v/>
      </c>
      <c r="I416" s="17" t="str">
        <f t="shared" si="32"/>
        <v/>
      </c>
      <c r="J416" s="15" t="str">
        <f t="shared" si="33"/>
        <v/>
      </c>
      <c r="K416" s="19" t="str">
        <f t="shared" si="34"/>
        <v/>
      </c>
      <c r="L416" s="33"/>
      <c r="M416" s="15" t="str">
        <f>IF(B416="","",SUMIF($B$6:B415,B416,$I$6:I415))</f>
        <v/>
      </c>
      <c r="N416" s="15" t="str">
        <f>IF(B416="","",SUMIF($B$6:B415,B416,$H$6:H415))</f>
        <v/>
      </c>
      <c r="O416" s="15" t="str">
        <f>IF(B416="","",COUNTIFS($B$6:B415,B416,$K$6:K415,"&lt;&gt;已记录"))</f>
        <v/>
      </c>
      <c r="P416" s="34"/>
    </row>
    <row r="417" spans="1:16" ht="21.75" customHeight="1">
      <c r="A417" s="16"/>
      <c r="B417" s="30"/>
      <c r="C417" s="31"/>
      <c r="D417" s="10"/>
      <c r="E417" s="10"/>
      <c r="F417" s="32"/>
      <c r="G417" s="15" t="str">
        <f t="shared" si="30"/>
        <v/>
      </c>
      <c r="H417" s="15" t="str">
        <f t="shared" si="31"/>
        <v/>
      </c>
      <c r="I417" s="17" t="str">
        <f t="shared" si="32"/>
        <v/>
      </c>
      <c r="J417" s="15" t="str">
        <f t="shared" si="33"/>
        <v/>
      </c>
      <c r="K417" s="19" t="str">
        <f t="shared" si="34"/>
        <v/>
      </c>
      <c r="L417" s="33"/>
      <c r="M417" s="15" t="str">
        <f>IF(B417="","",SUMIF($B$6:B416,B417,$I$6:I416))</f>
        <v/>
      </c>
      <c r="N417" s="15" t="str">
        <f>IF(B417="","",SUMIF($B$6:B416,B417,$H$6:H416))</f>
        <v/>
      </c>
      <c r="O417" s="15" t="str">
        <f>IF(B417="","",COUNTIFS($B$6:B416,B417,$K$6:K416,"&lt;&gt;已记录"))</f>
        <v/>
      </c>
      <c r="P417" s="34"/>
    </row>
    <row r="418" spans="1:16" ht="21.75" customHeight="1">
      <c r="A418" s="16"/>
      <c r="B418" s="30"/>
      <c r="C418" s="31"/>
      <c r="D418" s="10"/>
      <c r="E418" s="10"/>
      <c r="F418" s="32"/>
      <c r="G418" s="15" t="str">
        <f t="shared" si="30"/>
        <v/>
      </c>
      <c r="H418" s="15" t="str">
        <f t="shared" si="31"/>
        <v/>
      </c>
      <c r="I418" s="17" t="str">
        <f t="shared" si="32"/>
        <v/>
      </c>
      <c r="J418" s="15" t="str">
        <f t="shared" si="33"/>
        <v/>
      </c>
      <c r="K418" s="19" t="str">
        <f t="shared" si="34"/>
        <v/>
      </c>
      <c r="L418" s="33"/>
      <c r="M418" s="15" t="str">
        <f>IF(B418="","",SUMIF($B$6:B417,B418,$I$6:I417))</f>
        <v/>
      </c>
      <c r="N418" s="15" t="str">
        <f>IF(B418="","",SUMIF($B$6:B417,B418,$H$6:H417))</f>
        <v/>
      </c>
      <c r="O418" s="15" t="str">
        <f>IF(B418="","",COUNTIFS($B$6:B417,B418,$K$6:K417,"&lt;&gt;已记录"))</f>
        <v/>
      </c>
      <c r="P418" s="34"/>
    </row>
    <row r="419" spans="1:16" ht="21.75" customHeight="1">
      <c r="A419" s="16"/>
      <c r="B419" s="30"/>
      <c r="C419" s="31"/>
      <c r="D419" s="10"/>
      <c r="E419" s="10"/>
      <c r="F419" s="32"/>
      <c r="G419" s="15" t="str">
        <f t="shared" si="30"/>
        <v/>
      </c>
      <c r="H419" s="15" t="str">
        <f t="shared" si="31"/>
        <v/>
      </c>
      <c r="I419" s="17" t="str">
        <f t="shared" si="32"/>
        <v/>
      </c>
      <c r="J419" s="15" t="str">
        <f t="shared" si="33"/>
        <v/>
      </c>
      <c r="K419" s="19" t="str">
        <f t="shared" si="34"/>
        <v/>
      </c>
      <c r="L419" s="33"/>
      <c r="M419" s="15" t="str">
        <f>IF(B419="","",SUMIF($B$6:B418,B419,$I$6:I418))</f>
        <v/>
      </c>
      <c r="N419" s="15" t="str">
        <f>IF(B419="","",SUMIF($B$6:B418,B419,$H$6:H418))</f>
        <v/>
      </c>
      <c r="O419" s="15" t="str">
        <f>IF(B419="","",COUNTIFS($B$6:B418,B419,$K$6:K418,"&lt;&gt;已记录"))</f>
        <v/>
      </c>
      <c r="P419" s="34"/>
    </row>
    <row r="420" spans="1:16" ht="21.75" customHeight="1">
      <c r="A420" s="16"/>
      <c r="B420" s="30"/>
      <c r="C420" s="31"/>
      <c r="D420" s="10"/>
      <c r="E420" s="10"/>
      <c r="F420" s="32"/>
      <c r="G420" s="15" t="str">
        <f t="shared" si="30"/>
        <v/>
      </c>
      <c r="H420" s="15" t="str">
        <f t="shared" si="31"/>
        <v/>
      </c>
      <c r="I420" s="17" t="str">
        <f t="shared" si="32"/>
        <v/>
      </c>
      <c r="J420" s="15" t="str">
        <f t="shared" si="33"/>
        <v/>
      </c>
      <c r="K420" s="19" t="str">
        <f t="shared" si="34"/>
        <v/>
      </c>
      <c r="L420" s="33"/>
      <c r="M420" s="15" t="str">
        <f>IF(B420="","",SUMIF($B$6:B419,B420,$I$6:I419))</f>
        <v/>
      </c>
      <c r="N420" s="15" t="str">
        <f>IF(B420="","",SUMIF($B$6:B419,B420,$H$6:H419))</f>
        <v/>
      </c>
      <c r="O420" s="15" t="str">
        <f>IF(B420="","",COUNTIFS($B$6:B419,B420,$K$6:K419,"&lt;&gt;已记录"))</f>
        <v/>
      </c>
      <c r="P420" s="34"/>
    </row>
    <row r="421" spans="1:16" ht="21.75" customHeight="1">
      <c r="A421" s="16"/>
      <c r="B421" s="30"/>
      <c r="C421" s="31"/>
      <c r="D421" s="10"/>
      <c r="E421" s="10"/>
      <c r="F421" s="32"/>
      <c r="G421" s="15" t="str">
        <f t="shared" si="30"/>
        <v/>
      </c>
      <c r="H421" s="15" t="str">
        <f t="shared" si="31"/>
        <v/>
      </c>
      <c r="I421" s="17" t="str">
        <f t="shared" si="32"/>
        <v/>
      </c>
      <c r="J421" s="15" t="str">
        <f t="shared" si="33"/>
        <v/>
      </c>
      <c r="K421" s="19" t="str">
        <f t="shared" si="34"/>
        <v/>
      </c>
      <c r="L421" s="33"/>
      <c r="M421" s="15" t="str">
        <f>IF(B421="","",SUMIF($B$6:B420,B421,$I$6:I420))</f>
        <v/>
      </c>
      <c r="N421" s="15" t="str">
        <f>IF(B421="","",SUMIF($B$6:B420,B421,$H$6:H420))</f>
        <v/>
      </c>
      <c r="O421" s="15" t="str">
        <f>IF(B421="","",COUNTIFS($B$6:B420,B421,$K$6:K420,"&lt;&gt;已记录"))</f>
        <v/>
      </c>
      <c r="P421" s="34"/>
    </row>
    <row r="422" spans="1:16" ht="21.75" customHeight="1">
      <c r="A422" s="16"/>
      <c r="B422" s="30"/>
      <c r="C422" s="31"/>
      <c r="D422" s="10"/>
      <c r="E422" s="10"/>
      <c r="F422" s="32"/>
      <c r="G422" s="15" t="str">
        <f t="shared" si="30"/>
        <v/>
      </c>
      <c r="H422" s="15" t="str">
        <f t="shared" si="31"/>
        <v/>
      </c>
      <c r="I422" s="17" t="str">
        <f t="shared" si="32"/>
        <v/>
      </c>
      <c r="J422" s="15" t="str">
        <f t="shared" si="33"/>
        <v/>
      </c>
      <c r="K422" s="19" t="str">
        <f t="shared" si="34"/>
        <v/>
      </c>
      <c r="L422" s="33"/>
      <c r="M422" s="15" t="str">
        <f>IF(B422="","",SUMIF($B$6:B421,B422,$I$6:I421))</f>
        <v/>
      </c>
      <c r="N422" s="15" t="str">
        <f>IF(B422="","",SUMIF($B$6:B421,B422,$H$6:H421))</f>
        <v/>
      </c>
      <c r="O422" s="15" t="str">
        <f>IF(B422="","",COUNTIFS($B$6:B421,B422,$K$6:K421,"&lt;&gt;已记录"))</f>
        <v/>
      </c>
      <c r="P422" s="34"/>
    </row>
    <row r="423" spans="1:16" ht="21.75" customHeight="1">
      <c r="A423" s="16"/>
      <c r="B423" s="30"/>
      <c r="C423" s="31"/>
      <c r="D423" s="10"/>
      <c r="E423" s="10"/>
      <c r="F423" s="32"/>
      <c r="G423" s="15" t="str">
        <f t="shared" si="30"/>
        <v/>
      </c>
      <c r="H423" s="15" t="str">
        <f t="shared" si="31"/>
        <v/>
      </c>
      <c r="I423" s="17" t="str">
        <f t="shared" si="32"/>
        <v/>
      </c>
      <c r="J423" s="15" t="str">
        <f t="shared" si="33"/>
        <v/>
      </c>
      <c r="K423" s="19" t="str">
        <f t="shared" si="34"/>
        <v/>
      </c>
      <c r="L423" s="33"/>
      <c r="M423" s="15" t="str">
        <f>IF(B423="","",SUMIF($B$6:B422,B423,$I$6:I422))</f>
        <v/>
      </c>
      <c r="N423" s="15" t="str">
        <f>IF(B423="","",SUMIF($B$6:B422,B423,$H$6:H422))</f>
        <v/>
      </c>
      <c r="O423" s="15" t="str">
        <f>IF(B423="","",COUNTIFS($B$6:B422,B423,$K$6:K422,"&lt;&gt;已记录"))</f>
        <v/>
      </c>
      <c r="P423" s="34"/>
    </row>
    <row r="424" spans="1:16" ht="21.75" customHeight="1">
      <c r="A424" s="16"/>
      <c r="B424" s="30"/>
      <c r="C424" s="31"/>
      <c r="D424" s="10"/>
      <c r="E424" s="10"/>
      <c r="F424" s="32"/>
      <c r="G424" s="15" t="str">
        <f t="shared" si="30"/>
        <v/>
      </c>
      <c r="H424" s="15" t="str">
        <f t="shared" si="31"/>
        <v/>
      </c>
      <c r="I424" s="17" t="str">
        <f t="shared" si="32"/>
        <v/>
      </c>
      <c r="J424" s="15" t="str">
        <f t="shared" si="33"/>
        <v/>
      </c>
      <c r="K424" s="19" t="str">
        <f t="shared" si="34"/>
        <v/>
      </c>
      <c r="L424" s="33"/>
      <c r="M424" s="15" t="str">
        <f>IF(B424="","",SUMIF($B$6:B423,B424,$I$6:I423))</f>
        <v/>
      </c>
      <c r="N424" s="15" t="str">
        <f>IF(B424="","",SUMIF($B$6:B423,B424,$H$6:H423))</f>
        <v/>
      </c>
      <c r="O424" s="15" t="str">
        <f>IF(B424="","",COUNTIFS($B$6:B423,B424,$K$6:K423,"&lt;&gt;已记录"))</f>
        <v/>
      </c>
      <c r="P424" s="34"/>
    </row>
    <row r="425" spans="1:16" ht="21.75" customHeight="1">
      <c r="A425" s="16"/>
      <c r="B425" s="30"/>
      <c r="C425" s="31"/>
      <c r="D425" s="10"/>
      <c r="E425" s="10"/>
      <c r="F425" s="32"/>
      <c r="G425" s="15" t="str">
        <f t="shared" si="30"/>
        <v/>
      </c>
      <c r="H425" s="15" t="str">
        <f t="shared" si="31"/>
        <v/>
      </c>
      <c r="I425" s="17" t="str">
        <f t="shared" si="32"/>
        <v/>
      </c>
      <c r="J425" s="15" t="str">
        <f t="shared" si="33"/>
        <v/>
      </c>
      <c r="K425" s="19" t="str">
        <f t="shared" si="34"/>
        <v/>
      </c>
      <c r="L425" s="33"/>
      <c r="M425" s="15" t="str">
        <f>IF(B425="","",SUMIF($B$6:B424,B425,$I$6:I424))</f>
        <v/>
      </c>
      <c r="N425" s="15" t="str">
        <f>IF(B425="","",SUMIF($B$6:B424,B425,$H$6:H424))</f>
        <v/>
      </c>
      <c r="O425" s="15" t="str">
        <f>IF(B425="","",COUNTIFS($B$6:B424,B425,$K$6:K424,"&lt;&gt;已记录"))</f>
        <v/>
      </c>
      <c r="P425" s="34"/>
    </row>
    <row r="426" spans="1:16" ht="21.75" customHeight="1">
      <c r="A426" s="16"/>
      <c r="B426" s="30"/>
      <c r="C426" s="31"/>
      <c r="D426" s="10"/>
      <c r="E426" s="10"/>
      <c r="F426" s="32"/>
      <c r="G426" s="15" t="str">
        <f t="shared" si="30"/>
        <v/>
      </c>
      <c r="H426" s="15" t="str">
        <f t="shared" si="31"/>
        <v/>
      </c>
      <c r="I426" s="17" t="str">
        <f t="shared" si="32"/>
        <v/>
      </c>
      <c r="J426" s="15" t="str">
        <f t="shared" si="33"/>
        <v/>
      </c>
      <c r="K426" s="19" t="str">
        <f t="shared" si="34"/>
        <v/>
      </c>
      <c r="L426" s="33"/>
      <c r="M426" s="15" t="str">
        <f>IF(B426="","",SUMIF($B$6:B425,B426,$I$6:I425))</f>
        <v/>
      </c>
      <c r="N426" s="15" t="str">
        <f>IF(B426="","",SUMIF($B$6:B425,B426,$H$6:H425))</f>
        <v/>
      </c>
      <c r="O426" s="15" t="str">
        <f>IF(B426="","",COUNTIFS($B$6:B425,B426,$K$6:K425,"&lt;&gt;已记录"))</f>
        <v/>
      </c>
      <c r="P426" s="34"/>
    </row>
    <row r="427" spans="1:16" ht="21.75" customHeight="1">
      <c r="A427" s="16"/>
      <c r="B427" s="30"/>
      <c r="C427" s="31"/>
      <c r="D427" s="10"/>
      <c r="E427" s="10"/>
      <c r="F427" s="32"/>
      <c r="G427" s="15" t="str">
        <f t="shared" si="30"/>
        <v/>
      </c>
      <c r="H427" s="15" t="str">
        <f t="shared" si="31"/>
        <v/>
      </c>
      <c r="I427" s="17" t="str">
        <f t="shared" si="32"/>
        <v/>
      </c>
      <c r="J427" s="15" t="str">
        <f t="shared" si="33"/>
        <v/>
      </c>
      <c r="K427" s="19" t="str">
        <f t="shared" si="34"/>
        <v/>
      </c>
      <c r="L427" s="33"/>
      <c r="M427" s="15" t="str">
        <f>IF(B427="","",SUMIF($B$6:B426,B427,$I$6:I426))</f>
        <v/>
      </c>
      <c r="N427" s="15" t="str">
        <f>IF(B427="","",SUMIF($B$6:B426,B427,$H$6:H426))</f>
        <v/>
      </c>
      <c r="O427" s="15" t="str">
        <f>IF(B427="","",COUNTIFS($B$6:B426,B427,$K$6:K426,"&lt;&gt;已记录"))</f>
        <v/>
      </c>
      <c r="P427" s="34"/>
    </row>
    <row r="428" spans="1:16" ht="21.75" customHeight="1">
      <c r="A428" s="16"/>
      <c r="B428" s="30"/>
      <c r="C428" s="31"/>
      <c r="D428" s="10"/>
      <c r="E428" s="10"/>
      <c r="F428" s="32"/>
      <c r="G428" s="15" t="str">
        <f t="shared" si="30"/>
        <v/>
      </c>
      <c r="H428" s="15" t="str">
        <f t="shared" si="31"/>
        <v/>
      </c>
      <c r="I428" s="17" t="str">
        <f t="shared" si="32"/>
        <v/>
      </c>
      <c r="J428" s="15" t="str">
        <f t="shared" si="33"/>
        <v/>
      </c>
      <c r="K428" s="19" t="str">
        <f t="shared" si="34"/>
        <v/>
      </c>
      <c r="L428" s="33"/>
      <c r="M428" s="15" t="str">
        <f>IF(B428="","",SUMIF($B$6:B427,B428,$I$6:I427))</f>
        <v/>
      </c>
      <c r="N428" s="15" t="str">
        <f>IF(B428="","",SUMIF($B$6:B427,B428,$H$6:H427))</f>
        <v/>
      </c>
      <c r="O428" s="15" t="str">
        <f>IF(B428="","",COUNTIFS($B$6:B427,B428,$K$6:K427,"&lt;&gt;已记录"))</f>
        <v/>
      </c>
      <c r="P428" s="34"/>
    </row>
    <row r="429" spans="1:16" ht="21.75" customHeight="1">
      <c r="A429" s="16"/>
      <c r="B429" s="30"/>
      <c r="C429" s="31"/>
      <c r="D429" s="10"/>
      <c r="E429" s="10"/>
      <c r="F429" s="32"/>
      <c r="G429" s="15" t="str">
        <f t="shared" si="30"/>
        <v/>
      </c>
      <c r="H429" s="15" t="str">
        <f t="shared" si="31"/>
        <v/>
      </c>
      <c r="I429" s="17" t="str">
        <f t="shared" si="32"/>
        <v/>
      </c>
      <c r="J429" s="15" t="str">
        <f t="shared" si="33"/>
        <v/>
      </c>
      <c r="K429" s="19" t="str">
        <f t="shared" si="34"/>
        <v/>
      </c>
      <c r="L429" s="33"/>
      <c r="M429" s="15" t="str">
        <f>IF(B429="","",SUMIF($B$6:B428,B429,$I$6:I428))</f>
        <v/>
      </c>
      <c r="N429" s="15" t="str">
        <f>IF(B429="","",SUMIF($B$6:B428,B429,$H$6:H428))</f>
        <v/>
      </c>
      <c r="O429" s="15" t="str">
        <f>IF(B429="","",COUNTIFS($B$6:B428,B429,$K$6:K428,"&lt;&gt;已记录"))</f>
        <v/>
      </c>
      <c r="P429" s="34"/>
    </row>
    <row r="430" spans="1:16" ht="21.75" customHeight="1">
      <c r="A430" s="16"/>
      <c r="B430" s="30"/>
      <c r="C430" s="31"/>
      <c r="D430" s="10"/>
      <c r="E430" s="10"/>
      <c r="F430" s="32"/>
      <c r="G430" s="15" t="str">
        <f t="shared" si="30"/>
        <v/>
      </c>
      <c r="H430" s="15" t="str">
        <f t="shared" si="31"/>
        <v/>
      </c>
      <c r="I430" s="17" t="str">
        <f t="shared" si="32"/>
        <v/>
      </c>
      <c r="J430" s="15" t="str">
        <f t="shared" si="33"/>
        <v/>
      </c>
      <c r="K430" s="19" t="str">
        <f t="shared" si="34"/>
        <v/>
      </c>
      <c r="L430" s="33"/>
      <c r="M430" s="15" t="str">
        <f>IF(B430="","",SUMIF($B$6:B429,B430,$I$6:I429))</f>
        <v/>
      </c>
      <c r="N430" s="15" t="str">
        <f>IF(B430="","",SUMIF($B$6:B429,B430,$H$6:H429))</f>
        <v/>
      </c>
      <c r="O430" s="15" t="str">
        <f>IF(B430="","",COUNTIFS($B$6:B429,B430,$K$6:K429,"&lt;&gt;已记录"))</f>
        <v/>
      </c>
      <c r="P430" s="34"/>
    </row>
    <row r="431" spans="1:16" ht="21.75" customHeight="1">
      <c r="A431" s="16"/>
      <c r="B431" s="30"/>
      <c r="C431" s="31"/>
      <c r="D431" s="10"/>
      <c r="E431" s="10"/>
      <c r="F431" s="32"/>
      <c r="G431" s="15" t="str">
        <f t="shared" si="30"/>
        <v/>
      </c>
      <c r="H431" s="15" t="str">
        <f t="shared" si="31"/>
        <v/>
      </c>
      <c r="I431" s="17" t="str">
        <f t="shared" si="32"/>
        <v/>
      </c>
      <c r="J431" s="15" t="str">
        <f t="shared" si="33"/>
        <v/>
      </c>
      <c r="K431" s="19" t="str">
        <f t="shared" si="34"/>
        <v/>
      </c>
      <c r="L431" s="33"/>
      <c r="M431" s="15" t="str">
        <f>IF(B431="","",SUMIF($B$6:B430,B431,$I$6:I430))</f>
        <v/>
      </c>
      <c r="N431" s="15" t="str">
        <f>IF(B431="","",SUMIF($B$6:B430,B431,$H$6:H430))</f>
        <v/>
      </c>
      <c r="O431" s="15" t="str">
        <f>IF(B431="","",COUNTIFS($B$6:B430,B431,$K$6:K430,"&lt;&gt;已记录"))</f>
        <v/>
      </c>
      <c r="P431" s="34"/>
    </row>
    <row r="432" spans="1:16" ht="21.75" customHeight="1">
      <c r="A432" s="16"/>
      <c r="B432" s="30"/>
      <c r="C432" s="31"/>
      <c r="D432" s="10"/>
      <c r="E432" s="10"/>
      <c r="F432" s="32"/>
      <c r="G432" s="15" t="str">
        <f t="shared" si="30"/>
        <v/>
      </c>
      <c r="H432" s="15" t="str">
        <f t="shared" si="31"/>
        <v/>
      </c>
      <c r="I432" s="17" t="str">
        <f t="shared" si="32"/>
        <v/>
      </c>
      <c r="J432" s="15" t="str">
        <f t="shared" si="33"/>
        <v/>
      </c>
      <c r="K432" s="19" t="str">
        <f t="shared" si="34"/>
        <v/>
      </c>
      <c r="L432" s="33"/>
      <c r="M432" s="15" t="str">
        <f>IF(B432="","",SUMIF($B$6:B431,B432,$I$6:I431))</f>
        <v/>
      </c>
      <c r="N432" s="15" t="str">
        <f>IF(B432="","",SUMIF($B$6:B431,B432,$H$6:H431))</f>
        <v/>
      </c>
      <c r="O432" s="15" t="str">
        <f>IF(B432="","",COUNTIFS($B$6:B431,B432,$K$6:K431,"&lt;&gt;已记录"))</f>
        <v/>
      </c>
      <c r="P432" s="34"/>
    </row>
    <row r="433" spans="1:16" ht="21.75" customHeight="1">
      <c r="A433" s="16"/>
      <c r="B433" s="30"/>
      <c r="C433" s="31"/>
      <c r="D433" s="10"/>
      <c r="E433" s="10"/>
      <c r="F433" s="32"/>
      <c r="G433" s="15" t="str">
        <f t="shared" si="30"/>
        <v/>
      </c>
      <c r="H433" s="15" t="str">
        <f t="shared" si="31"/>
        <v/>
      </c>
      <c r="I433" s="17" t="str">
        <f t="shared" si="32"/>
        <v/>
      </c>
      <c r="J433" s="15" t="str">
        <f t="shared" si="33"/>
        <v/>
      </c>
      <c r="K433" s="19" t="str">
        <f t="shared" si="34"/>
        <v/>
      </c>
      <c r="L433" s="33"/>
      <c r="M433" s="15" t="str">
        <f>IF(B433="","",SUMIF($B$6:B432,B433,$I$6:I432))</f>
        <v/>
      </c>
      <c r="N433" s="15" t="str">
        <f>IF(B433="","",SUMIF($B$6:B432,B433,$H$6:H432))</f>
        <v/>
      </c>
      <c r="O433" s="15" t="str">
        <f>IF(B433="","",COUNTIFS($B$6:B432,B433,$K$6:K432,"&lt;&gt;已记录"))</f>
        <v/>
      </c>
      <c r="P433" s="34"/>
    </row>
    <row r="434" spans="1:16" ht="21.75" customHeight="1">
      <c r="A434" s="16"/>
      <c r="B434" s="30"/>
      <c r="C434" s="31"/>
      <c r="D434" s="10"/>
      <c r="E434" s="10"/>
      <c r="F434" s="32"/>
      <c r="G434" s="15" t="str">
        <f t="shared" si="30"/>
        <v/>
      </c>
      <c r="H434" s="15" t="str">
        <f t="shared" si="31"/>
        <v/>
      </c>
      <c r="I434" s="17" t="str">
        <f t="shared" si="32"/>
        <v/>
      </c>
      <c r="J434" s="15" t="str">
        <f t="shared" si="33"/>
        <v/>
      </c>
      <c r="K434" s="19" t="str">
        <f t="shared" si="34"/>
        <v/>
      </c>
      <c r="L434" s="33"/>
      <c r="M434" s="15" t="str">
        <f>IF(B434="","",SUMIF($B$6:B433,B434,$I$6:I433))</f>
        <v/>
      </c>
      <c r="N434" s="15" t="str">
        <f>IF(B434="","",SUMIF($B$6:B433,B434,$H$6:H433))</f>
        <v/>
      </c>
      <c r="O434" s="15" t="str">
        <f>IF(B434="","",COUNTIFS($B$6:B433,B434,$K$6:K433,"&lt;&gt;已记录"))</f>
        <v/>
      </c>
      <c r="P434" s="34"/>
    </row>
    <row r="435" spans="1:16" ht="21.75" customHeight="1">
      <c r="A435" s="16"/>
      <c r="B435" s="30"/>
      <c r="C435" s="31"/>
      <c r="D435" s="10"/>
      <c r="E435" s="10"/>
      <c r="F435" s="32"/>
      <c r="G435" s="15" t="str">
        <f t="shared" si="30"/>
        <v/>
      </c>
      <c r="H435" s="15" t="str">
        <f t="shared" si="31"/>
        <v/>
      </c>
      <c r="I435" s="17" t="str">
        <f t="shared" si="32"/>
        <v/>
      </c>
      <c r="J435" s="15" t="str">
        <f t="shared" si="33"/>
        <v/>
      </c>
      <c r="K435" s="19" t="str">
        <f t="shared" si="34"/>
        <v/>
      </c>
      <c r="L435" s="33"/>
      <c r="M435" s="15" t="str">
        <f>IF(B435="","",SUMIF($B$6:B434,B435,$I$6:I434))</f>
        <v/>
      </c>
      <c r="N435" s="15" t="str">
        <f>IF(B435="","",SUMIF($B$6:B434,B435,$H$6:H434))</f>
        <v/>
      </c>
      <c r="O435" s="15" t="str">
        <f>IF(B435="","",COUNTIFS($B$6:B434,B435,$K$6:K434,"&lt;&gt;已记录"))</f>
        <v/>
      </c>
      <c r="P435" s="34"/>
    </row>
    <row r="436" spans="1:16" ht="21.75" customHeight="1">
      <c r="A436" s="16"/>
      <c r="B436" s="30"/>
      <c r="C436" s="31"/>
      <c r="D436" s="10"/>
      <c r="E436" s="10"/>
      <c r="F436" s="32"/>
      <c r="G436" s="15" t="str">
        <f t="shared" si="30"/>
        <v/>
      </c>
      <c r="H436" s="15" t="str">
        <f t="shared" si="31"/>
        <v/>
      </c>
      <c r="I436" s="17" t="str">
        <f t="shared" si="32"/>
        <v/>
      </c>
      <c r="J436" s="15" t="str">
        <f t="shared" si="33"/>
        <v/>
      </c>
      <c r="K436" s="19" t="str">
        <f t="shared" si="34"/>
        <v/>
      </c>
      <c r="L436" s="33"/>
      <c r="M436" s="15" t="str">
        <f>IF(B436="","",SUMIF($B$6:B435,B436,$I$6:I435))</f>
        <v/>
      </c>
      <c r="N436" s="15" t="str">
        <f>IF(B436="","",SUMIF($B$6:B435,B436,$H$6:H435))</f>
        <v/>
      </c>
      <c r="O436" s="15" t="str">
        <f>IF(B436="","",COUNTIFS($B$6:B435,B436,$K$6:K435,"&lt;&gt;已记录"))</f>
        <v/>
      </c>
      <c r="P436" s="34"/>
    </row>
    <row r="437" spans="1:16" ht="21.75" customHeight="1">
      <c r="A437" s="16"/>
      <c r="B437" s="30"/>
      <c r="C437" s="31"/>
      <c r="D437" s="10"/>
      <c r="E437" s="10"/>
      <c r="F437" s="32"/>
      <c r="G437" s="15" t="str">
        <f t="shared" si="30"/>
        <v/>
      </c>
      <c r="H437" s="15" t="str">
        <f t="shared" si="31"/>
        <v/>
      </c>
      <c r="I437" s="17" t="str">
        <f t="shared" si="32"/>
        <v/>
      </c>
      <c r="J437" s="15" t="str">
        <f t="shared" si="33"/>
        <v/>
      </c>
      <c r="K437" s="19" t="str">
        <f t="shared" si="34"/>
        <v/>
      </c>
      <c r="L437" s="33"/>
      <c r="M437" s="15" t="str">
        <f>IF(B437="","",SUMIF($B$6:B436,B437,$I$6:I436))</f>
        <v/>
      </c>
      <c r="N437" s="15" t="str">
        <f>IF(B437="","",SUMIF($B$6:B436,B437,$H$6:H436))</f>
        <v/>
      </c>
      <c r="O437" s="15" t="str">
        <f>IF(B437="","",COUNTIFS($B$6:B436,B437,$K$6:K436,"&lt;&gt;已记录"))</f>
        <v/>
      </c>
      <c r="P437" s="34"/>
    </row>
    <row r="438" spans="1:16" ht="21.75" customHeight="1">
      <c r="A438" s="16"/>
      <c r="B438" s="30"/>
      <c r="C438" s="31"/>
      <c r="D438" s="10"/>
      <c r="E438" s="10"/>
      <c r="F438" s="32"/>
      <c r="G438" s="15" t="str">
        <f t="shared" si="30"/>
        <v/>
      </c>
      <c r="H438" s="15" t="str">
        <f t="shared" si="31"/>
        <v/>
      </c>
      <c r="I438" s="17" t="str">
        <f t="shared" si="32"/>
        <v/>
      </c>
      <c r="J438" s="15" t="str">
        <f t="shared" si="33"/>
        <v/>
      </c>
      <c r="K438" s="19" t="str">
        <f t="shared" si="34"/>
        <v/>
      </c>
      <c r="L438" s="33"/>
      <c r="M438" s="15" t="str">
        <f>IF(B438="","",SUMIF($B$6:B437,B438,$I$6:I437))</f>
        <v/>
      </c>
      <c r="N438" s="15" t="str">
        <f>IF(B438="","",SUMIF($B$6:B437,B438,$H$6:H437))</f>
        <v/>
      </c>
      <c r="O438" s="15" t="str">
        <f>IF(B438="","",COUNTIFS($B$6:B437,B438,$K$6:K437,"&lt;&gt;已记录"))</f>
        <v/>
      </c>
      <c r="P438" s="34"/>
    </row>
    <row r="439" spans="1:16" ht="21.75" customHeight="1">
      <c r="A439" s="16"/>
      <c r="B439" s="30"/>
      <c r="C439" s="31"/>
      <c r="D439" s="10"/>
      <c r="E439" s="10"/>
      <c r="F439" s="32"/>
      <c r="G439" s="15" t="str">
        <f t="shared" si="30"/>
        <v/>
      </c>
      <c r="H439" s="15" t="str">
        <f t="shared" si="31"/>
        <v/>
      </c>
      <c r="I439" s="17" t="str">
        <f t="shared" si="32"/>
        <v/>
      </c>
      <c r="J439" s="15" t="str">
        <f t="shared" si="33"/>
        <v/>
      </c>
      <c r="K439" s="19" t="str">
        <f t="shared" si="34"/>
        <v/>
      </c>
      <c r="L439" s="33"/>
      <c r="M439" s="15" t="str">
        <f>IF(B439="","",SUMIF($B$6:B438,B439,$I$6:I438))</f>
        <v/>
      </c>
      <c r="N439" s="15" t="str">
        <f>IF(B439="","",SUMIF($B$6:B438,B439,$H$6:H438))</f>
        <v/>
      </c>
      <c r="O439" s="15" t="str">
        <f>IF(B439="","",COUNTIFS($B$6:B438,B439,$K$6:K438,"&lt;&gt;已记录"))</f>
        <v/>
      </c>
      <c r="P439" s="34"/>
    </row>
    <row r="440" spans="1:16" ht="21.75" customHeight="1">
      <c r="A440" s="16"/>
      <c r="B440" s="30"/>
      <c r="C440" s="31"/>
      <c r="D440" s="10"/>
      <c r="E440" s="10"/>
      <c r="F440" s="32"/>
      <c r="G440" s="15" t="str">
        <f t="shared" si="30"/>
        <v/>
      </c>
      <c r="H440" s="15" t="str">
        <f t="shared" si="31"/>
        <v/>
      </c>
      <c r="I440" s="17" t="str">
        <f t="shared" si="32"/>
        <v/>
      </c>
      <c r="J440" s="15" t="str">
        <f t="shared" si="33"/>
        <v/>
      </c>
      <c r="K440" s="19" t="str">
        <f t="shared" si="34"/>
        <v/>
      </c>
      <c r="L440" s="33"/>
      <c r="M440" s="15" t="str">
        <f>IF(B440="","",SUMIF($B$6:B439,B440,$I$6:I439))</f>
        <v/>
      </c>
      <c r="N440" s="15" t="str">
        <f>IF(B440="","",SUMIF($B$6:B439,B440,$H$6:H439))</f>
        <v/>
      </c>
      <c r="O440" s="15" t="str">
        <f>IF(B440="","",COUNTIFS($B$6:B439,B440,$K$6:K439,"&lt;&gt;已记录"))</f>
        <v/>
      </c>
      <c r="P440" s="34"/>
    </row>
    <row r="441" spans="1:16" ht="21.75" customHeight="1">
      <c r="A441" s="16"/>
      <c r="B441" s="30"/>
      <c r="C441" s="31"/>
      <c r="D441" s="10"/>
      <c r="E441" s="10"/>
      <c r="F441" s="32"/>
      <c r="G441" s="15" t="str">
        <f t="shared" si="30"/>
        <v/>
      </c>
      <c r="H441" s="15" t="str">
        <f t="shared" si="31"/>
        <v/>
      </c>
      <c r="I441" s="17" t="str">
        <f t="shared" si="32"/>
        <v/>
      </c>
      <c r="J441" s="15" t="str">
        <f t="shared" si="33"/>
        <v/>
      </c>
      <c r="K441" s="19" t="str">
        <f t="shared" si="34"/>
        <v/>
      </c>
      <c r="L441" s="33"/>
      <c r="M441" s="15" t="str">
        <f>IF(B441="","",SUMIF($B$6:B440,B441,$I$6:I440))</f>
        <v/>
      </c>
      <c r="N441" s="15" t="str">
        <f>IF(B441="","",SUMIF($B$6:B440,B441,$H$6:H440))</f>
        <v/>
      </c>
      <c r="O441" s="15" t="str">
        <f>IF(B441="","",COUNTIFS($B$6:B440,B441,$K$6:K440,"&lt;&gt;已记录"))</f>
        <v/>
      </c>
      <c r="P441" s="34"/>
    </row>
    <row r="442" spans="1:16" ht="21.75" customHeight="1">
      <c r="A442" s="16"/>
      <c r="B442" s="30"/>
      <c r="C442" s="31"/>
      <c r="D442" s="10"/>
      <c r="E442" s="10"/>
      <c r="F442" s="32"/>
      <c r="G442" s="15" t="str">
        <f t="shared" si="30"/>
        <v/>
      </c>
      <c r="H442" s="15" t="str">
        <f t="shared" si="31"/>
        <v/>
      </c>
      <c r="I442" s="17" t="str">
        <f t="shared" si="32"/>
        <v/>
      </c>
      <c r="J442" s="15" t="str">
        <f t="shared" si="33"/>
        <v/>
      </c>
      <c r="K442" s="19" t="str">
        <f t="shared" si="34"/>
        <v/>
      </c>
      <c r="L442" s="33"/>
      <c r="M442" s="15" t="str">
        <f>IF(B442="","",SUMIF($B$6:B441,B442,$I$6:I441))</f>
        <v/>
      </c>
      <c r="N442" s="15" t="str">
        <f>IF(B442="","",SUMIF($B$6:B441,B442,$H$6:H441))</f>
        <v/>
      </c>
      <c r="O442" s="15" t="str">
        <f>IF(B442="","",COUNTIFS($B$6:B441,B442,$K$6:K441,"&lt;&gt;已记录"))</f>
        <v/>
      </c>
      <c r="P442" s="34"/>
    </row>
    <row r="443" spans="1:16" ht="21.75" customHeight="1">
      <c r="A443" s="16"/>
      <c r="B443" s="30"/>
      <c r="C443" s="31"/>
      <c r="D443" s="10"/>
      <c r="E443" s="10"/>
      <c r="F443" s="32"/>
      <c r="G443" s="15" t="str">
        <f t="shared" si="30"/>
        <v/>
      </c>
      <c r="H443" s="15" t="str">
        <f t="shared" si="31"/>
        <v/>
      </c>
      <c r="I443" s="17" t="str">
        <f t="shared" si="32"/>
        <v/>
      </c>
      <c r="J443" s="15" t="str">
        <f t="shared" si="33"/>
        <v/>
      </c>
      <c r="K443" s="19" t="str">
        <f t="shared" si="34"/>
        <v/>
      </c>
      <c r="L443" s="33"/>
      <c r="M443" s="15" t="str">
        <f>IF(B443="","",SUMIF($B$6:B442,B443,$I$6:I442))</f>
        <v/>
      </c>
      <c r="N443" s="15" t="str">
        <f>IF(B443="","",SUMIF($B$6:B442,B443,$H$6:H442))</f>
        <v/>
      </c>
      <c r="O443" s="15" t="str">
        <f>IF(B443="","",COUNTIFS($B$6:B442,B443,$K$6:K442,"&lt;&gt;已记录"))</f>
        <v/>
      </c>
      <c r="P443" s="34"/>
    </row>
    <row r="444" spans="1:16" ht="21.75" customHeight="1">
      <c r="A444" s="16"/>
      <c r="B444" s="30"/>
      <c r="C444" s="31"/>
      <c r="D444" s="10"/>
      <c r="E444" s="10"/>
      <c r="F444" s="32"/>
      <c r="G444" s="15" t="str">
        <f t="shared" si="30"/>
        <v/>
      </c>
      <c r="H444" s="15" t="str">
        <f t="shared" si="31"/>
        <v/>
      </c>
      <c r="I444" s="17" t="str">
        <f t="shared" si="32"/>
        <v/>
      </c>
      <c r="J444" s="15" t="str">
        <f t="shared" si="33"/>
        <v/>
      </c>
      <c r="K444" s="19" t="str">
        <f t="shared" si="34"/>
        <v/>
      </c>
      <c r="L444" s="33"/>
      <c r="M444" s="15" t="str">
        <f>IF(B444="","",SUMIF($B$6:B443,B444,$I$6:I443))</f>
        <v/>
      </c>
      <c r="N444" s="15" t="str">
        <f>IF(B444="","",SUMIF($B$6:B443,B444,$H$6:H443))</f>
        <v/>
      </c>
      <c r="O444" s="15" t="str">
        <f>IF(B444="","",COUNTIFS($B$6:B443,B444,$K$6:K443,"&lt;&gt;已记录"))</f>
        <v/>
      </c>
      <c r="P444" s="34"/>
    </row>
    <row r="445" spans="1:16" ht="21.75" customHeight="1">
      <c r="A445" s="16"/>
      <c r="B445" s="30"/>
      <c r="C445" s="31"/>
      <c r="D445" s="10"/>
      <c r="E445" s="10"/>
      <c r="F445" s="32"/>
      <c r="G445" s="15" t="str">
        <f t="shared" si="30"/>
        <v/>
      </c>
      <c r="H445" s="15" t="str">
        <f t="shared" si="31"/>
        <v/>
      </c>
      <c r="I445" s="17" t="str">
        <f t="shared" si="32"/>
        <v/>
      </c>
      <c r="J445" s="15" t="str">
        <f t="shared" si="33"/>
        <v/>
      </c>
      <c r="K445" s="19" t="str">
        <f t="shared" si="34"/>
        <v/>
      </c>
      <c r="L445" s="33"/>
      <c r="M445" s="15" t="str">
        <f>IF(B445="","",SUMIF($B$6:B444,B445,$I$6:I444))</f>
        <v/>
      </c>
      <c r="N445" s="15" t="str">
        <f>IF(B445="","",SUMIF($B$6:B444,B445,$H$6:H444))</f>
        <v/>
      </c>
      <c r="O445" s="15" t="str">
        <f>IF(B445="","",COUNTIFS($B$6:B444,B445,$K$6:K444,"&lt;&gt;已记录"))</f>
        <v/>
      </c>
      <c r="P445" s="34"/>
    </row>
    <row r="446" spans="1:16" ht="21.75" customHeight="1">
      <c r="A446" s="16"/>
      <c r="B446" s="30"/>
      <c r="C446" s="31"/>
      <c r="D446" s="10"/>
      <c r="E446" s="10"/>
      <c r="F446" s="32"/>
      <c r="G446" s="15" t="str">
        <f t="shared" si="30"/>
        <v/>
      </c>
      <c r="H446" s="15" t="str">
        <f t="shared" si="31"/>
        <v/>
      </c>
      <c r="I446" s="17" t="str">
        <f t="shared" si="32"/>
        <v/>
      </c>
      <c r="J446" s="15" t="str">
        <f t="shared" si="33"/>
        <v/>
      </c>
      <c r="K446" s="19" t="str">
        <f t="shared" si="34"/>
        <v/>
      </c>
      <c r="L446" s="33"/>
      <c r="M446" s="15" t="str">
        <f>IF(B446="","",SUMIF($B$6:B445,B446,$I$6:I445))</f>
        <v/>
      </c>
      <c r="N446" s="15" t="str">
        <f>IF(B446="","",SUMIF($B$6:B445,B446,$H$6:H445))</f>
        <v/>
      </c>
      <c r="O446" s="15" t="str">
        <f>IF(B446="","",COUNTIFS($B$6:B445,B446,$K$6:K445,"&lt;&gt;已记录"))</f>
        <v/>
      </c>
      <c r="P446" s="34"/>
    </row>
    <row r="447" spans="1:16" ht="21.75" customHeight="1">
      <c r="A447" s="16"/>
      <c r="B447" s="30"/>
      <c r="C447" s="31"/>
      <c r="D447" s="10"/>
      <c r="E447" s="10"/>
      <c r="F447" s="32"/>
      <c r="G447" s="15" t="str">
        <f t="shared" si="30"/>
        <v/>
      </c>
      <c r="H447" s="15" t="str">
        <f t="shared" si="31"/>
        <v/>
      </c>
      <c r="I447" s="17" t="str">
        <f t="shared" si="32"/>
        <v/>
      </c>
      <c r="J447" s="15" t="str">
        <f t="shared" si="33"/>
        <v/>
      </c>
      <c r="K447" s="19" t="str">
        <f t="shared" si="34"/>
        <v/>
      </c>
      <c r="L447" s="33"/>
      <c r="M447" s="15" t="str">
        <f>IF(B447="","",SUMIF($B$6:B446,B447,$I$6:I446))</f>
        <v/>
      </c>
      <c r="N447" s="15" t="str">
        <f>IF(B447="","",SUMIF($B$6:B446,B447,$H$6:H446))</f>
        <v/>
      </c>
      <c r="O447" s="15" t="str">
        <f>IF(B447="","",COUNTIFS($B$6:B446,B447,$K$6:K446,"&lt;&gt;已记录"))</f>
        <v/>
      </c>
      <c r="P447" s="34"/>
    </row>
    <row r="448" spans="1:16" ht="21.75" customHeight="1">
      <c r="A448" s="16"/>
      <c r="B448" s="30"/>
      <c r="C448" s="31"/>
      <c r="D448" s="10"/>
      <c r="E448" s="10"/>
      <c r="F448" s="32"/>
      <c r="G448" s="15" t="str">
        <f t="shared" si="30"/>
        <v/>
      </c>
      <c r="H448" s="15" t="str">
        <f t="shared" si="31"/>
        <v/>
      </c>
      <c r="I448" s="17" t="str">
        <f t="shared" si="32"/>
        <v/>
      </c>
      <c r="J448" s="15" t="str">
        <f t="shared" si="33"/>
        <v/>
      </c>
      <c r="K448" s="19" t="str">
        <f t="shared" si="34"/>
        <v/>
      </c>
      <c r="L448" s="33"/>
      <c r="M448" s="15" t="str">
        <f>IF(B448="","",SUMIF($B$6:B447,B448,$I$6:I447))</f>
        <v/>
      </c>
      <c r="N448" s="15" t="str">
        <f>IF(B448="","",SUMIF($B$6:B447,B448,$H$6:H447))</f>
        <v/>
      </c>
      <c r="O448" s="15" t="str">
        <f>IF(B448="","",COUNTIFS($B$6:B447,B448,$K$6:K447,"&lt;&gt;已记录"))</f>
        <v/>
      </c>
      <c r="P448" s="34"/>
    </row>
    <row r="449" spans="1:16" ht="21.75" customHeight="1">
      <c r="A449" s="16"/>
      <c r="B449" s="30"/>
      <c r="C449" s="31"/>
      <c r="D449" s="10"/>
      <c r="E449" s="10"/>
      <c r="F449" s="32"/>
      <c r="G449" s="15" t="str">
        <f t="shared" si="30"/>
        <v/>
      </c>
      <c r="H449" s="15" t="str">
        <f t="shared" si="31"/>
        <v/>
      </c>
      <c r="I449" s="17" t="str">
        <f t="shared" si="32"/>
        <v/>
      </c>
      <c r="J449" s="15" t="str">
        <f t="shared" si="33"/>
        <v/>
      </c>
      <c r="K449" s="19" t="str">
        <f t="shared" si="34"/>
        <v/>
      </c>
      <c r="L449" s="33"/>
      <c r="M449" s="15" t="str">
        <f>IF(B449="","",SUMIF($B$6:B448,B449,$I$6:I448))</f>
        <v/>
      </c>
      <c r="N449" s="15" t="str">
        <f>IF(B449="","",SUMIF($B$6:B448,B449,$H$6:H448))</f>
        <v/>
      </c>
      <c r="O449" s="15" t="str">
        <f>IF(B449="","",COUNTIFS($B$6:B448,B449,$K$6:K448,"&lt;&gt;已记录"))</f>
        <v/>
      </c>
      <c r="P449" s="34"/>
    </row>
    <row r="450" spans="1:16" ht="21.75" customHeight="1">
      <c r="A450" s="16"/>
      <c r="B450" s="30"/>
      <c r="C450" s="31"/>
      <c r="D450" s="10"/>
      <c r="E450" s="10"/>
      <c r="F450" s="32"/>
      <c r="G450" s="15" t="str">
        <f t="shared" si="30"/>
        <v/>
      </c>
      <c r="H450" s="15" t="str">
        <f t="shared" si="31"/>
        <v/>
      </c>
      <c r="I450" s="17" t="str">
        <f t="shared" si="32"/>
        <v/>
      </c>
      <c r="J450" s="15" t="str">
        <f t="shared" si="33"/>
        <v/>
      </c>
      <c r="K450" s="19" t="str">
        <f t="shared" si="34"/>
        <v/>
      </c>
      <c r="L450" s="33"/>
      <c r="M450" s="15" t="str">
        <f>IF(B450="","",SUMIF($B$6:B449,B450,$I$6:I449))</f>
        <v/>
      </c>
      <c r="N450" s="15" t="str">
        <f>IF(B450="","",SUMIF($B$6:B449,B450,$H$6:H449))</f>
        <v/>
      </c>
      <c r="O450" s="15" t="str">
        <f>IF(B450="","",COUNTIFS($B$6:B449,B450,$K$6:K449,"&lt;&gt;已记录"))</f>
        <v/>
      </c>
      <c r="P450" s="34"/>
    </row>
    <row r="451" spans="1:16" ht="21.75" customHeight="1">
      <c r="A451" s="16"/>
      <c r="B451" s="30"/>
      <c r="C451" s="31"/>
      <c r="D451" s="10"/>
      <c r="E451" s="10"/>
      <c r="F451" s="32"/>
      <c r="G451" s="15" t="str">
        <f t="shared" si="30"/>
        <v/>
      </c>
      <c r="H451" s="15" t="str">
        <f t="shared" si="31"/>
        <v/>
      </c>
      <c r="I451" s="17" t="str">
        <f t="shared" si="32"/>
        <v/>
      </c>
      <c r="J451" s="15" t="str">
        <f t="shared" si="33"/>
        <v/>
      </c>
      <c r="K451" s="19" t="str">
        <f t="shared" si="34"/>
        <v/>
      </c>
      <c r="L451" s="33"/>
      <c r="M451" s="15" t="str">
        <f>IF(B451="","",SUMIF($B$6:B450,B451,$I$6:I450))</f>
        <v/>
      </c>
      <c r="N451" s="15" t="str">
        <f>IF(B451="","",SUMIF($B$6:B450,B451,$H$6:H450))</f>
        <v/>
      </c>
      <c r="O451" s="15" t="str">
        <f>IF(B451="","",COUNTIFS($B$6:B450,B451,$K$6:K450,"&lt;&gt;已记录"))</f>
        <v/>
      </c>
      <c r="P451" s="34"/>
    </row>
    <row r="452" spans="1:16" ht="21.75" customHeight="1">
      <c r="A452" s="16"/>
      <c r="B452" s="30"/>
      <c r="C452" s="31"/>
      <c r="D452" s="10"/>
      <c r="E452" s="10"/>
      <c r="F452" s="32"/>
      <c r="G452" s="15" t="str">
        <f t="shared" si="30"/>
        <v/>
      </c>
      <c r="H452" s="15" t="str">
        <f t="shared" si="31"/>
        <v/>
      </c>
      <c r="I452" s="17" t="str">
        <f t="shared" si="32"/>
        <v/>
      </c>
      <c r="J452" s="15" t="str">
        <f t="shared" si="33"/>
        <v/>
      </c>
      <c r="K452" s="19" t="str">
        <f t="shared" si="34"/>
        <v/>
      </c>
      <c r="L452" s="33"/>
      <c r="M452" s="15" t="str">
        <f>IF(B452="","",SUMIF($B$6:B451,B452,$I$6:I451))</f>
        <v/>
      </c>
      <c r="N452" s="15" t="str">
        <f>IF(B452="","",SUMIF($B$6:B451,B452,$H$6:H451))</f>
        <v/>
      </c>
      <c r="O452" s="15" t="str">
        <f>IF(B452="","",COUNTIFS($B$6:B451,B452,$K$6:K451,"&lt;&gt;已记录"))</f>
        <v/>
      </c>
      <c r="P452" s="34"/>
    </row>
    <row r="453" spans="1:16" ht="21.75" customHeight="1">
      <c r="A453" s="16"/>
      <c r="B453" s="30"/>
      <c r="C453" s="31"/>
      <c r="D453" s="10"/>
      <c r="E453" s="10"/>
      <c r="F453" s="32"/>
      <c r="G453" s="15" t="str">
        <f t="shared" si="30"/>
        <v/>
      </c>
      <c r="H453" s="15" t="str">
        <f t="shared" si="31"/>
        <v/>
      </c>
      <c r="I453" s="17" t="str">
        <f t="shared" si="32"/>
        <v/>
      </c>
      <c r="J453" s="15" t="str">
        <f t="shared" si="33"/>
        <v/>
      </c>
      <c r="K453" s="19" t="str">
        <f t="shared" si="34"/>
        <v/>
      </c>
      <c r="L453" s="33"/>
      <c r="M453" s="15" t="str">
        <f>IF(B453="","",SUMIF($B$6:B452,B453,$I$6:I452))</f>
        <v/>
      </c>
      <c r="N453" s="15" t="str">
        <f>IF(B453="","",SUMIF($B$6:B452,B453,$H$6:H452))</f>
        <v/>
      </c>
      <c r="O453" s="15" t="str">
        <f>IF(B453="","",COUNTIFS($B$6:B452,B453,$K$6:K452,"&lt;&gt;已记录"))</f>
        <v/>
      </c>
      <c r="P453" s="34"/>
    </row>
    <row r="454" spans="1:16" ht="21.75" customHeight="1">
      <c r="A454" s="16"/>
      <c r="B454" s="30"/>
      <c r="C454" s="31"/>
      <c r="D454" s="10"/>
      <c r="E454" s="10"/>
      <c r="F454" s="32"/>
      <c r="G454" s="15" t="str">
        <f t="shared" ref="G454:G517" si="35">IF(OR(B454="",D454="",C454=""),"",IF(C454="买入",-(D454+E454),IF(C454="卖出",D454-E454,"")))</f>
        <v/>
      </c>
      <c r="H454" s="15" t="str">
        <f t="shared" ref="H454:H517" si="36">IF(K454&lt;&gt;"已记录","",IF(C454="买入",D454+E454,-IF(M454=0,0,N454/M454*F454)))</f>
        <v/>
      </c>
      <c r="I454" s="17" t="str">
        <f t="shared" ref="I454:I517" si="37">IF(K454&lt;&gt;"已记录","",IF(C454="买入",F454,-F454))</f>
        <v/>
      </c>
      <c r="J454" s="15" t="str">
        <f t="shared" ref="J454:J517" si="38">IF(K454&lt;&gt;"已记录","",IF(C454="卖出",D454-E454+H454,0))</f>
        <v/>
      </c>
      <c r="K454" s="19" t="str">
        <f t="shared" ref="K454:K517" si="39">IF(B454="","",IF(OR(A454="",D454="",F454="",C454=""),"待补日期／金额／份额",IF(OR(D454&lt;=0,F454&lt;=0,E454&lt;0,AND(C454&lt;&gt;"买入",C454&lt;&gt;"卖出"),AND(C454="卖出",E454&gt;D454)),"请检查输入",IF(O454&gt;0,"待补前序记录",IF(AND(C454="卖出",F454&gt;M454+0.00000001),"卖出超过持仓","已记录")))))</f>
        <v/>
      </c>
      <c r="L454" s="33"/>
      <c r="M454" s="15" t="str">
        <f>IF(B454="","",SUMIF($B$6:B453,B454,$I$6:I453))</f>
        <v/>
      </c>
      <c r="N454" s="15" t="str">
        <f>IF(B454="","",SUMIF($B$6:B453,B454,$H$6:H453))</f>
        <v/>
      </c>
      <c r="O454" s="15" t="str">
        <f>IF(B454="","",COUNTIFS($B$6:B453,B454,$K$6:K453,"&lt;&gt;已记录"))</f>
        <v/>
      </c>
      <c r="P454" s="34"/>
    </row>
    <row r="455" spans="1:16" ht="21.75" customHeight="1">
      <c r="A455" s="16"/>
      <c r="B455" s="30"/>
      <c r="C455" s="31"/>
      <c r="D455" s="10"/>
      <c r="E455" s="10"/>
      <c r="F455" s="32"/>
      <c r="G455" s="15" t="str">
        <f t="shared" si="35"/>
        <v/>
      </c>
      <c r="H455" s="15" t="str">
        <f t="shared" si="36"/>
        <v/>
      </c>
      <c r="I455" s="17" t="str">
        <f t="shared" si="37"/>
        <v/>
      </c>
      <c r="J455" s="15" t="str">
        <f t="shared" si="38"/>
        <v/>
      </c>
      <c r="K455" s="19" t="str">
        <f t="shared" si="39"/>
        <v/>
      </c>
      <c r="L455" s="33"/>
      <c r="M455" s="15" t="str">
        <f>IF(B455="","",SUMIF($B$6:B454,B455,$I$6:I454))</f>
        <v/>
      </c>
      <c r="N455" s="15" t="str">
        <f>IF(B455="","",SUMIF($B$6:B454,B455,$H$6:H454))</f>
        <v/>
      </c>
      <c r="O455" s="15" t="str">
        <f>IF(B455="","",COUNTIFS($B$6:B454,B455,$K$6:K454,"&lt;&gt;已记录"))</f>
        <v/>
      </c>
      <c r="P455" s="34"/>
    </row>
    <row r="456" spans="1:16" ht="21.75" customHeight="1">
      <c r="A456" s="16"/>
      <c r="B456" s="30"/>
      <c r="C456" s="31"/>
      <c r="D456" s="10"/>
      <c r="E456" s="10"/>
      <c r="F456" s="32"/>
      <c r="G456" s="15" t="str">
        <f t="shared" si="35"/>
        <v/>
      </c>
      <c r="H456" s="15" t="str">
        <f t="shared" si="36"/>
        <v/>
      </c>
      <c r="I456" s="17" t="str">
        <f t="shared" si="37"/>
        <v/>
      </c>
      <c r="J456" s="15" t="str">
        <f t="shared" si="38"/>
        <v/>
      </c>
      <c r="K456" s="19" t="str">
        <f t="shared" si="39"/>
        <v/>
      </c>
      <c r="L456" s="33"/>
      <c r="M456" s="15" t="str">
        <f>IF(B456="","",SUMIF($B$6:B455,B456,$I$6:I455))</f>
        <v/>
      </c>
      <c r="N456" s="15" t="str">
        <f>IF(B456="","",SUMIF($B$6:B455,B456,$H$6:H455))</f>
        <v/>
      </c>
      <c r="O456" s="15" t="str">
        <f>IF(B456="","",COUNTIFS($B$6:B455,B456,$K$6:K455,"&lt;&gt;已记录"))</f>
        <v/>
      </c>
      <c r="P456" s="34"/>
    </row>
    <row r="457" spans="1:16" ht="21.75" customHeight="1">
      <c r="A457" s="16"/>
      <c r="B457" s="30"/>
      <c r="C457" s="31"/>
      <c r="D457" s="10"/>
      <c r="E457" s="10"/>
      <c r="F457" s="32"/>
      <c r="G457" s="15" t="str">
        <f t="shared" si="35"/>
        <v/>
      </c>
      <c r="H457" s="15" t="str">
        <f t="shared" si="36"/>
        <v/>
      </c>
      <c r="I457" s="17" t="str">
        <f t="shared" si="37"/>
        <v/>
      </c>
      <c r="J457" s="15" t="str">
        <f t="shared" si="38"/>
        <v/>
      </c>
      <c r="K457" s="19" t="str">
        <f t="shared" si="39"/>
        <v/>
      </c>
      <c r="L457" s="33"/>
      <c r="M457" s="15" t="str">
        <f>IF(B457="","",SUMIF($B$6:B456,B457,$I$6:I456))</f>
        <v/>
      </c>
      <c r="N457" s="15" t="str">
        <f>IF(B457="","",SUMIF($B$6:B456,B457,$H$6:H456))</f>
        <v/>
      </c>
      <c r="O457" s="15" t="str">
        <f>IF(B457="","",COUNTIFS($B$6:B456,B457,$K$6:K456,"&lt;&gt;已记录"))</f>
        <v/>
      </c>
      <c r="P457" s="34"/>
    </row>
    <row r="458" spans="1:16" ht="21.75" customHeight="1">
      <c r="A458" s="16"/>
      <c r="B458" s="30"/>
      <c r="C458" s="31"/>
      <c r="D458" s="10"/>
      <c r="E458" s="10"/>
      <c r="F458" s="32"/>
      <c r="G458" s="15" t="str">
        <f t="shared" si="35"/>
        <v/>
      </c>
      <c r="H458" s="15" t="str">
        <f t="shared" si="36"/>
        <v/>
      </c>
      <c r="I458" s="17" t="str">
        <f t="shared" si="37"/>
        <v/>
      </c>
      <c r="J458" s="15" t="str">
        <f t="shared" si="38"/>
        <v/>
      </c>
      <c r="K458" s="19" t="str">
        <f t="shared" si="39"/>
        <v/>
      </c>
      <c r="L458" s="33"/>
      <c r="M458" s="15" t="str">
        <f>IF(B458="","",SUMIF($B$6:B457,B458,$I$6:I457))</f>
        <v/>
      </c>
      <c r="N458" s="15" t="str">
        <f>IF(B458="","",SUMIF($B$6:B457,B458,$H$6:H457))</f>
        <v/>
      </c>
      <c r="O458" s="15" t="str">
        <f>IF(B458="","",COUNTIFS($B$6:B457,B458,$K$6:K457,"&lt;&gt;已记录"))</f>
        <v/>
      </c>
      <c r="P458" s="34"/>
    </row>
    <row r="459" spans="1:16" ht="21.75" customHeight="1">
      <c r="A459" s="16"/>
      <c r="B459" s="30"/>
      <c r="C459" s="31"/>
      <c r="D459" s="10"/>
      <c r="E459" s="10"/>
      <c r="F459" s="32"/>
      <c r="G459" s="15" t="str">
        <f t="shared" si="35"/>
        <v/>
      </c>
      <c r="H459" s="15" t="str">
        <f t="shared" si="36"/>
        <v/>
      </c>
      <c r="I459" s="17" t="str">
        <f t="shared" si="37"/>
        <v/>
      </c>
      <c r="J459" s="15" t="str">
        <f t="shared" si="38"/>
        <v/>
      </c>
      <c r="K459" s="19" t="str">
        <f t="shared" si="39"/>
        <v/>
      </c>
      <c r="L459" s="33"/>
      <c r="M459" s="15" t="str">
        <f>IF(B459="","",SUMIF($B$6:B458,B459,$I$6:I458))</f>
        <v/>
      </c>
      <c r="N459" s="15" t="str">
        <f>IF(B459="","",SUMIF($B$6:B458,B459,$H$6:H458))</f>
        <v/>
      </c>
      <c r="O459" s="15" t="str">
        <f>IF(B459="","",COUNTIFS($B$6:B458,B459,$K$6:K458,"&lt;&gt;已记录"))</f>
        <v/>
      </c>
      <c r="P459" s="34"/>
    </row>
    <row r="460" spans="1:16" ht="21.75" customHeight="1">
      <c r="A460" s="16"/>
      <c r="B460" s="30"/>
      <c r="C460" s="31"/>
      <c r="D460" s="10"/>
      <c r="E460" s="10"/>
      <c r="F460" s="32"/>
      <c r="G460" s="15" t="str">
        <f t="shared" si="35"/>
        <v/>
      </c>
      <c r="H460" s="15" t="str">
        <f t="shared" si="36"/>
        <v/>
      </c>
      <c r="I460" s="17" t="str">
        <f t="shared" si="37"/>
        <v/>
      </c>
      <c r="J460" s="15" t="str">
        <f t="shared" si="38"/>
        <v/>
      </c>
      <c r="K460" s="19" t="str">
        <f t="shared" si="39"/>
        <v/>
      </c>
      <c r="L460" s="33"/>
      <c r="M460" s="15" t="str">
        <f>IF(B460="","",SUMIF($B$6:B459,B460,$I$6:I459))</f>
        <v/>
      </c>
      <c r="N460" s="15" t="str">
        <f>IF(B460="","",SUMIF($B$6:B459,B460,$H$6:H459))</f>
        <v/>
      </c>
      <c r="O460" s="15" t="str">
        <f>IF(B460="","",COUNTIFS($B$6:B459,B460,$K$6:K459,"&lt;&gt;已记录"))</f>
        <v/>
      </c>
      <c r="P460" s="34"/>
    </row>
    <row r="461" spans="1:16" ht="21.75" customHeight="1">
      <c r="A461" s="16"/>
      <c r="B461" s="30"/>
      <c r="C461" s="31"/>
      <c r="D461" s="10"/>
      <c r="E461" s="10"/>
      <c r="F461" s="32"/>
      <c r="G461" s="15" t="str">
        <f t="shared" si="35"/>
        <v/>
      </c>
      <c r="H461" s="15" t="str">
        <f t="shared" si="36"/>
        <v/>
      </c>
      <c r="I461" s="17" t="str">
        <f t="shared" si="37"/>
        <v/>
      </c>
      <c r="J461" s="15" t="str">
        <f t="shared" si="38"/>
        <v/>
      </c>
      <c r="K461" s="19" t="str">
        <f t="shared" si="39"/>
        <v/>
      </c>
      <c r="L461" s="33"/>
      <c r="M461" s="15" t="str">
        <f>IF(B461="","",SUMIF($B$6:B460,B461,$I$6:I460))</f>
        <v/>
      </c>
      <c r="N461" s="15" t="str">
        <f>IF(B461="","",SUMIF($B$6:B460,B461,$H$6:H460))</f>
        <v/>
      </c>
      <c r="O461" s="15" t="str">
        <f>IF(B461="","",COUNTIFS($B$6:B460,B461,$K$6:K460,"&lt;&gt;已记录"))</f>
        <v/>
      </c>
      <c r="P461" s="34"/>
    </row>
    <row r="462" spans="1:16" ht="21.75" customHeight="1">
      <c r="A462" s="16"/>
      <c r="B462" s="30"/>
      <c r="C462" s="31"/>
      <c r="D462" s="10"/>
      <c r="E462" s="10"/>
      <c r="F462" s="32"/>
      <c r="G462" s="15" t="str">
        <f t="shared" si="35"/>
        <v/>
      </c>
      <c r="H462" s="15" t="str">
        <f t="shared" si="36"/>
        <v/>
      </c>
      <c r="I462" s="17" t="str">
        <f t="shared" si="37"/>
        <v/>
      </c>
      <c r="J462" s="15" t="str">
        <f t="shared" si="38"/>
        <v/>
      </c>
      <c r="K462" s="19" t="str">
        <f t="shared" si="39"/>
        <v/>
      </c>
      <c r="L462" s="33"/>
      <c r="M462" s="15" t="str">
        <f>IF(B462="","",SUMIF($B$6:B461,B462,$I$6:I461))</f>
        <v/>
      </c>
      <c r="N462" s="15" t="str">
        <f>IF(B462="","",SUMIF($B$6:B461,B462,$H$6:H461))</f>
        <v/>
      </c>
      <c r="O462" s="15" t="str">
        <f>IF(B462="","",COUNTIFS($B$6:B461,B462,$K$6:K461,"&lt;&gt;已记录"))</f>
        <v/>
      </c>
      <c r="P462" s="34"/>
    </row>
    <row r="463" spans="1:16" ht="21.75" customHeight="1">
      <c r="A463" s="16"/>
      <c r="B463" s="30"/>
      <c r="C463" s="31"/>
      <c r="D463" s="10"/>
      <c r="E463" s="10"/>
      <c r="F463" s="32"/>
      <c r="G463" s="15" t="str">
        <f t="shared" si="35"/>
        <v/>
      </c>
      <c r="H463" s="15" t="str">
        <f t="shared" si="36"/>
        <v/>
      </c>
      <c r="I463" s="17" t="str">
        <f t="shared" si="37"/>
        <v/>
      </c>
      <c r="J463" s="15" t="str">
        <f t="shared" si="38"/>
        <v/>
      </c>
      <c r="K463" s="19" t="str">
        <f t="shared" si="39"/>
        <v/>
      </c>
      <c r="L463" s="33"/>
      <c r="M463" s="15" t="str">
        <f>IF(B463="","",SUMIF($B$6:B462,B463,$I$6:I462))</f>
        <v/>
      </c>
      <c r="N463" s="15" t="str">
        <f>IF(B463="","",SUMIF($B$6:B462,B463,$H$6:H462))</f>
        <v/>
      </c>
      <c r="O463" s="15" t="str">
        <f>IF(B463="","",COUNTIFS($B$6:B462,B463,$K$6:K462,"&lt;&gt;已记录"))</f>
        <v/>
      </c>
      <c r="P463" s="34"/>
    </row>
    <row r="464" spans="1:16" ht="21.75" customHeight="1">
      <c r="A464" s="16"/>
      <c r="B464" s="30"/>
      <c r="C464" s="31"/>
      <c r="D464" s="10"/>
      <c r="E464" s="10"/>
      <c r="F464" s="32"/>
      <c r="G464" s="15" t="str">
        <f t="shared" si="35"/>
        <v/>
      </c>
      <c r="H464" s="15" t="str">
        <f t="shared" si="36"/>
        <v/>
      </c>
      <c r="I464" s="17" t="str">
        <f t="shared" si="37"/>
        <v/>
      </c>
      <c r="J464" s="15" t="str">
        <f t="shared" si="38"/>
        <v/>
      </c>
      <c r="K464" s="19" t="str">
        <f t="shared" si="39"/>
        <v/>
      </c>
      <c r="L464" s="33"/>
      <c r="M464" s="15" t="str">
        <f>IF(B464="","",SUMIF($B$6:B463,B464,$I$6:I463))</f>
        <v/>
      </c>
      <c r="N464" s="15" t="str">
        <f>IF(B464="","",SUMIF($B$6:B463,B464,$H$6:H463))</f>
        <v/>
      </c>
      <c r="O464" s="15" t="str">
        <f>IF(B464="","",COUNTIFS($B$6:B463,B464,$K$6:K463,"&lt;&gt;已记录"))</f>
        <v/>
      </c>
      <c r="P464" s="34"/>
    </row>
    <row r="465" spans="1:16" ht="21.75" customHeight="1">
      <c r="A465" s="16"/>
      <c r="B465" s="30"/>
      <c r="C465" s="31"/>
      <c r="D465" s="10"/>
      <c r="E465" s="10"/>
      <c r="F465" s="32"/>
      <c r="G465" s="15" t="str">
        <f t="shared" si="35"/>
        <v/>
      </c>
      <c r="H465" s="15" t="str">
        <f t="shared" si="36"/>
        <v/>
      </c>
      <c r="I465" s="17" t="str">
        <f t="shared" si="37"/>
        <v/>
      </c>
      <c r="J465" s="15" t="str">
        <f t="shared" si="38"/>
        <v/>
      </c>
      <c r="K465" s="19" t="str">
        <f t="shared" si="39"/>
        <v/>
      </c>
      <c r="L465" s="33"/>
      <c r="M465" s="15" t="str">
        <f>IF(B465="","",SUMIF($B$6:B464,B465,$I$6:I464))</f>
        <v/>
      </c>
      <c r="N465" s="15" t="str">
        <f>IF(B465="","",SUMIF($B$6:B464,B465,$H$6:H464))</f>
        <v/>
      </c>
      <c r="O465" s="15" t="str">
        <f>IF(B465="","",COUNTIFS($B$6:B464,B465,$K$6:K464,"&lt;&gt;已记录"))</f>
        <v/>
      </c>
      <c r="P465" s="34"/>
    </row>
    <row r="466" spans="1:16" ht="21.75" customHeight="1">
      <c r="A466" s="16"/>
      <c r="B466" s="30"/>
      <c r="C466" s="31"/>
      <c r="D466" s="10"/>
      <c r="E466" s="10"/>
      <c r="F466" s="32"/>
      <c r="G466" s="15" t="str">
        <f t="shared" si="35"/>
        <v/>
      </c>
      <c r="H466" s="15" t="str">
        <f t="shared" si="36"/>
        <v/>
      </c>
      <c r="I466" s="17" t="str">
        <f t="shared" si="37"/>
        <v/>
      </c>
      <c r="J466" s="15" t="str">
        <f t="shared" si="38"/>
        <v/>
      </c>
      <c r="K466" s="19" t="str">
        <f t="shared" si="39"/>
        <v/>
      </c>
      <c r="L466" s="33"/>
      <c r="M466" s="15" t="str">
        <f>IF(B466="","",SUMIF($B$6:B465,B466,$I$6:I465))</f>
        <v/>
      </c>
      <c r="N466" s="15" t="str">
        <f>IF(B466="","",SUMIF($B$6:B465,B466,$H$6:H465))</f>
        <v/>
      </c>
      <c r="O466" s="15" t="str">
        <f>IF(B466="","",COUNTIFS($B$6:B465,B466,$K$6:K465,"&lt;&gt;已记录"))</f>
        <v/>
      </c>
      <c r="P466" s="34"/>
    </row>
    <row r="467" spans="1:16" ht="21.75" customHeight="1">
      <c r="A467" s="16"/>
      <c r="B467" s="30"/>
      <c r="C467" s="31"/>
      <c r="D467" s="10"/>
      <c r="E467" s="10"/>
      <c r="F467" s="32"/>
      <c r="G467" s="15" t="str">
        <f t="shared" si="35"/>
        <v/>
      </c>
      <c r="H467" s="15" t="str">
        <f t="shared" si="36"/>
        <v/>
      </c>
      <c r="I467" s="17" t="str">
        <f t="shared" si="37"/>
        <v/>
      </c>
      <c r="J467" s="15" t="str">
        <f t="shared" si="38"/>
        <v/>
      </c>
      <c r="K467" s="19" t="str">
        <f t="shared" si="39"/>
        <v/>
      </c>
      <c r="L467" s="33"/>
      <c r="M467" s="15" t="str">
        <f>IF(B467="","",SUMIF($B$6:B466,B467,$I$6:I466))</f>
        <v/>
      </c>
      <c r="N467" s="15" t="str">
        <f>IF(B467="","",SUMIF($B$6:B466,B467,$H$6:H466))</f>
        <v/>
      </c>
      <c r="O467" s="15" t="str">
        <f>IF(B467="","",COUNTIFS($B$6:B466,B467,$K$6:K466,"&lt;&gt;已记录"))</f>
        <v/>
      </c>
      <c r="P467" s="34"/>
    </row>
    <row r="468" spans="1:16" ht="21.75" customHeight="1">
      <c r="A468" s="16"/>
      <c r="B468" s="30"/>
      <c r="C468" s="31"/>
      <c r="D468" s="10"/>
      <c r="E468" s="10"/>
      <c r="F468" s="32"/>
      <c r="G468" s="15" t="str">
        <f t="shared" si="35"/>
        <v/>
      </c>
      <c r="H468" s="15" t="str">
        <f t="shared" si="36"/>
        <v/>
      </c>
      <c r="I468" s="17" t="str">
        <f t="shared" si="37"/>
        <v/>
      </c>
      <c r="J468" s="15" t="str">
        <f t="shared" si="38"/>
        <v/>
      </c>
      <c r="K468" s="19" t="str">
        <f t="shared" si="39"/>
        <v/>
      </c>
      <c r="L468" s="33"/>
      <c r="M468" s="15" t="str">
        <f>IF(B468="","",SUMIF($B$6:B467,B468,$I$6:I467))</f>
        <v/>
      </c>
      <c r="N468" s="15" t="str">
        <f>IF(B468="","",SUMIF($B$6:B467,B468,$H$6:H467))</f>
        <v/>
      </c>
      <c r="O468" s="15" t="str">
        <f>IF(B468="","",COUNTIFS($B$6:B467,B468,$K$6:K467,"&lt;&gt;已记录"))</f>
        <v/>
      </c>
      <c r="P468" s="34"/>
    </row>
    <row r="469" spans="1:16" ht="21.75" customHeight="1">
      <c r="A469" s="16"/>
      <c r="B469" s="30"/>
      <c r="C469" s="31"/>
      <c r="D469" s="10"/>
      <c r="E469" s="10"/>
      <c r="F469" s="32"/>
      <c r="G469" s="15" t="str">
        <f t="shared" si="35"/>
        <v/>
      </c>
      <c r="H469" s="15" t="str">
        <f t="shared" si="36"/>
        <v/>
      </c>
      <c r="I469" s="17" t="str">
        <f t="shared" si="37"/>
        <v/>
      </c>
      <c r="J469" s="15" t="str">
        <f t="shared" si="38"/>
        <v/>
      </c>
      <c r="K469" s="19" t="str">
        <f t="shared" si="39"/>
        <v/>
      </c>
      <c r="L469" s="33"/>
      <c r="M469" s="15" t="str">
        <f>IF(B469="","",SUMIF($B$6:B468,B469,$I$6:I468))</f>
        <v/>
      </c>
      <c r="N469" s="15" t="str">
        <f>IF(B469="","",SUMIF($B$6:B468,B469,$H$6:H468))</f>
        <v/>
      </c>
      <c r="O469" s="15" t="str">
        <f>IF(B469="","",COUNTIFS($B$6:B468,B469,$K$6:K468,"&lt;&gt;已记录"))</f>
        <v/>
      </c>
      <c r="P469" s="34"/>
    </row>
    <row r="470" spans="1:16" ht="21.75" customHeight="1">
      <c r="A470" s="16"/>
      <c r="B470" s="30"/>
      <c r="C470" s="31"/>
      <c r="D470" s="10"/>
      <c r="E470" s="10"/>
      <c r="F470" s="32"/>
      <c r="G470" s="15" t="str">
        <f t="shared" si="35"/>
        <v/>
      </c>
      <c r="H470" s="15" t="str">
        <f t="shared" si="36"/>
        <v/>
      </c>
      <c r="I470" s="17" t="str">
        <f t="shared" si="37"/>
        <v/>
      </c>
      <c r="J470" s="15" t="str">
        <f t="shared" si="38"/>
        <v/>
      </c>
      <c r="K470" s="19" t="str">
        <f t="shared" si="39"/>
        <v/>
      </c>
      <c r="L470" s="33"/>
      <c r="M470" s="15" t="str">
        <f>IF(B470="","",SUMIF($B$6:B469,B470,$I$6:I469))</f>
        <v/>
      </c>
      <c r="N470" s="15" t="str">
        <f>IF(B470="","",SUMIF($B$6:B469,B470,$H$6:H469))</f>
        <v/>
      </c>
      <c r="O470" s="15" t="str">
        <f>IF(B470="","",COUNTIFS($B$6:B469,B470,$K$6:K469,"&lt;&gt;已记录"))</f>
        <v/>
      </c>
      <c r="P470" s="34"/>
    </row>
    <row r="471" spans="1:16" ht="21.75" customHeight="1">
      <c r="A471" s="16"/>
      <c r="B471" s="30"/>
      <c r="C471" s="31"/>
      <c r="D471" s="10"/>
      <c r="E471" s="10"/>
      <c r="F471" s="32"/>
      <c r="G471" s="15" t="str">
        <f t="shared" si="35"/>
        <v/>
      </c>
      <c r="H471" s="15" t="str">
        <f t="shared" si="36"/>
        <v/>
      </c>
      <c r="I471" s="17" t="str">
        <f t="shared" si="37"/>
        <v/>
      </c>
      <c r="J471" s="15" t="str">
        <f t="shared" si="38"/>
        <v/>
      </c>
      <c r="K471" s="19" t="str">
        <f t="shared" si="39"/>
        <v/>
      </c>
      <c r="L471" s="33"/>
      <c r="M471" s="15" t="str">
        <f>IF(B471="","",SUMIF($B$6:B470,B471,$I$6:I470))</f>
        <v/>
      </c>
      <c r="N471" s="15" t="str">
        <f>IF(B471="","",SUMIF($B$6:B470,B471,$H$6:H470))</f>
        <v/>
      </c>
      <c r="O471" s="15" t="str">
        <f>IF(B471="","",COUNTIFS($B$6:B470,B471,$K$6:K470,"&lt;&gt;已记录"))</f>
        <v/>
      </c>
      <c r="P471" s="34"/>
    </row>
    <row r="472" spans="1:16" ht="21.75" customHeight="1">
      <c r="A472" s="16"/>
      <c r="B472" s="30"/>
      <c r="C472" s="31"/>
      <c r="D472" s="10"/>
      <c r="E472" s="10"/>
      <c r="F472" s="32"/>
      <c r="G472" s="15" t="str">
        <f t="shared" si="35"/>
        <v/>
      </c>
      <c r="H472" s="15" t="str">
        <f t="shared" si="36"/>
        <v/>
      </c>
      <c r="I472" s="17" t="str">
        <f t="shared" si="37"/>
        <v/>
      </c>
      <c r="J472" s="15" t="str">
        <f t="shared" si="38"/>
        <v/>
      </c>
      <c r="K472" s="19" t="str">
        <f t="shared" si="39"/>
        <v/>
      </c>
      <c r="L472" s="33"/>
      <c r="M472" s="15" t="str">
        <f>IF(B472="","",SUMIF($B$6:B471,B472,$I$6:I471))</f>
        <v/>
      </c>
      <c r="N472" s="15" t="str">
        <f>IF(B472="","",SUMIF($B$6:B471,B472,$H$6:H471))</f>
        <v/>
      </c>
      <c r="O472" s="15" t="str">
        <f>IF(B472="","",COUNTIFS($B$6:B471,B472,$K$6:K471,"&lt;&gt;已记录"))</f>
        <v/>
      </c>
      <c r="P472" s="34"/>
    </row>
    <row r="473" spans="1:16" ht="21.75" customHeight="1">
      <c r="A473" s="16"/>
      <c r="B473" s="30"/>
      <c r="C473" s="31"/>
      <c r="D473" s="10"/>
      <c r="E473" s="10"/>
      <c r="F473" s="32"/>
      <c r="G473" s="15" t="str">
        <f t="shared" si="35"/>
        <v/>
      </c>
      <c r="H473" s="15" t="str">
        <f t="shared" si="36"/>
        <v/>
      </c>
      <c r="I473" s="17" t="str">
        <f t="shared" si="37"/>
        <v/>
      </c>
      <c r="J473" s="15" t="str">
        <f t="shared" si="38"/>
        <v/>
      </c>
      <c r="K473" s="19" t="str">
        <f t="shared" si="39"/>
        <v/>
      </c>
      <c r="L473" s="33"/>
      <c r="M473" s="15" t="str">
        <f>IF(B473="","",SUMIF($B$6:B472,B473,$I$6:I472))</f>
        <v/>
      </c>
      <c r="N473" s="15" t="str">
        <f>IF(B473="","",SUMIF($B$6:B472,B473,$H$6:H472))</f>
        <v/>
      </c>
      <c r="O473" s="15" t="str">
        <f>IF(B473="","",COUNTIFS($B$6:B472,B473,$K$6:K472,"&lt;&gt;已记录"))</f>
        <v/>
      </c>
      <c r="P473" s="34"/>
    </row>
    <row r="474" spans="1:16" ht="21.75" customHeight="1">
      <c r="A474" s="16"/>
      <c r="B474" s="30"/>
      <c r="C474" s="31"/>
      <c r="D474" s="10"/>
      <c r="E474" s="10"/>
      <c r="F474" s="32"/>
      <c r="G474" s="15" t="str">
        <f t="shared" si="35"/>
        <v/>
      </c>
      <c r="H474" s="15" t="str">
        <f t="shared" si="36"/>
        <v/>
      </c>
      <c r="I474" s="17" t="str">
        <f t="shared" si="37"/>
        <v/>
      </c>
      <c r="J474" s="15" t="str">
        <f t="shared" si="38"/>
        <v/>
      </c>
      <c r="K474" s="19" t="str">
        <f t="shared" si="39"/>
        <v/>
      </c>
      <c r="L474" s="33"/>
      <c r="M474" s="15" t="str">
        <f>IF(B474="","",SUMIF($B$6:B473,B474,$I$6:I473))</f>
        <v/>
      </c>
      <c r="N474" s="15" t="str">
        <f>IF(B474="","",SUMIF($B$6:B473,B474,$H$6:H473))</f>
        <v/>
      </c>
      <c r="O474" s="15" t="str">
        <f>IF(B474="","",COUNTIFS($B$6:B473,B474,$K$6:K473,"&lt;&gt;已记录"))</f>
        <v/>
      </c>
      <c r="P474" s="34"/>
    </row>
    <row r="475" spans="1:16" ht="21.75" customHeight="1">
      <c r="A475" s="16"/>
      <c r="B475" s="30"/>
      <c r="C475" s="31"/>
      <c r="D475" s="10"/>
      <c r="E475" s="10"/>
      <c r="F475" s="32"/>
      <c r="G475" s="15" t="str">
        <f t="shared" si="35"/>
        <v/>
      </c>
      <c r="H475" s="15" t="str">
        <f t="shared" si="36"/>
        <v/>
      </c>
      <c r="I475" s="17" t="str">
        <f t="shared" si="37"/>
        <v/>
      </c>
      <c r="J475" s="15" t="str">
        <f t="shared" si="38"/>
        <v/>
      </c>
      <c r="K475" s="19" t="str">
        <f t="shared" si="39"/>
        <v/>
      </c>
      <c r="L475" s="33"/>
      <c r="M475" s="15" t="str">
        <f>IF(B475="","",SUMIF($B$6:B474,B475,$I$6:I474))</f>
        <v/>
      </c>
      <c r="N475" s="15" t="str">
        <f>IF(B475="","",SUMIF($B$6:B474,B475,$H$6:H474))</f>
        <v/>
      </c>
      <c r="O475" s="15" t="str">
        <f>IF(B475="","",COUNTIFS($B$6:B474,B475,$K$6:K474,"&lt;&gt;已记录"))</f>
        <v/>
      </c>
      <c r="P475" s="34"/>
    </row>
    <row r="476" spans="1:16" ht="21.75" customHeight="1">
      <c r="A476" s="16"/>
      <c r="B476" s="30"/>
      <c r="C476" s="31"/>
      <c r="D476" s="10"/>
      <c r="E476" s="10"/>
      <c r="F476" s="32"/>
      <c r="G476" s="15" t="str">
        <f t="shared" si="35"/>
        <v/>
      </c>
      <c r="H476" s="15" t="str">
        <f t="shared" si="36"/>
        <v/>
      </c>
      <c r="I476" s="17" t="str">
        <f t="shared" si="37"/>
        <v/>
      </c>
      <c r="J476" s="15" t="str">
        <f t="shared" si="38"/>
        <v/>
      </c>
      <c r="K476" s="19" t="str">
        <f t="shared" si="39"/>
        <v/>
      </c>
      <c r="L476" s="33"/>
      <c r="M476" s="15" t="str">
        <f>IF(B476="","",SUMIF($B$6:B475,B476,$I$6:I475))</f>
        <v/>
      </c>
      <c r="N476" s="15" t="str">
        <f>IF(B476="","",SUMIF($B$6:B475,B476,$H$6:H475))</f>
        <v/>
      </c>
      <c r="O476" s="15" t="str">
        <f>IF(B476="","",COUNTIFS($B$6:B475,B476,$K$6:K475,"&lt;&gt;已记录"))</f>
        <v/>
      </c>
      <c r="P476" s="34"/>
    </row>
    <row r="477" spans="1:16" ht="21.75" customHeight="1">
      <c r="A477" s="16"/>
      <c r="B477" s="30"/>
      <c r="C477" s="31"/>
      <c r="D477" s="10"/>
      <c r="E477" s="10"/>
      <c r="F477" s="32"/>
      <c r="G477" s="15" t="str">
        <f t="shared" si="35"/>
        <v/>
      </c>
      <c r="H477" s="15" t="str">
        <f t="shared" si="36"/>
        <v/>
      </c>
      <c r="I477" s="17" t="str">
        <f t="shared" si="37"/>
        <v/>
      </c>
      <c r="J477" s="15" t="str">
        <f t="shared" si="38"/>
        <v/>
      </c>
      <c r="K477" s="19" t="str">
        <f t="shared" si="39"/>
        <v/>
      </c>
      <c r="L477" s="33"/>
      <c r="M477" s="15" t="str">
        <f>IF(B477="","",SUMIF($B$6:B476,B477,$I$6:I476))</f>
        <v/>
      </c>
      <c r="N477" s="15" t="str">
        <f>IF(B477="","",SUMIF($B$6:B476,B477,$H$6:H476))</f>
        <v/>
      </c>
      <c r="O477" s="15" t="str">
        <f>IF(B477="","",COUNTIFS($B$6:B476,B477,$K$6:K476,"&lt;&gt;已记录"))</f>
        <v/>
      </c>
      <c r="P477" s="34"/>
    </row>
    <row r="478" spans="1:16" ht="21.75" customHeight="1">
      <c r="A478" s="16"/>
      <c r="B478" s="30"/>
      <c r="C478" s="31"/>
      <c r="D478" s="10"/>
      <c r="E478" s="10"/>
      <c r="F478" s="32"/>
      <c r="G478" s="15" t="str">
        <f t="shared" si="35"/>
        <v/>
      </c>
      <c r="H478" s="15" t="str">
        <f t="shared" si="36"/>
        <v/>
      </c>
      <c r="I478" s="17" t="str">
        <f t="shared" si="37"/>
        <v/>
      </c>
      <c r="J478" s="15" t="str">
        <f t="shared" si="38"/>
        <v/>
      </c>
      <c r="K478" s="19" t="str">
        <f t="shared" si="39"/>
        <v/>
      </c>
      <c r="L478" s="33"/>
      <c r="M478" s="15" t="str">
        <f>IF(B478="","",SUMIF($B$6:B477,B478,$I$6:I477))</f>
        <v/>
      </c>
      <c r="N478" s="15" t="str">
        <f>IF(B478="","",SUMIF($B$6:B477,B478,$H$6:H477))</f>
        <v/>
      </c>
      <c r="O478" s="15" t="str">
        <f>IF(B478="","",COUNTIFS($B$6:B477,B478,$K$6:K477,"&lt;&gt;已记录"))</f>
        <v/>
      </c>
      <c r="P478" s="34"/>
    </row>
    <row r="479" spans="1:16" ht="21.75" customHeight="1">
      <c r="A479" s="16"/>
      <c r="B479" s="30"/>
      <c r="C479" s="31"/>
      <c r="D479" s="10"/>
      <c r="E479" s="10"/>
      <c r="F479" s="32"/>
      <c r="G479" s="15" t="str">
        <f t="shared" si="35"/>
        <v/>
      </c>
      <c r="H479" s="15" t="str">
        <f t="shared" si="36"/>
        <v/>
      </c>
      <c r="I479" s="17" t="str">
        <f t="shared" si="37"/>
        <v/>
      </c>
      <c r="J479" s="15" t="str">
        <f t="shared" si="38"/>
        <v/>
      </c>
      <c r="K479" s="19" t="str">
        <f t="shared" si="39"/>
        <v/>
      </c>
      <c r="L479" s="33"/>
      <c r="M479" s="15" t="str">
        <f>IF(B479="","",SUMIF($B$6:B478,B479,$I$6:I478))</f>
        <v/>
      </c>
      <c r="N479" s="15" t="str">
        <f>IF(B479="","",SUMIF($B$6:B478,B479,$H$6:H478))</f>
        <v/>
      </c>
      <c r="O479" s="15" t="str">
        <f>IF(B479="","",COUNTIFS($B$6:B478,B479,$K$6:K478,"&lt;&gt;已记录"))</f>
        <v/>
      </c>
      <c r="P479" s="34"/>
    </row>
    <row r="480" spans="1:16" ht="21.75" customHeight="1">
      <c r="A480" s="16"/>
      <c r="B480" s="30"/>
      <c r="C480" s="31"/>
      <c r="D480" s="10"/>
      <c r="E480" s="10"/>
      <c r="F480" s="32"/>
      <c r="G480" s="15" t="str">
        <f t="shared" si="35"/>
        <v/>
      </c>
      <c r="H480" s="15" t="str">
        <f t="shared" si="36"/>
        <v/>
      </c>
      <c r="I480" s="17" t="str">
        <f t="shared" si="37"/>
        <v/>
      </c>
      <c r="J480" s="15" t="str">
        <f t="shared" si="38"/>
        <v/>
      </c>
      <c r="K480" s="19" t="str">
        <f t="shared" si="39"/>
        <v/>
      </c>
      <c r="L480" s="33"/>
      <c r="M480" s="15" t="str">
        <f>IF(B480="","",SUMIF($B$6:B479,B480,$I$6:I479))</f>
        <v/>
      </c>
      <c r="N480" s="15" t="str">
        <f>IF(B480="","",SUMIF($B$6:B479,B480,$H$6:H479))</f>
        <v/>
      </c>
      <c r="O480" s="15" t="str">
        <f>IF(B480="","",COUNTIFS($B$6:B479,B480,$K$6:K479,"&lt;&gt;已记录"))</f>
        <v/>
      </c>
      <c r="P480" s="34"/>
    </row>
    <row r="481" spans="1:16" ht="21.75" customHeight="1">
      <c r="A481" s="16"/>
      <c r="B481" s="30"/>
      <c r="C481" s="31"/>
      <c r="D481" s="10"/>
      <c r="E481" s="10"/>
      <c r="F481" s="32"/>
      <c r="G481" s="15" t="str">
        <f t="shared" si="35"/>
        <v/>
      </c>
      <c r="H481" s="15" t="str">
        <f t="shared" si="36"/>
        <v/>
      </c>
      <c r="I481" s="17" t="str">
        <f t="shared" si="37"/>
        <v/>
      </c>
      <c r="J481" s="15" t="str">
        <f t="shared" si="38"/>
        <v/>
      </c>
      <c r="K481" s="19" t="str">
        <f t="shared" si="39"/>
        <v/>
      </c>
      <c r="L481" s="33"/>
      <c r="M481" s="15" t="str">
        <f>IF(B481="","",SUMIF($B$6:B480,B481,$I$6:I480))</f>
        <v/>
      </c>
      <c r="N481" s="15" t="str">
        <f>IF(B481="","",SUMIF($B$6:B480,B481,$H$6:H480))</f>
        <v/>
      </c>
      <c r="O481" s="15" t="str">
        <f>IF(B481="","",COUNTIFS($B$6:B480,B481,$K$6:K480,"&lt;&gt;已记录"))</f>
        <v/>
      </c>
      <c r="P481" s="34"/>
    </row>
    <row r="482" spans="1:16" ht="21.75" customHeight="1">
      <c r="A482" s="16"/>
      <c r="B482" s="30"/>
      <c r="C482" s="31"/>
      <c r="D482" s="10"/>
      <c r="E482" s="10"/>
      <c r="F482" s="32"/>
      <c r="G482" s="15" t="str">
        <f t="shared" si="35"/>
        <v/>
      </c>
      <c r="H482" s="15" t="str">
        <f t="shared" si="36"/>
        <v/>
      </c>
      <c r="I482" s="17" t="str">
        <f t="shared" si="37"/>
        <v/>
      </c>
      <c r="J482" s="15" t="str">
        <f t="shared" si="38"/>
        <v/>
      </c>
      <c r="K482" s="19" t="str">
        <f t="shared" si="39"/>
        <v/>
      </c>
      <c r="L482" s="33"/>
      <c r="M482" s="15" t="str">
        <f>IF(B482="","",SUMIF($B$6:B481,B482,$I$6:I481))</f>
        <v/>
      </c>
      <c r="N482" s="15" t="str">
        <f>IF(B482="","",SUMIF($B$6:B481,B482,$H$6:H481))</f>
        <v/>
      </c>
      <c r="O482" s="15" t="str">
        <f>IF(B482="","",COUNTIFS($B$6:B481,B482,$K$6:K481,"&lt;&gt;已记录"))</f>
        <v/>
      </c>
      <c r="P482" s="34"/>
    </row>
    <row r="483" spans="1:16" ht="21.75" customHeight="1">
      <c r="A483" s="16"/>
      <c r="B483" s="30"/>
      <c r="C483" s="31"/>
      <c r="D483" s="10"/>
      <c r="E483" s="10"/>
      <c r="F483" s="32"/>
      <c r="G483" s="15" t="str">
        <f t="shared" si="35"/>
        <v/>
      </c>
      <c r="H483" s="15" t="str">
        <f t="shared" si="36"/>
        <v/>
      </c>
      <c r="I483" s="17" t="str">
        <f t="shared" si="37"/>
        <v/>
      </c>
      <c r="J483" s="15" t="str">
        <f t="shared" si="38"/>
        <v/>
      </c>
      <c r="K483" s="19" t="str">
        <f t="shared" si="39"/>
        <v/>
      </c>
      <c r="L483" s="33"/>
      <c r="M483" s="15" t="str">
        <f>IF(B483="","",SUMIF($B$6:B482,B483,$I$6:I482))</f>
        <v/>
      </c>
      <c r="N483" s="15" t="str">
        <f>IF(B483="","",SUMIF($B$6:B482,B483,$H$6:H482))</f>
        <v/>
      </c>
      <c r="O483" s="15" t="str">
        <f>IF(B483="","",COUNTIFS($B$6:B482,B483,$K$6:K482,"&lt;&gt;已记录"))</f>
        <v/>
      </c>
      <c r="P483" s="34"/>
    </row>
    <row r="484" spans="1:16" ht="21.75" customHeight="1">
      <c r="A484" s="16"/>
      <c r="B484" s="30"/>
      <c r="C484" s="31"/>
      <c r="D484" s="10"/>
      <c r="E484" s="10"/>
      <c r="F484" s="32"/>
      <c r="G484" s="15" t="str">
        <f t="shared" si="35"/>
        <v/>
      </c>
      <c r="H484" s="15" t="str">
        <f t="shared" si="36"/>
        <v/>
      </c>
      <c r="I484" s="17" t="str">
        <f t="shared" si="37"/>
        <v/>
      </c>
      <c r="J484" s="15" t="str">
        <f t="shared" si="38"/>
        <v/>
      </c>
      <c r="K484" s="19" t="str">
        <f t="shared" si="39"/>
        <v/>
      </c>
      <c r="L484" s="33"/>
      <c r="M484" s="15" t="str">
        <f>IF(B484="","",SUMIF($B$6:B483,B484,$I$6:I483))</f>
        <v/>
      </c>
      <c r="N484" s="15" t="str">
        <f>IF(B484="","",SUMIF($B$6:B483,B484,$H$6:H483))</f>
        <v/>
      </c>
      <c r="O484" s="15" t="str">
        <f>IF(B484="","",COUNTIFS($B$6:B483,B484,$K$6:K483,"&lt;&gt;已记录"))</f>
        <v/>
      </c>
      <c r="P484" s="34"/>
    </row>
    <row r="485" spans="1:16" ht="21.75" customHeight="1">
      <c r="A485" s="16"/>
      <c r="B485" s="30"/>
      <c r="C485" s="31"/>
      <c r="D485" s="10"/>
      <c r="E485" s="10"/>
      <c r="F485" s="32"/>
      <c r="G485" s="15" t="str">
        <f t="shared" si="35"/>
        <v/>
      </c>
      <c r="H485" s="15" t="str">
        <f t="shared" si="36"/>
        <v/>
      </c>
      <c r="I485" s="17" t="str">
        <f t="shared" si="37"/>
        <v/>
      </c>
      <c r="J485" s="15" t="str">
        <f t="shared" si="38"/>
        <v/>
      </c>
      <c r="K485" s="19" t="str">
        <f t="shared" si="39"/>
        <v/>
      </c>
      <c r="L485" s="33"/>
      <c r="M485" s="15" t="str">
        <f>IF(B485="","",SUMIF($B$6:B484,B485,$I$6:I484))</f>
        <v/>
      </c>
      <c r="N485" s="15" t="str">
        <f>IF(B485="","",SUMIF($B$6:B484,B485,$H$6:H484))</f>
        <v/>
      </c>
      <c r="O485" s="15" t="str">
        <f>IF(B485="","",COUNTIFS($B$6:B484,B485,$K$6:K484,"&lt;&gt;已记录"))</f>
        <v/>
      </c>
      <c r="P485" s="34"/>
    </row>
    <row r="486" spans="1:16" ht="21.75" customHeight="1">
      <c r="A486" s="16"/>
      <c r="B486" s="30"/>
      <c r="C486" s="31"/>
      <c r="D486" s="10"/>
      <c r="E486" s="10"/>
      <c r="F486" s="32"/>
      <c r="G486" s="15" t="str">
        <f t="shared" si="35"/>
        <v/>
      </c>
      <c r="H486" s="15" t="str">
        <f t="shared" si="36"/>
        <v/>
      </c>
      <c r="I486" s="17" t="str">
        <f t="shared" si="37"/>
        <v/>
      </c>
      <c r="J486" s="15" t="str">
        <f t="shared" si="38"/>
        <v/>
      </c>
      <c r="K486" s="19" t="str">
        <f t="shared" si="39"/>
        <v/>
      </c>
      <c r="L486" s="33"/>
      <c r="M486" s="15" t="str">
        <f>IF(B486="","",SUMIF($B$6:B485,B486,$I$6:I485))</f>
        <v/>
      </c>
      <c r="N486" s="15" t="str">
        <f>IF(B486="","",SUMIF($B$6:B485,B486,$H$6:H485))</f>
        <v/>
      </c>
      <c r="O486" s="15" t="str">
        <f>IF(B486="","",COUNTIFS($B$6:B485,B486,$K$6:K485,"&lt;&gt;已记录"))</f>
        <v/>
      </c>
      <c r="P486" s="34"/>
    </row>
    <row r="487" spans="1:16" ht="21.75" customHeight="1">
      <c r="A487" s="16"/>
      <c r="B487" s="30"/>
      <c r="C487" s="31"/>
      <c r="D487" s="10"/>
      <c r="E487" s="10"/>
      <c r="F487" s="32"/>
      <c r="G487" s="15" t="str">
        <f t="shared" si="35"/>
        <v/>
      </c>
      <c r="H487" s="15" t="str">
        <f t="shared" si="36"/>
        <v/>
      </c>
      <c r="I487" s="17" t="str">
        <f t="shared" si="37"/>
        <v/>
      </c>
      <c r="J487" s="15" t="str">
        <f t="shared" si="38"/>
        <v/>
      </c>
      <c r="K487" s="19" t="str">
        <f t="shared" si="39"/>
        <v/>
      </c>
      <c r="L487" s="33"/>
      <c r="M487" s="15" t="str">
        <f>IF(B487="","",SUMIF($B$6:B486,B487,$I$6:I486))</f>
        <v/>
      </c>
      <c r="N487" s="15" t="str">
        <f>IF(B487="","",SUMIF($B$6:B486,B487,$H$6:H486))</f>
        <v/>
      </c>
      <c r="O487" s="15" t="str">
        <f>IF(B487="","",COUNTIFS($B$6:B486,B487,$K$6:K486,"&lt;&gt;已记录"))</f>
        <v/>
      </c>
      <c r="P487" s="34"/>
    </row>
    <row r="488" spans="1:16" ht="21.75" customHeight="1">
      <c r="A488" s="16"/>
      <c r="B488" s="30"/>
      <c r="C488" s="31"/>
      <c r="D488" s="10"/>
      <c r="E488" s="10"/>
      <c r="F488" s="32"/>
      <c r="G488" s="15" t="str">
        <f t="shared" si="35"/>
        <v/>
      </c>
      <c r="H488" s="15" t="str">
        <f t="shared" si="36"/>
        <v/>
      </c>
      <c r="I488" s="17" t="str">
        <f t="shared" si="37"/>
        <v/>
      </c>
      <c r="J488" s="15" t="str">
        <f t="shared" si="38"/>
        <v/>
      </c>
      <c r="K488" s="19" t="str">
        <f t="shared" si="39"/>
        <v/>
      </c>
      <c r="L488" s="33"/>
      <c r="M488" s="15" t="str">
        <f>IF(B488="","",SUMIF($B$6:B487,B488,$I$6:I487))</f>
        <v/>
      </c>
      <c r="N488" s="15" t="str">
        <f>IF(B488="","",SUMIF($B$6:B487,B488,$H$6:H487))</f>
        <v/>
      </c>
      <c r="O488" s="15" t="str">
        <f>IF(B488="","",COUNTIFS($B$6:B487,B488,$K$6:K487,"&lt;&gt;已记录"))</f>
        <v/>
      </c>
      <c r="P488" s="34"/>
    </row>
    <row r="489" spans="1:16" ht="21.75" customHeight="1">
      <c r="A489" s="16"/>
      <c r="B489" s="30"/>
      <c r="C489" s="31"/>
      <c r="D489" s="10"/>
      <c r="E489" s="10"/>
      <c r="F489" s="32"/>
      <c r="G489" s="15" t="str">
        <f t="shared" si="35"/>
        <v/>
      </c>
      <c r="H489" s="15" t="str">
        <f t="shared" si="36"/>
        <v/>
      </c>
      <c r="I489" s="17" t="str">
        <f t="shared" si="37"/>
        <v/>
      </c>
      <c r="J489" s="15" t="str">
        <f t="shared" si="38"/>
        <v/>
      </c>
      <c r="K489" s="19" t="str">
        <f t="shared" si="39"/>
        <v/>
      </c>
      <c r="L489" s="33"/>
      <c r="M489" s="15" t="str">
        <f>IF(B489="","",SUMIF($B$6:B488,B489,$I$6:I488))</f>
        <v/>
      </c>
      <c r="N489" s="15" t="str">
        <f>IF(B489="","",SUMIF($B$6:B488,B489,$H$6:H488))</f>
        <v/>
      </c>
      <c r="O489" s="15" t="str">
        <f>IF(B489="","",COUNTIFS($B$6:B488,B489,$K$6:K488,"&lt;&gt;已记录"))</f>
        <v/>
      </c>
      <c r="P489" s="34"/>
    </row>
    <row r="490" spans="1:16" ht="21.75" customHeight="1">
      <c r="A490" s="16"/>
      <c r="B490" s="30"/>
      <c r="C490" s="31"/>
      <c r="D490" s="10"/>
      <c r="E490" s="10"/>
      <c r="F490" s="32"/>
      <c r="G490" s="15" t="str">
        <f t="shared" si="35"/>
        <v/>
      </c>
      <c r="H490" s="15" t="str">
        <f t="shared" si="36"/>
        <v/>
      </c>
      <c r="I490" s="17" t="str">
        <f t="shared" si="37"/>
        <v/>
      </c>
      <c r="J490" s="15" t="str">
        <f t="shared" si="38"/>
        <v/>
      </c>
      <c r="K490" s="19" t="str">
        <f t="shared" si="39"/>
        <v/>
      </c>
      <c r="L490" s="33"/>
      <c r="M490" s="15" t="str">
        <f>IF(B490="","",SUMIF($B$6:B489,B490,$I$6:I489))</f>
        <v/>
      </c>
      <c r="N490" s="15" t="str">
        <f>IF(B490="","",SUMIF($B$6:B489,B490,$H$6:H489))</f>
        <v/>
      </c>
      <c r="O490" s="15" t="str">
        <f>IF(B490="","",COUNTIFS($B$6:B489,B490,$K$6:K489,"&lt;&gt;已记录"))</f>
        <v/>
      </c>
      <c r="P490" s="34"/>
    </row>
    <row r="491" spans="1:16" ht="21.75" customHeight="1">
      <c r="A491" s="16"/>
      <c r="B491" s="30"/>
      <c r="C491" s="31"/>
      <c r="D491" s="10"/>
      <c r="E491" s="10"/>
      <c r="F491" s="32"/>
      <c r="G491" s="15" t="str">
        <f t="shared" si="35"/>
        <v/>
      </c>
      <c r="H491" s="15" t="str">
        <f t="shared" si="36"/>
        <v/>
      </c>
      <c r="I491" s="17" t="str">
        <f t="shared" si="37"/>
        <v/>
      </c>
      <c r="J491" s="15" t="str">
        <f t="shared" si="38"/>
        <v/>
      </c>
      <c r="K491" s="19" t="str">
        <f t="shared" si="39"/>
        <v/>
      </c>
      <c r="L491" s="33"/>
      <c r="M491" s="15" t="str">
        <f>IF(B491="","",SUMIF($B$6:B490,B491,$I$6:I490))</f>
        <v/>
      </c>
      <c r="N491" s="15" t="str">
        <f>IF(B491="","",SUMIF($B$6:B490,B491,$H$6:H490))</f>
        <v/>
      </c>
      <c r="O491" s="15" t="str">
        <f>IF(B491="","",COUNTIFS($B$6:B490,B491,$K$6:K490,"&lt;&gt;已记录"))</f>
        <v/>
      </c>
      <c r="P491" s="34"/>
    </row>
    <row r="492" spans="1:16" ht="21.75" customHeight="1">
      <c r="A492" s="16"/>
      <c r="B492" s="30"/>
      <c r="C492" s="31"/>
      <c r="D492" s="10"/>
      <c r="E492" s="10"/>
      <c r="F492" s="32"/>
      <c r="G492" s="15" t="str">
        <f t="shared" si="35"/>
        <v/>
      </c>
      <c r="H492" s="15" t="str">
        <f t="shared" si="36"/>
        <v/>
      </c>
      <c r="I492" s="17" t="str">
        <f t="shared" si="37"/>
        <v/>
      </c>
      <c r="J492" s="15" t="str">
        <f t="shared" si="38"/>
        <v/>
      </c>
      <c r="K492" s="19" t="str">
        <f t="shared" si="39"/>
        <v/>
      </c>
      <c r="L492" s="33"/>
      <c r="M492" s="15" t="str">
        <f>IF(B492="","",SUMIF($B$6:B491,B492,$I$6:I491))</f>
        <v/>
      </c>
      <c r="N492" s="15" t="str">
        <f>IF(B492="","",SUMIF($B$6:B491,B492,$H$6:H491))</f>
        <v/>
      </c>
      <c r="O492" s="15" t="str">
        <f>IF(B492="","",COUNTIFS($B$6:B491,B492,$K$6:K491,"&lt;&gt;已记录"))</f>
        <v/>
      </c>
      <c r="P492" s="34"/>
    </row>
    <row r="493" spans="1:16" ht="21.75" customHeight="1">
      <c r="A493" s="16"/>
      <c r="B493" s="30"/>
      <c r="C493" s="31"/>
      <c r="D493" s="10"/>
      <c r="E493" s="10"/>
      <c r="F493" s="32"/>
      <c r="G493" s="15" t="str">
        <f t="shared" si="35"/>
        <v/>
      </c>
      <c r="H493" s="15" t="str">
        <f t="shared" si="36"/>
        <v/>
      </c>
      <c r="I493" s="17" t="str">
        <f t="shared" si="37"/>
        <v/>
      </c>
      <c r="J493" s="15" t="str">
        <f t="shared" si="38"/>
        <v/>
      </c>
      <c r="K493" s="19" t="str">
        <f t="shared" si="39"/>
        <v/>
      </c>
      <c r="L493" s="33"/>
      <c r="M493" s="15" t="str">
        <f>IF(B493="","",SUMIF($B$6:B492,B493,$I$6:I492))</f>
        <v/>
      </c>
      <c r="N493" s="15" t="str">
        <f>IF(B493="","",SUMIF($B$6:B492,B493,$H$6:H492))</f>
        <v/>
      </c>
      <c r="O493" s="15" t="str">
        <f>IF(B493="","",COUNTIFS($B$6:B492,B493,$K$6:K492,"&lt;&gt;已记录"))</f>
        <v/>
      </c>
      <c r="P493" s="34"/>
    </row>
    <row r="494" spans="1:16" ht="21.75" customHeight="1">
      <c r="A494" s="16"/>
      <c r="B494" s="30"/>
      <c r="C494" s="31"/>
      <c r="D494" s="10"/>
      <c r="E494" s="10"/>
      <c r="F494" s="32"/>
      <c r="G494" s="15" t="str">
        <f t="shared" si="35"/>
        <v/>
      </c>
      <c r="H494" s="15" t="str">
        <f t="shared" si="36"/>
        <v/>
      </c>
      <c r="I494" s="17" t="str">
        <f t="shared" si="37"/>
        <v/>
      </c>
      <c r="J494" s="15" t="str">
        <f t="shared" si="38"/>
        <v/>
      </c>
      <c r="K494" s="19" t="str">
        <f t="shared" si="39"/>
        <v/>
      </c>
      <c r="L494" s="33"/>
      <c r="M494" s="15" t="str">
        <f>IF(B494="","",SUMIF($B$6:B493,B494,$I$6:I493))</f>
        <v/>
      </c>
      <c r="N494" s="15" t="str">
        <f>IF(B494="","",SUMIF($B$6:B493,B494,$H$6:H493))</f>
        <v/>
      </c>
      <c r="O494" s="15" t="str">
        <f>IF(B494="","",COUNTIFS($B$6:B493,B494,$K$6:K493,"&lt;&gt;已记录"))</f>
        <v/>
      </c>
      <c r="P494" s="34"/>
    </row>
    <row r="495" spans="1:16" ht="21.75" customHeight="1">
      <c r="A495" s="16"/>
      <c r="B495" s="30"/>
      <c r="C495" s="31"/>
      <c r="D495" s="10"/>
      <c r="E495" s="10"/>
      <c r="F495" s="32"/>
      <c r="G495" s="15" t="str">
        <f t="shared" si="35"/>
        <v/>
      </c>
      <c r="H495" s="15" t="str">
        <f t="shared" si="36"/>
        <v/>
      </c>
      <c r="I495" s="17" t="str">
        <f t="shared" si="37"/>
        <v/>
      </c>
      <c r="J495" s="15" t="str">
        <f t="shared" si="38"/>
        <v/>
      </c>
      <c r="K495" s="19" t="str">
        <f t="shared" si="39"/>
        <v/>
      </c>
      <c r="L495" s="33"/>
      <c r="M495" s="15" t="str">
        <f>IF(B495="","",SUMIF($B$6:B494,B495,$I$6:I494))</f>
        <v/>
      </c>
      <c r="N495" s="15" t="str">
        <f>IF(B495="","",SUMIF($B$6:B494,B495,$H$6:H494))</f>
        <v/>
      </c>
      <c r="O495" s="15" t="str">
        <f>IF(B495="","",COUNTIFS($B$6:B494,B495,$K$6:K494,"&lt;&gt;已记录"))</f>
        <v/>
      </c>
      <c r="P495" s="34"/>
    </row>
    <row r="496" spans="1:16" ht="21.75" customHeight="1">
      <c r="A496" s="16"/>
      <c r="B496" s="30"/>
      <c r="C496" s="31"/>
      <c r="D496" s="10"/>
      <c r="E496" s="10"/>
      <c r="F496" s="32"/>
      <c r="G496" s="15" t="str">
        <f t="shared" si="35"/>
        <v/>
      </c>
      <c r="H496" s="15" t="str">
        <f t="shared" si="36"/>
        <v/>
      </c>
      <c r="I496" s="17" t="str">
        <f t="shared" si="37"/>
        <v/>
      </c>
      <c r="J496" s="15" t="str">
        <f t="shared" si="38"/>
        <v/>
      </c>
      <c r="K496" s="19" t="str">
        <f t="shared" si="39"/>
        <v/>
      </c>
      <c r="L496" s="33"/>
      <c r="M496" s="15" t="str">
        <f>IF(B496="","",SUMIF($B$6:B495,B496,$I$6:I495))</f>
        <v/>
      </c>
      <c r="N496" s="15" t="str">
        <f>IF(B496="","",SUMIF($B$6:B495,B496,$H$6:H495))</f>
        <v/>
      </c>
      <c r="O496" s="15" t="str">
        <f>IF(B496="","",COUNTIFS($B$6:B495,B496,$K$6:K495,"&lt;&gt;已记录"))</f>
        <v/>
      </c>
      <c r="P496" s="34"/>
    </row>
    <row r="497" spans="1:16" ht="21.75" customHeight="1">
      <c r="A497" s="16"/>
      <c r="B497" s="30"/>
      <c r="C497" s="31"/>
      <c r="D497" s="10"/>
      <c r="E497" s="10"/>
      <c r="F497" s="32"/>
      <c r="G497" s="15" t="str">
        <f t="shared" si="35"/>
        <v/>
      </c>
      <c r="H497" s="15" t="str">
        <f t="shared" si="36"/>
        <v/>
      </c>
      <c r="I497" s="17" t="str">
        <f t="shared" si="37"/>
        <v/>
      </c>
      <c r="J497" s="15" t="str">
        <f t="shared" si="38"/>
        <v/>
      </c>
      <c r="K497" s="19" t="str">
        <f t="shared" si="39"/>
        <v/>
      </c>
      <c r="L497" s="33"/>
      <c r="M497" s="15" t="str">
        <f>IF(B497="","",SUMIF($B$6:B496,B497,$I$6:I496))</f>
        <v/>
      </c>
      <c r="N497" s="15" t="str">
        <f>IF(B497="","",SUMIF($B$6:B496,B497,$H$6:H496))</f>
        <v/>
      </c>
      <c r="O497" s="15" t="str">
        <f>IF(B497="","",COUNTIFS($B$6:B496,B497,$K$6:K496,"&lt;&gt;已记录"))</f>
        <v/>
      </c>
      <c r="P497" s="34"/>
    </row>
    <row r="498" spans="1:16" ht="21.75" customHeight="1">
      <c r="A498" s="16"/>
      <c r="B498" s="30"/>
      <c r="C498" s="31"/>
      <c r="D498" s="10"/>
      <c r="E498" s="10"/>
      <c r="F498" s="32"/>
      <c r="G498" s="15" t="str">
        <f t="shared" si="35"/>
        <v/>
      </c>
      <c r="H498" s="15" t="str">
        <f t="shared" si="36"/>
        <v/>
      </c>
      <c r="I498" s="17" t="str">
        <f t="shared" si="37"/>
        <v/>
      </c>
      <c r="J498" s="15" t="str">
        <f t="shared" si="38"/>
        <v/>
      </c>
      <c r="K498" s="19" t="str">
        <f t="shared" si="39"/>
        <v/>
      </c>
      <c r="L498" s="33"/>
      <c r="M498" s="15" t="str">
        <f>IF(B498="","",SUMIF($B$6:B497,B498,$I$6:I497))</f>
        <v/>
      </c>
      <c r="N498" s="15" t="str">
        <f>IF(B498="","",SUMIF($B$6:B497,B498,$H$6:H497))</f>
        <v/>
      </c>
      <c r="O498" s="15" t="str">
        <f>IF(B498="","",COUNTIFS($B$6:B497,B498,$K$6:K497,"&lt;&gt;已记录"))</f>
        <v/>
      </c>
      <c r="P498" s="34"/>
    </row>
    <row r="499" spans="1:16" ht="21.75" customHeight="1">
      <c r="A499" s="16"/>
      <c r="B499" s="30"/>
      <c r="C499" s="31"/>
      <c r="D499" s="10"/>
      <c r="E499" s="10"/>
      <c r="F499" s="32"/>
      <c r="G499" s="15" t="str">
        <f t="shared" si="35"/>
        <v/>
      </c>
      <c r="H499" s="15" t="str">
        <f t="shared" si="36"/>
        <v/>
      </c>
      <c r="I499" s="17" t="str">
        <f t="shared" si="37"/>
        <v/>
      </c>
      <c r="J499" s="15" t="str">
        <f t="shared" si="38"/>
        <v/>
      </c>
      <c r="K499" s="19" t="str">
        <f t="shared" si="39"/>
        <v/>
      </c>
      <c r="L499" s="33"/>
      <c r="M499" s="15" t="str">
        <f>IF(B499="","",SUMIF($B$6:B498,B499,$I$6:I498))</f>
        <v/>
      </c>
      <c r="N499" s="15" t="str">
        <f>IF(B499="","",SUMIF($B$6:B498,B499,$H$6:H498))</f>
        <v/>
      </c>
      <c r="O499" s="15" t="str">
        <f>IF(B499="","",COUNTIFS($B$6:B498,B499,$K$6:K498,"&lt;&gt;已记录"))</f>
        <v/>
      </c>
      <c r="P499" s="34"/>
    </row>
    <row r="500" spans="1:16" ht="21.75" customHeight="1">
      <c r="A500" s="16"/>
      <c r="B500" s="30"/>
      <c r="C500" s="31"/>
      <c r="D500" s="10"/>
      <c r="E500" s="10"/>
      <c r="F500" s="32"/>
      <c r="G500" s="15" t="str">
        <f t="shared" si="35"/>
        <v/>
      </c>
      <c r="H500" s="15" t="str">
        <f t="shared" si="36"/>
        <v/>
      </c>
      <c r="I500" s="17" t="str">
        <f t="shared" si="37"/>
        <v/>
      </c>
      <c r="J500" s="15" t="str">
        <f t="shared" si="38"/>
        <v/>
      </c>
      <c r="K500" s="19" t="str">
        <f t="shared" si="39"/>
        <v/>
      </c>
      <c r="L500" s="33"/>
      <c r="M500" s="15" t="str">
        <f>IF(B500="","",SUMIF($B$6:B499,B500,$I$6:I499))</f>
        <v/>
      </c>
      <c r="N500" s="15" t="str">
        <f>IF(B500="","",SUMIF($B$6:B499,B500,$H$6:H499))</f>
        <v/>
      </c>
      <c r="O500" s="15" t="str">
        <f>IF(B500="","",COUNTIFS($B$6:B499,B500,$K$6:K499,"&lt;&gt;已记录"))</f>
        <v/>
      </c>
      <c r="P500" s="34"/>
    </row>
    <row r="501" spans="1:16" ht="21.75" customHeight="1">
      <c r="A501" s="16"/>
      <c r="B501" s="30"/>
      <c r="C501" s="31"/>
      <c r="D501" s="10"/>
      <c r="E501" s="10"/>
      <c r="F501" s="32"/>
      <c r="G501" s="15" t="str">
        <f t="shared" si="35"/>
        <v/>
      </c>
      <c r="H501" s="15" t="str">
        <f t="shared" si="36"/>
        <v/>
      </c>
      <c r="I501" s="17" t="str">
        <f t="shared" si="37"/>
        <v/>
      </c>
      <c r="J501" s="15" t="str">
        <f t="shared" si="38"/>
        <v/>
      </c>
      <c r="K501" s="19" t="str">
        <f t="shared" si="39"/>
        <v/>
      </c>
      <c r="L501" s="33"/>
      <c r="M501" s="15" t="str">
        <f>IF(B501="","",SUMIF($B$6:B500,B501,$I$6:I500))</f>
        <v/>
      </c>
      <c r="N501" s="15" t="str">
        <f>IF(B501="","",SUMIF($B$6:B500,B501,$H$6:H500))</f>
        <v/>
      </c>
      <c r="O501" s="15" t="str">
        <f>IF(B501="","",COUNTIFS($B$6:B500,B501,$K$6:K500,"&lt;&gt;已记录"))</f>
        <v/>
      </c>
      <c r="P501" s="34"/>
    </row>
    <row r="502" spans="1:16" ht="21.75" customHeight="1">
      <c r="A502" s="16"/>
      <c r="B502" s="30"/>
      <c r="C502" s="31"/>
      <c r="D502" s="10"/>
      <c r="E502" s="10"/>
      <c r="F502" s="32"/>
      <c r="G502" s="15" t="str">
        <f t="shared" si="35"/>
        <v/>
      </c>
      <c r="H502" s="15" t="str">
        <f t="shared" si="36"/>
        <v/>
      </c>
      <c r="I502" s="17" t="str">
        <f t="shared" si="37"/>
        <v/>
      </c>
      <c r="J502" s="15" t="str">
        <f t="shared" si="38"/>
        <v/>
      </c>
      <c r="K502" s="19" t="str">
        <f t="shared" si="39"/>
        <v/>
      </c>
      <c r="L502" s="33"/>
      <c r="M502" s="15" t="str">
        <f>IF(B502="","",SUMIF($B$6:B501,B502,$I$6:I501))</f>
        <v/>
      </c>
      <c r="N502" s="15" t="str">
        <f>IF(B502="","",SUMIF($B$6:B501,B502,$H$6:H501))</f>
        <v/>
      </c>
      <c r="O502" s="15" t="str">
        <f>IF(B502="","",COUNTIFS($B$6:B501,B502,$K$6:K501,"&lt;&gt;已记录"))</f>
        <v/>
      </c>
      <c r="P502" s="34"/>
    </row>
    <row r="503" spans="1:16" ht="21.75" customHeight="1">
      <c r="A503" s="16"/>
      <c r="B503" s="30"/>
      <c r="C503" s="31"/>
      <c r="D503" s="10"/>
      <c r="E503" s="10"/>
      <c r="F503" s="32"/>
      <c r="G503" s="15" t="str">
        <f t="shared" si="35"/>
        <v/>
      </c>
      <c r="H503" s="15" t="str">
        <f t="shared" si="36"/>
        <v/>
      </c>
      <c r="I503" s="17" t="str">
        <f t="shared" si="37"/>
        <v/>
      </c>
      <c r="J503" s="15" t="str">
        <f t="shared" si="38"/>
        <v/>
      </c>
      <c r="K503" s="19" t="str">
        <f t="shared" si="39"/>
        <v/>
      </c>
      <c r="L503" s="33"/>
      <c r="M503" s="15" t="str">
        <f>IF(B503="","",SUMIF($B$6:B502,B503,$I$6:I502))</f>
        <v/>
      </c>
      <c r="N503" s="15" t="str">
        <f>IF(B503="","",SUMIF($B$6:B502,B503,$H$6:H502))</f>
        <v/>
      </c>
      <c r="O503" s="15" t="str">
        <f>IF(B503="","",COUNTIFS($B$6:B502,B503,$K$6:K502,"&lt;&gt;已记录"))</f>
        <v/>
      </c>
      <c r="P503" s="34"/>
    </row>
    <row r="504" spans="1:16" ht="21.75" customHeight="1">
      <c r="A504" s="16"/>
      <c r="B504" s="30"/>
      <c r="C504" s="31"/>
      <c r="D504" s="10"/>
      <c r="E504" s="10"/>
      <c r="F504" s="32"/>
      <c r="G504" s="15" t="str">
        <f t="shared" si="35"/>
        <v/>
      </c>
      <c r="H504" s="15" t="str">
        <f t="shared" si="36"/>
        <v/>
      </c>
      <c r="I504" s="17" t="str">
        <f t="shared" si="37"/>
        <v/>
      </c>
      <c r="J504" s="15" t="str">
        <f t="shared" si="38"/>
        <v/>
      </c>
      <c r="K504" s="19" t="str">
        <f t="shared" si="39"/>
        <v/>
      </c>
      <c r="L504" s="33"/>
      <c r="M504" s="15" t="str">
        <f>IF(B504="","",SUMIF($B$6:B503,B504,$I$6:I503))</f>
        <v/>
      </c>
      <c r="N504" s="15" t="str">
        <f>IF(B504="","",SUMIF($B$6:B503,B504,$H$6:H503))</f>
        <v/>
      </c>
      <c r="O504" s="15" t="str">
        <f>IF(B504="","",COUNTIFS($B$6:B503,B504,$K$6:K503,"&lt;&gt;已记录"))</f>
        <v/>
      </c>
      <c r="P504" s="34"/>
    </row>
    <row r="505" spans="1:16" ht="21.75" customHeight="1">
      <c r="A505" s="16"/>
      <c r="B505" s="30"/>
      <c r="C505" s="31"/>
      <c r="D505" s="10"/>
      <c r="E505" s="10"/>
      <c r="F505" s="32"/>
      <c r="G505" s="15" t="str">
        <f t="shared" si="35"/>
        <v/>
      </c>
      <c r="H505" s="15" t="str">
        <f t="shared" si="36"/>
        <v/>
      </c>
      <c r="I505" s="17" t="str">
        <f t="shared" si="37"/>
        <v/>
      </c>
      <c r="J505" s="15" t="str">
        <f t="shared" si="38"/>
        <v/>
      </c>
      <c r="K505" s="19" t="str">
        <f t="shared" si="39"/>
        <v/>
      </c>
      <c r="L505" s="33"/>
      <c r="M505" s="15" t="str">
        <f>IF(B505="","",SUMIF($B$6:B504,B505,$I$6:I504))</f>
        <v/>
      </c>
      <c r="N505" s="15" t="str">
        <f>IF(B505="","",SUMIF($B$6:B504,B505,$H$6:H504))</f>
        <v/>
      </c>
      <c r="O505" s="15" t="str">
        <f>IF(B505="","",COUNTIFS($B$6:B504,B505,$K$6:K504,"&lt;&gt;已记录"))</f>
        <v/>
      </c>
      <c r="P505" s="34"/>
    </row>
    <row r="506" spans="1:16" ht="21.75" customHeight="1">
      <c r="A506" s="16"/>
      <c r="B506" s="30"/>
      <c r="C506" s="31"/>
      <c r="D506" s="10"/>
      <c r="E506" s="10"/>
      <c r="F506" s="32"/>
      <c r="G506" s="15" t="str">
        <f t="shared" si="35"/>
        <v/>
      </c>
      <c r="H506" s="15" t="str">
        <f t="shared" si="36"/>
        <v/>
      </c>
      <c r="I506" s="17" t="str">
        <f t="shared" si="37"/>
        <v/>
      </c>
      <c r="J506" s="15" t="str">
        <f t="shared" si="38"/>
        <v/>
      </c>
      <c r="K506" s="19" t="str">
        <f t="shared" si="39"/>
        <v/>
      </c>
      <c r="L506" s="33"/>
      <c r="M506" s="15" t="str">
        <f>IF(B506="","",SUMIF($B$6:B505,B506,$I$6:I505))</f>
        <v/>
      </c>
      <c r="N506" s="15" t="str">
        <f>IF(B506="","",SUMIF($B$6:B505,B506,$H$6:H505))</f>
        <v/>
      </c>
      <c r="O506" s="15" t="str">
        <f>IF(B506="","",COUNTIFS($B$6:B505,B506,$K$6:K505,"&lt;&gt;已记录"))</f>
        <v/>
      </c>
      <c r="P506" s="34"/>
    </row>
    <row r="507" spans="1:16" ht="21.75" customHeight="1">
      <c r="A507" s="16"/>
      <c r="B507" s="30"/>
      <c r="C507" s="31"/>
      <c r="D507" s="10"/>
      <c r="E507" s="10"/>
      <c r="F507" s="32"/>
      <c r="G507" s="15" t="str">
        <f t="shared" si="35"/>
        <v/>
      </c>
      <c r="H507" s="15" t="str">
        <f t="shared" si="36"/>
        <v/>
      </c>
      <c r="I507" s="17" t="str">
        <f t="shared" si="37"/>
        <v/>
      </c>
      <c r="J507" s="15" t="str">
        <f t="shared" si="38"/>
        <v/>
      </c>
      <c r="K507" s="19" t="str">
        <f t="shared" si="39"/>
        <v/>
      </c>
      <c r="L507" s="33"/>
      <c r="M507" s="15" t="str">
        <f>IF(B507="","",SUMIF($B$6:B506,B507,$I$6:I506))</f>
        <v/>
      </c>
      <c r="N507" s="15" t="str">
        <f>IF(B507="","",SUMIF($B$6:B506,B507,$H$6:H506))</f>
        <v/>
      </c>
      <c r="O507" s="15" t="str">
        <f>IF(B507="","",COUNTIFS($B$6:B506,B507,$K$6:K506,"&lt;&gt;已记录"))</f>
        <v/>
      </c>
      <c r="P507" s="34"/>
    </row>
    <row r="508" spans="1:16" ht="21.75" customHeight="1">
      <c r="A508" s="16"/>
      <c r="B508" s="30"/>
      <c r="C508" s="31"/>
      <c r="D508" s="10"/>
      <c r="E508" s="10"/>
      <c r="F508" s="32"/>
      <c r="G508" s="15" t="str">
        <f t="shared" si="35"/>
        <v/>
      </c>
      <c r="H508" s="15" t="str">
        <f t="shared" si="36"/>
        <v/>
      </c>
      <c r="I508" s="17" t="str">
        <f t="shared" si="37"/>
        <v/>
      </c>
      <c r="J508" s="15" t="str">
        <f t="shared" si="38"/>
        <v/>
      </c>
      <c r="K508" s="19" t="str">
        <f t="shared" si="39"/>
        <v/>
      </c>
      <c r="L508" s="33"/>
      <c r="M508" s="15" t="str">
        <f>IF(B508="","",SUMIF($B$6:B507,B508,$I$6:I507))</f>
        <v/>
      </c>
      <c r="N508" s="15" t="str">
        <f>IF(B508="","",SUMIF($B$6:B507,B508,$H$6:H507))</f>
        <v/>
      </c>
      <c r="O508" s="15" t="str">
        <f>IF(B508="","",COUNTIFS($B$6:B507,B508,$K$6:K507,"&lt;&gt;已记录"))</f>
        <v/>
      </c>
      <c r="P508" s="34"/>
    </row>
    <row r="509" spans="1:16" ht="21.75" customHeight="1">
      <c r="A509" s="16"/>
      <c r="B509" s="30"/>
      <c r="C509" s="31"/>
      <c r="D509" s="10"/>
      <c r="E509" s="10"/>
      <c r="F509" s="32"/>
      <c r="G509" s="15" t="str">
        <f t="shared" si="35"/>
        <v/>
      </c>
      <c r="H509" s="15" t="str">
        <f t="shared" si="36"/>
        <v/>
      </c>
      <c r="I509" s="17" t="str">
        <f t="shared" si="37"/>
        <v/>
      </c>
      <c r="J509" s="15" t="str">
        <f t="shared" si="38"/>
        <v/>
      </c>
      <c r="K509" s="19" t="str">
        <f t="shared" si="39"/>
        <v/>
      </c>
      <c r="L509" s="33"/>
      <c r="M509" s="15" t="str">
        <f>IF(B509="","",SUMIF($B$6:B508,B509,$I$6:I508))</f>
        <v/>
      </c>
      <c r="N509" s="15" t="str">
        <f>IF(B509="","",SUMIF($B$6:B508,B509,$H$6:H508))</f>
        <v/>
      </c>
      <c r="O509" s="15" t="str">
        <f>IF(B509="","",COUNTIFS($B$6:B508,B509,$K$6:K508,"&lt;&gt;已记录"))</f>
        <v/>
      </c>
      <c r="P509" s="34"/>
    </row>
    <row r="510" spans="1:16" ht="21.75" customHeight="1">
      <c r="A510" s="16"/>
      <c r="B510" s="30"/>
      <c r="C510" s="31"/>
      <c r="D510" s="10"/>
      <c r="E510" s="10"/>
      <c r="F510" s="32"/>
      <c r="G510" s="15" t="str">
        <f t="shared" si="35"/>
        <v/>
      </c>
      <c r="H510" s="15" t="str">
        <f t="shared" si="36"/>
        <v/>
      </c>
      <c r="I510" s="17" t="str">
        <f t="shared" si="37"/>
        <v/>
      </c>
      <c r="J510" s="15" t="str">
        <f t="shared" si="38"/>
        <v/>
      </c>
      <c r="K510" s="19" t="str">
        <f t="shared" si="39"/>
        <v/>
      </c>
      <c r="L510" s="33"/>
      <c r="M510" s="15" t="str">
        <f>IF(B510="","",SUMIF($B$6:B509,B510,$I$6:I509))</f>
        <v/>
      </c>
      <c r="N510" s="15" t="str">
        <f>IF(B510="","",SUMIF($B$6:B509,B510,$H$6:H509))</f>
        <v/>
      </c>
      <c r="O510" s="15" t="str">
        <f>IF(B510="","",COUNTIFS($B$6:B509,B510,$K$6:K509,"&lt;&gt;已记录"))</f>
        <v/>
      </c>
      <c r="P510" s="34"/>
    </row>
    <row r="511" spans="1:16" ht="21.75" customHeight="1">
      <c r="A511" s="16"/>
      <c r="B511" s="30"/>
      <c r="C511" s="31"/>
      <c r="D511" s="10"/>
      <c r="E511" s="10"/>
      <c r="F511" s="32"/>
      <c r="G511" s="15" t="str">
        <f t="shared" si="35"/>
        <v/>
      </c>
      <c r="H511" s="15" t="str">
        <f t="shared" si="36"/>
        <v/>
      </c>
      <c r="I511" s="17" t="str">
        <f t="shared" si="37"/>
        <v/>
      </c>
      <c r="J511" s="15" t="str">
        <f t="shared" si="38"/>
        <v/>
      </c>
      <c r="K511" s="19" t="str">
        <f t="shared" si="39"/>
        <v/>
      </c>
      <c r="L511" s="33"/>
      <c r="M511" s="15" t="str">
        <f>IF(B511="","",SUMIF($B$6:B510,B511,$I$6:I510))</f>
        <v/>
      </c>
      <c r="N511" s="15" t="str">
        <f>IF(B511="","",SUMIF($B$6:B510,B511,$H$6:H510))</f>
        <v/>
      </c>
      <c r="O511" s="15" t="str">
        <f>IF(B511="","",COUNTIFS($B$6:B510,B511,$K$6:K510,"&lt;&gt;已记录"))</f>
        <v/>
      </c>
      <c r="P511" s="34"/>
    </row>
    <row r="512" spans="1:16" ht="21.75" customHeight="1">
      <c r="A512" s="16"/>
      <c r="B512" s="30"/>
      <c r="C512" s="31"/>
      <c r="D512" s="10"/>
      <c r="E512" s="10"/>
      <c r="F512" s="32"/>
      <c r="G512" s="15" t="str">
        <f t="shared" si="35"/>
        <v/>
      </c>
      <c r="H512" s="15" t="str">
        <f t="shared" si="36"/>
        <v/>
      </c>
      <c r="I512" s="17" t="str">
        <f t="shared" si="37"/>
        <v/>
      </c>
      <c r="J512" s="15" t="str">
        <f t="shared" si="38"/>
        <v/>
      </c>
      <c r="K512" s="19" t="str">
        <f t="shared" si="39"/>
        <v/>
      </c>
      <c r="L512" s="33"/>
      <c r="M512" s="15" t="str">
        <f>IF(B512="","",SUMIF($B$6:B511,B512,$I$6:I511))</f>
        <v/>
      </c>
      <c r="N512" s="15" t="str">
        <f>IF(B512="","",SUMIF($B$6:B511,B512,$H$6:H511))</f>
        <v/>
      </c>
      <c r="O512" s="15" t="str">
        <f>IF(B512="","",COUNTIFS($B$6:B511,B512,$K$6:K511,"&lt;&gt;已记录"))</f>
        <v/>
      </c>
      <c r="P512" s="34"/>
    </row>
    <row r="513" spans="1:16" ht="21.75" customHeight="1">
      <c r="A513" s="16"/>
      <c r="B513" s="30"/>
      <c r="C513" s="31"/>
      <c r="D513" s="10"/>
      <c r="E513" s="10"/>
      <c r="F513" s="32"/>
      <c r="G513" s="15" t="str">
        <f t="shared" si="35"/>
        <v/>
      </c>
      <c r="H513" s="15" t="str">
        <f t="shared" si="36"/>
        <v/>
      </c>
      <c r="I513" s="17" t="str">
        <f t="shared" si="37"/>
        <v/>
      </c>
      <c r="J513" s="15" t="str">
        <f t="shared" si="38"/>
        <v/>
      </c>
      <c r="K513" s="19" t="str">
        <f t="shared" si="39"/>
        <v/>
      </c>
      <c r="L513" s="33"/>
      <c r="M513" s="15" t="str">
        <f>IF(B513="","",SUMIF($B$6:B512,B513,$I$6:I512))</f>
        <v/>
      </c>
      <c r="N513" s="15" t="str">
        <f>IF(B513="","",SUMIF($B$6:B512,B513,$H$6:H512))</f>
        <v/>
      </c>
      <c r="O513" s="15" t="str">
        <f>IF(B513="","",COUNTIFS($B$6:B512,B513,$K$6:K512,"&lt;&gt;已记录"))</f>
        <v/>
      </c>
      <c r="P513" s="34"/>
    </row>
    <row r="514" spans="1:16" ht="21.75" customHeight="1">
      <c r="A514" s="16"/>
      <c r="B514" s="30"/>
      <c r="C514" s="31"/>
      <c r="D514" s="10"/>
      <c r="E514" s="10"/>
      <c r="F514" s="32"/>
      <c r="G514" s="15" t="str">
        <f t="shared" si="35"/>
        <v/>
      </c>
      <c r="H514" s="15" t="str">
        <f t="shared" si="36"/>
        <v/>
      </c>
      <c r="I514" s="17" t="str">
        <f t="shared" si="37"/>
        <v/>
      </c>
      <c r="J514" s="15" t="str">
        <f t="shared" si="38"/>
        <v/>
      </c>
      <c r="K514" s="19" t="str">
        <f t="shared" si="39"/>
        <v/>
      </c>
      <c r="L514" s="33"/>
      <c r="M514" s="15" t="str">
        <f>IF(B514="","",SUMIF($B$6:B513,B514,$I$6:I513))</f>
        <v/>
      </c>
      <c r="N514" s="15" t="str">
        <f>IF(B514="","",SUMIF($B$6:B513,B514,$H$6:H513))</f>
        <v/>
      </c>
      <c r="O514" s="15" t="str">
        <f>IF(B514="","",COUNTIFS($B$6:B513,B514,$K$6:K513,"&lt;&gt;已记录"))</f>
        <v/>
      </c>
      <c r="P514" s="34"/>
    </row>
    <row r="515" spans="1:16" ht="21.75" customHeight="1">
      <c r="A515" s="16"/>
      <c r="B515" s="30"/>
      <c r="C515" s="31"/>
      <c r="D515" s="10"/>
      <c r="E515" s="10"/>
      <c r="F515" s="32"/>
      <c r="G515" s="15" t="str">
        <f t="shared" si="35"/>
        <v/>
      </c>
      <c r="H515" s="15" t="str">
        <f t="shared" si="36"/>
        <v/>
      </c>
      <c r="I515" s="17" t="str">
        <f t="shared" si="37"/>
        <v/>
      </c>
      <c r="J515" s="15" t="str">
        <f t="shared" si="38"/>
        <v/>
      </c>
      <c r="K515" s="19" t="str">
        <f t="shared" si="39"/>
        <v/>
      </c>
      <c r="L515" s="33"/>
      <c r="M515" s="15" t="str">
        <f>IF(B515="","",SUMIF($B$6:B514,B515,$I$6:I514))</f>
        <v/>
      </c>
      <c r="N515" s="15" t="str">
        <f>IF(B515="","",SUMIF($B$6:B514,B515,$H$6:H514))</f>
        <v/>
      </c>
      <c r="O515" s="15" t="str">
        <f>IF(B515="","",COUNTIFS($B$6:B514,B515,$K$6:K514,"&lt;&gt;已记录"))</f>
        <v/>
      </c>
      <c r="P515" s="34"/>
    </row>
    <row r="516" spans="1:16" ht="21.75" customHeight="1">
      <c r="A516" s="16"/>
      <c r="B516" s="30"/>
      <c r="C516" s="31"/>
      <c r="D516" s="10"/>
      <c r="E516" s="10"/>
      <c r="F516" s="32"/>
      <c r="G516" s="15" t="str">
        <f t="shared" si="35"/>
        <v/>
      </c>
      <c r="H516" s="15" t="str">
        <f t="shared" si="36"/>
        <v/>
      </c>
      <c r="I516" s="17" t="str">
        <f t="shared" si="37"/>
        <v/>
      </c>
      <c r="J516" s="15" t="str">
        <f t="shared" si="38"/>
        <v/>
      </c>
      <c r="K516" s="19" t="str">
        <f t="shared" si="39"/>
        <v/>
      </c>
      <c r="L516" s="33"/>
      <c r="M516" s="15" t="str">
        <f>IF(B516="","",SUMIF($B$6:B515,B516,$I$6:I515))</f>
        <v/>
      </c>
      <c r="N516" s="15" t="str">
        <f>IF(B516="","",SUMIF($B$6:B515,B516,$H$6:H515))</f>
        <v/>
      </c>
      <c r="O516" s="15" t="str">
        <f>IF(B516="","",COUNTIFS($B$6:B515,B516,$K$6:K515,"&lt;&gt;已记录"))</f>
        <v/>
      </c>
      <c r="P516" s="34"/>
    </row>
    <row r="517" spans="1:16" ht="21.75" customHeight="1">
      <c r="A517" s="16"/>
      <c r="B517" s="30"/>
      <c r="C517" s="31"/>
      <c r="D517" s="10"/>
      <c r="E517" s="10"/>
      <c r="F517" s="32"/>
      <c r="G517" s="15" t="str">
        <f t="shared" si="35"/>
        <v/>
      </c>
      <c r="H517" s="15" t="str">
        <f t="shared" si="36"/>
        <v/>
      </c>
      <c r="I517" s="17" t="str">
        <f t="shared" si="37"/>
        <v/>
      </c>
      <c r="J517" s="15" t="str">
        <f t="shared" si="38"/>
        <v/>
      </c>
      <c r="K517" s="19" t="str">
        <f t="shared" si="39"/>
        <v/>
      </c>
      <c r="L517" s="33"/>
      <c r="M517" s="15" t="str">
        <f>IF(B517="","",SUMIF($B$6:B516,B517,$I$6:I516))</f>
        <v/>
      </c>
      <c r="N517" s="15" t="str">
        <f>IF(B517="","",SUMIF($B$6:B516,B517,$H$6:H516))</f>
        <v/>
      </c>
      <c r="O517" s="15" t="str">
        <f>IF(B517="","",COUNTIFS($B$6:B516,B517,$K$6:K516,"&lt;&gt;已记录"))</f>
        <v/>
      </c>
      <c r="P517" s="34"/>
    </row>
    <row r="518" spans="1:16" ht="21.75" customHeight="1">
      <c r="A518" s="16"/>
      <c r="B518" s="30"/>
      <c r="C518" s="31"/>
      <c r="D518" s="10"/>
      <c r="E518" s="10"/>
      <c r="F518" s="32"/>
      <c r="G518" s="15" t="str">
        <f t="shared" ref="G518:G581" si="40">IF(OR(B518="",D518="",C518=""),"",IF(C518="买入",-(D518+E518),IF(C518="卖出",D518-E518,"")))</f>
        <v/>
      </c>
      <c r="H518" s="15" t="str">
        <f t="shared" ref="H518:H581" si="41">IF(K518&lt;&gt;"已记录","",IF(C518="买入",D518+E518,-IF(M518=0,0,N518/M518*F518)))</f>
        <v/>
      </c>
      <c r="I518" s="17" t="str">
        <f t="shared" ref="I518:I581" si="42">IF(K518&lt;&gt;"已记录","",IF(C518="买入",F518,-F518))</f>
        <v/>
      </c>
      <c r="J518" s="15" t="str">
        <f t="shared" ref="J518:J581" si="43">IF(K518&lt;&gt;"已记录","",IF(C518="卖出",D518-E518+H518,0))</f>
        <v/>
      </c>
      <c r="K518" s="19" t="str">
        <f t="shared" ref="K518:K581" si="44">IF(B518="","",IF(OR(A518="",D518="",F518="",C518=""),"待补日期／金额／份额",IF(OR(D518&lt;=0,F518&lt;=0,E518&lt;0,AND(C518&lt;&gt;"买入",C518&lt;&gt;"卖出"),AND(C518="卖出",E518&gt;D518)),"请检查输入",IF(O518&gt;0,"待补前序记录",IF(AND(C518="卖出",F518&gt;M518+0.00000001),"卖出超过持仓","已记录")))))</f>
        <v/>
      </c>
      <c r="L518" s="33"/>
      <c r="M518" s="15" t="str">
        <f>IF(B518="","",SUMIF($B$6:B517,B518,$I$6:I517))</f>
        <v/>
      </c>
      <c r="N518" s="15" t="str">
        <f>IF(B518="","",SUMIF($B$6:B517,B518,$H$6:H517))</f>
        <v/>
      </c>
      <c r="O518" s="15" t="str">
        <f>IF(B518="","",COUNTIFS($B$6:B517,B518,$K$6:K517,"&lt;&gt;已记录"))</f>
        <v/>
      </c>
      <c r="P518" s="34"/>
    </row>
    <row r="519" spans="1:16" ht="21.75" customHeight="1">
      <c r="A519" s="16"/>
      <c r="B519" s="30"/>
      <c r="C519" s="31"/>
      <c r="D519" s="10"/>
      <c r="E519" s="10"/>
      <c r="F519" s="32"/>
      <c r="G519" s="15" t="str">
        <f t="shared" si="40"/>
        <v/>
      </c>
      <c r="H519" s="15" t="str">
        <f t="shared" si="41"/>
        <v/>
      </c>
      <c r="I519" s="17" t="str">
        <f t="shared" si="42"/>
        <v/>
      </c>
      <c r="J519" s="15" t="str">
        <f t="shared" si="43"/>
        <v/>
      </c>
      <c r="K519" s="19" t="str">
        <f t="shared" si="44"/>
        <v/>
      </c>
      <c r="L519" s="33"/>
      <c r="M519" s="15" t="str">
        <f>IF(B519="","",SUMIF($B$6:B518,B519,$I$6:I518))</f>
        <v/>
      </c>
      <c r="N519" s="15" t="str">
        <f>IF(B519="","",SUMIF($B$6:B518,B519,$H$6:H518))</f>
        <v/>
      </c>
      <c r="O519" s="15" t="str">
        <f>IF(B519="","",COUNTIFS($B$6:B518,B519,$K$6:K518,"&lt;&gt;已记录"))</f>
        <v/>
      </c>
      <c r="P519" s="34"/>
    </row>
    <row r="520" spans="1:16" ht="21.75" customHeight="1">
      <c r="A520" s="16"/>
      <c r="B520" s="30"/>
      <c r="C520" s="31"/>
      <c r="D520" s="10"/>
      <c r="E520" s="10"/>
      <c r="F520" s="32"/>
      <c r="G520" s="15" t="str">
        <f t="shared" si="40"/>
        <v/>
      </c>
      <c r="H520" s="15" t="str">
        <f t="shared" si="41"/>
        <v/>
      </c>
      <c r="I520" s="17" t="str">
        <f t="shared" si="42"/>
        <v/>
      </c>
      <c r="J520" s="15" t="str">
        <f t="shared" si="43"/>
        <v/>
      </c>
      <c r="K520" s="19" t="str">
        <f t="shared" si="44"/>
        <v/>
      </c>
      <c r="L520" s="33"/>
      <c r="M520" s="15" t="str">
        <f>IF(B520="","",SUMIF($B$6:B519,B520,$I$6:I519))</f>
        <v/>
      </c>
      <c r="N520" s="15" t="str">
        <f>IF(B520="","",SUMIF($B$6:B519,B520,$H$6:H519))</f>
        <v/>
      </c>
      <c r="O520" s="15" t="str">
        <f>IF(B520="","",COUNTIFS($B$6:B519,B520,$K$6:K519,"&lt;&gt;已记录"))</f>
        <v/>
      </c>
      <c r="P520" s="34"/>
    </row>
    <row r="521" spans="1:16" ht="21.75" customHeight="1">
      <c r="A521" s="16"/>
      <c r="B521" s="30"/>
      <c r="C521" s="31"/>
      <c r="D521" s="10"/>
      <c r="E521" s="10"/>
      <c r="F521" s="32"/>
      <c r="G521" s="15" t="str">
        <f t="shared" si="40"/>
        <v/>
      </c>
      <c r="H521" s="15" t="str">
        <f t="shared" si="41"/>
        <v/>
      </c>
      <c r="I521" s="17" t="str">
        <f t="shared" si="42"/>
        <v/>
      </c>
      <c r="J521" s="15" t="str">
        <f t="shared" si="43"/>
        <v/>
      </c>
      <c r="K521" s="19" t="str">
        <f t="shared" si="44"/>
        <v/>
      </c>
      <c r="L521" s="33"/>
      <c r="M521" s="15" t="str">
        <f>IF(B521="","",SUMIF($B$6:B520,B521,$I$6:I520))</f>
        <v/>
      </c>
      <c r="N521" s="15" t="str">
        <f>IF(B521="","",SUMIF($B$6:B520,B521,$H$6:H520))</f>
        <v/>
      </c>
      <c r="O521" s="15" t="str">
        <f>IF(B521="","",COUNTIFS($B$6:B520,B521,$K$6:K520,"&lt;&gt;已记录"))</f>
        <v/>
      </c>
      <c r="P521" s="34"/>
    </row>
    <row r="522" spans="1:16" ht="21.75" customHeight="1">
      <c r="A522" s="16"/>
      <c r="B522" s="30"/>
      <c r="C522" s="31"/>
      <c r="D522" s="10"/>
      <c r="E522" s="10"/>
      <c r="F522" s="32"/>
      <c r="G522" s="15" t="str">
        <f t="shared" si="40"/>
        <v/>
      </c>
      <c r="H522" s="15" t="str">
        <f t="shared" si="41"/>
        <v/>
      </c>
      <c r="I522" s="17" t="str">
        <f t="shared" si="42"/>
        <v/>
      </c>
      <c r="J522" s="15" t="str">
        <f t="shared" si="43"/>
        <v/>
      </c>
      <c r="K522" s="19" t="str">
        <f t="shared" si="44"/>
        <v/>
      </c>
      <c r="L522" s="33"/>
      <c r="M522" s="15" t="str">
        <f>IF(B522="","",SUMIF($B$6:B521,B522,$I$6:I521))</f>
        <v/>
      </c>
      <c r="N522" s="15" t="str">
        <f>IF(B522="","",SUMIF($B$6:B521,B522,$H$6:H521))</f>
        <v/>
      </c>
      <c r="O522" s="15" t="str">
        <f>IF(B522="","",COUNTIFS($B$6:B521,B522,$K$6:K521,"&lt;&gt;已记录"))</f>
        <v/>
      </c>
      <c r="P522" s="34"/>
    </row>
    <row r="523" spans="1:16" ht="21.75" customHeight="1">
      <c r="A523" s="16"/>
      <c r="B523" s="30"/>
      <c r="C523" s="31"/>
      <c r="D523" s="10"/>
      <c r="E523" s="10"/>
      <c r="F523" s="32"/>
      <c r="G523" s="15" t="str">
        <f t="shared" si="40"/>
        <v/>
      </c>
      <c r="H523" s="15" t="str">
        <f t="shared" si="41"/>
        <v/>
      </c>
      <c r="I523" s="17" t="str">
        <f t="shared" si="42"/>
        <v/>
      </c>
      <c r="J523" s="15" t="str">
        <f t="shared" si="43"/>
        <v/>
      </c>
      <c r="K523" s="19" t="str">
        <f t="shared" si="44"/>
        <v/>
      </c>
      <c r="L523" s="33"/>
      <c r="M523" s="15" t="str">
        <f>IF(B523="","",SUMIF($B$6:B522,B523,$I$6:I522))</f>
        <v/>
      </c>
      <c r="N523" s="15" t="str">
        <f>IF(B523="","",SUMIF($B$6:B522,B523,$H$6:H522))</f>
        <v/>
      </c>
      <c r="O523" s="15" t="str">
        <f>IF(B523="","",COUNTIFS($B$6:B522,B523,$K$6:K522,"&lt;&gt;已记录"))</f>
        <v/>
      </c>
      <c r="P523" s="34"/>
    </row>
    <row r="524" spans="1:16" ht="21.75" customHeight="1">
      <c r="A524" s="16"/>
      <c r="B524" s="30"/>
      <c r="C524" s="31"/>
      <c r="D524" s="10"/>
      <c r="E524" s="10"/>
      <c r="F524" s="32"/>
      <c r="G524" s="15" t="str">
        <f t="shared" si="40"/>
        <v/>
      </c>
      <c r="H524" s="15" t="str">
        <f t="shared" si="41"/>
        <v/>
      </c>
      <c r="I524" s="17" t="str">
        <f t="shared" si="42"/>
        <v/>
      </c>
      <c r="J524" s="15" t="str">
        <f t="shared" si="43"/>
        <v/>
      </c>
      <c r="K524" s="19" t="str">
        <f t="shared" si="44"/>
        <v/>
      </c>
      <c r="L524" s="33"/>
      <c r="M524" s="15" t="str">
        <f>IF(B524="","",SUMIF($B$6:B523,B524,$I$6:I523))</f>
        <v/>
      </c>
      <c r="N524" s="15" t="str">
        <f>IF(B524="","",SUMIF($B$6:B523,B524,$H$6:H523))</f>
        <v/>
      </c>
      <c r="O524" s="15" t="str">
        <f>IF(B524="","",COUNTIFS($B$6:B523,B524,$K$6:K523,"&lt;&gt;已记录"))</f>
        <v/>
      </c>
      <c r="P524" s="34"/>
    </row>
    <row r="525" spans="1:16" ht="21.75" customHeight="1">
      <c r="A525" s="16"/>
      <c r="B525" s="30"/>
      <c r="C525" s="31"/>
      <c r="D525" s="10"/>
      <c r="E525" s="10"/>
      <c r="F525" s="32"/>
      <c r="G525" s="15" t="str">
        <f t="shared" si="40"/>
        <v/>
      </c>
      <c r="H525" s="15" t="str">
        <f t="shared" si="41"/>
        <v/>
      </c>
      <c r="I525" s="17" t="str">
        <f t="shared" si="42"/>
        <v/>
      </c>
      <c r="J525" s="15" t="str">
        <f t="shared" si="43"/>
        <v/>
      </c>
      <c r="K525" s="19" t="str">
        <f t="shared" si="44"/>
        <v/>
      </c>
      <c r="L525" s="33"/>
      <c r="M525" s="15" t="str">
        <f>IF(B525="","",SUMIF($B$6:B524,B525,$I$6:I524))</f>
        <v/>
      </c>
      <c r="N525" s="15" t="str">
        <f>IF(B525="","",SUMIF($B$6:B524,B525,$H$6:H524))</f>
        <v/>
      </c>
      <c r="O525" s="15" t="str">
        <f>IF(B525="","",COUNTIFS($B$6:B524,B525,$K$6:K524,"&lt;&gt;已记录"))</f>
        <v/>
      </c>
      <c r="P525" s="34"/>
    </row>
    <row r="526" spans="1:16" ht="21.75" customHeight="1">
      <c r="A526" s="16"/>
      <c r="B526" s="30"/>
      <c r="C526" s="31"/>
      <c r="D526" s="10"/>
      <c r="E526" s="10"/>
      <c r="F526" s="32"/>
      <c r="G526" s="15" t="str">
        <f t="shared" si="40"/>
        <v/>
      </c>
      <c r="H526" s="15" t="str">
        <f t="shared" si="41"/>
        <v/>
      </c>
      <c r="I526" s="17" t="str">
        <f t="shared" si="42"/>
        <v/>
      </c>
      <c r="J526" s="15" t="str">
        <f t="shared" si="43"/>
        <v/>
      </c>
      <c r="K526" s="19" t="str">
        <f t="shared" si="44"/>
        <v/>
      </c>
      <c r="L526" s="33"/>
      <c r="M526" s="15" t="str">
        <f>IF(B526="","",SUMIF($B$6:B525,B526,$I$6:I525))</f>
        <v/>
      </c>
      <c r="N526" s="15" t="str">
        <f>IF(B526="","",SUMIF($B$6:B525,B526,$H$6:H525))</f>
        <v/>
      </c>
      <c r="O526" s="15" t="str">
        <f>IF(B526="","",COUNTIFS($B$6:B525,B526,$K$6:K525,"&lt;&gt;已记录"))</f>
        <v/>
      </c>
      <c r="P526" s="34"/>
    </row>
    <row r="527" spans="1:16" ht="21.75" customHeight="1">
      <c r="A527" s="16"/>
      <c r="B527" s="30"/>
      <c r="C527" s="31"/>
      <c r="D527" s="10"/>
      <c r="E527" s="10"/>
      <c r="F527" s="32"/>
      <c r="G527" s="15" t="str">
        <f t="shared" si="40"/>
        <v/>
      </c>
      <c r="H527" s="15" t="str">
        <f t="shared" si="41"/>
        <v/>
      </c>
      <c r="I527" s="17" t="str">
        <f t="shared" si="42"/>
        <v/>
      </c>
      <c r="J527" s="15" t="str">
        <f t="shared" si="43"/>
        <v/>
      </c>
      <c r="K527" s="19" t="str">
        <f t="shared" si="44"/>
        <v/>
      </c>
      <c r="L527" s="33"/>
      <c r="M527" s="15" t="str">
        <f>IF(B527="","",SUMIF($B$6:B526,B527,$I$6:I526))</f>
        <v/>
      </c>
      <c r="N527" s="15" t="str">
        <f>IF(B527="","",SUMIF($B$6:B526,B527,$H$6:H526))</f>
        <v/>
      </c>
      <c r="O527" s="15" t="str">
        <f>IF(B527="","",COUNTIFS($B$6:B526,B527,$K$6:K526,"&lt;&gt;已记录"))</f>
        <v/>
      </c>
      <c r="P527" s="34"/>
    </row>
    <row r="528" spans="1:16" ht="21.75" customHeight="1">
      <c r="A528" s="16"/>
      <c r="B528" s="30"/>
      <c r="C528" s="31"/>
      <c r="D528" s="10"/>
      <c r="E528" s="10"/>
      <c r="F528" s="32"/>
      <c r="G528" s="15" t="str">
        <f t="shared" si="40"/>
        <v/>
      </c>
      <c r="H528" s="15" t="str">
        <f t="shared" si="41"/>
        <v/>
      </c>
      <c r="I528" s="17" t="str">
        <f t="shared" si="42"/>
        <v/>
      </c>
      <c r="J528" s="15" t="str">
        <f t="shared" si="43"/>
        <v/>
      </c>
      <c r="K528" s="19" t="str">
        <f t="shared" si="44"/>
        <v/>
      </c>
      <c r="L528" s="33"/>
      <c r="M528" s="15" t="str">
        <f>IF(B528="","",SUMIF($B$6:B527,B528,$I$6:I527))</f>
        <v/>
      </c>
      <c r="N528" s="15" t="str">
        <f>IF(B528="","",SUMIF($B$6:B527,B528,$H$6:H527))</f>
        <v/>
      </c>
      <c r="O528" s="15" t="str">
        <f>IF(B528="","",COUNTIFS($B$6:B527,B528,$K$6:K527,"&lt;&gt;已记录"))</f>
        <v/>
      </c>
      <c r="P528" s="34"/>
    </row>
    <row r="529" spans="1:16" ht="21.75" customHeight="1">
      <c r="A529" s="16"/>
      <c r="B529" s="30"/>
      <c r="C529" s="31"/>
      <c r="D529" s="10"/>
      <c r="E529" s="10"/>
      <c r="F529" s="32"/>
      <c r="G529" s="15" t="str">
        <f t="shared" si="40"/>
        <v/>
      </c>
      <c r="H529" s="15" t="str">
        <f t="shared" si="41"/>
        <v/>
      </c>
      <c r="I529" s="17" t="str">
        <f t="shared" si="42"/>
        <v/>
      </c>
      <c r="J529" s="15" t="str">
        <f t="shared" si="43"/>
        <v/>
      </c>
      <c r="K529" s="19" t="str">
        <f t="shared" si="44"/>
        <v/>
      </c>
      <c r="L529" s="33"/>
      <c r="M529" s="15" t="str">
        <f>IF(B529="","",SUMIF($B$6:B528,B529,$I$6:I528))</f>
        <v/>
      </c>
      <c r="N529" s="15" t="str">
        <f>IF(B529="","",SUMIF($B$6:B528,B529,$H$6:H528))</f>
        <v/>
      </c>
      <c r="O529" s="15" t="str">
        <f>IF(B529="","",COUNTIFS($B$6:B528,B529,$K$6:K528,"&lt;&gt;已记录"))</f>
        <v/>
      </c>
      <c r="P529" s="34"/>
    </row>
    <row r="530" spans="1:16" ht="21.75" customHeight="1">
      <c r="A530" s="16"/>
      <c r="B530" s="30"/>
      <c r="C530" s="31"/>
      <c r="D530" s="10"/>
      <c r="E530" s="10"/>
      <c r="F530" s="32"/>
      <c r="G530" s="15" t="str">
        <f t="shared" si="40"/>
        <v/>
      </c>
      <c r="H530" s="15" t="str">
        <f t="shared" si="41"/>
        <v/>
      </c>
      <c r="I530" s="17" t="str">
        <f t="shared" si="42"/>
        <v/>
      </c>
      <c r="J530" s="15" t="str">
        <f t="shared" si="43"/>
        <v/>
      </c>
      <c r="K530" s="19" t="str">
        <f t="shared" si="44"/>
        <v/>
      </c>
      <c r="L530" s="33"/>
      <c r="M530" s="15" t="str">
        <f>IF(B530="","",SUMIF($B$6:B529,B530,$I$6:I529))</f>
        <v/>
      </c>
      <c r="N530" s="15" t="str">
        <f>IF(B530="","",SUMIF($B$6:B529,B530,$H$6:H529))</f>
        <v/>
      </c>
      <c r="O530" s="15" t="str">
        <f>IF(B530="","",COUNTIFS($B$6:B529,B530,$K$6:K529,"&lt;&gt;已记录"))</f>
        <v/>
      </c>
      <c r="P530" s="34"/>
    </row>
    <row r="531" spans="1:16" ht="21.75" customHeight="1">
      <c r="A531" s="16"/>
      <c r="B531" s="30"/>
      <c r="C531" s="31"/>
      <c r="D531" s="10"/>
      <c r="E531" s="10"/>
      <c r="F531" s="32"/>
      <c r="G531" s="15" t="str">
        <f t="shared" si="40"/>
        <v/>
      </c>
      <c r="H531" s="15" t="str">
        <f t="shared" si="41"/>
        <v/>
      </c>
      <c r="I531" s="17" t="str">
        <f t="shared" si="42"/>
        <v/>
      </c>
      <c r="J531" s="15" t="str">
        <f t="shared" si="43"/>
        <v/>
      </c>
      <c r="K531" s="19" t="str">
        <f t="shared" si="44"/>
        <v/>
      </c>
      <c r="L531" s="33"/>
      <c r="M531" s="15" t="str">
        <f>IF(B531="","",SUMIF($B$6:B530,B531,$I$6:I530))</f>
        <v/>
      </c>
      <c r="N531" s="15" t="str">
        <f>IF(B531="","",SUMIF($B$6:B530,B531,$H$6:H530))</f>
        <v/>
      </c>
      <c r="O531" s="15" t="str">
        <f>IF(B531="","",COUNTIFS($B$6:B530,B531,$K$6:K530,"&lt;&gt;已记录"))</f>
        <v/>
      </c>
      <c r="P531" s="34"/>
    </row>
    <row r="532" spans="1:16" ht="21.75" customHeight="1">
      <c r="A532" s="16"/>
      <c r="B532" s="30"/>
      <c r="C532" s="31"/>
      <c r="D532" s="10"/>
      <c r="E532" s="10"/>
      <c r="F532" s="32"/>
      <c r="G532" s="15" t="str">
        <f t="shared" si="40"/>
        <v/>
      </c>
      <c r="H532" s="15" t="str">
        <f t="shared" si="41"/>
        <v/>
      </c>
      <c r="I532" s="17" t="str">
        <f t="shared" si="42"/>
        <v/>
      </c>
      <c r="J532" s="15" t="str">
        <f t="shared" si="43"/>
        <v/>
      </c>
      <c r="K532" s="19" t="str">
        <f t="shared" si="44"/>
        <v/>
      </c>
      <c r="L532" s="33"/>
      <c r="M532" s="15" t="str">
        <f>IF(B532="","",SUMIF($B$6:B531,B532,$I$6:I531))</f>
        <v/>
      </c>
      <c r="N532" s="15" t="str">
        <f>IF(B532="","",SUMIF($B$6:B531,B532,$H$6:H531))</f>
        <v/>
      </c>
      <c r="O532" s="15" t="str">
        <f>IF(B532="","",COUNTIFS($B$6:B531,B532,$K$6:K531,"&lt;&gt;已记录"))</f>
        <v/>
      </c>
      <c r="P532" s="34"/>
    </row>
    <row r="533" spans="1:16" ht="21.75" customHeight="1">
      <c r="A533" s="16"/>
      <c r="B533" s="30"/>
      <c r="C533" s="31"/>
      <c r="D533" s="10"/>
      <c r="E533" s="10"/>
      <c r="F533" s="32"/>
      <c r="G533" s="15" t="str">
        <f t="shared" si="40"/>
        <v/>
      </c>
      <c r="H533" s="15" t="str">
        <f t="shared" si="41"/>
        <v/>
      </c>
      <c r="I533" s="17" t="str">
        <f t="shared" si="42"/>
        <v/>
      </c>
      <c r="J533" s="15" t="str">
        <f t="shared" si="43"/>
        <v/>
      </c>
      <c r="K533" s="19" t="str">
        <f t="shared" si="44"/>
        <v/>
      </c>
      <c r="L533" s="33"/>
      <c r="M533" s="15" t="str">
        <f>IF(B533="","",SUMIF($B$6:B532,B533,$I$6:I532))</f>
        <v/>
      </c>
      <c r="N533" s="15" t="str">
        <f>IF(B533="","",SUMIF($B$6:B532,B533,$H$6:H532))</f>
        <v/>
      </c>
      <c r="O533" s="15" t="str">
        <f>IF(B533="","",COUNTIFS($B$6:B532,B533,$K$6:K532,"&lt;&gt;已记录"))</f>
        <v/>
      </c>
      <c r="P533" s="34"/>
    </row>
    <row r="534" spans="1:16" ht="21.75" customHeight="1">
      <c r="A534" s="16"/>
      <c r="B534" s="30"/>
      <c r="C534" s="31"/>
      <c r="D534" s="10"/>
      <c r="E534" s="10"/>
      <c r="F534" s="32"/>
      <c r="G534" s="15" t="str">
        <f t="shared" si="40"/>
        <v/>
      </c>
      <c r="H534" s="15" t="str">
        <f t="shared" si="41"/>
        <v/>
      </c>
      <c r="I534" s="17" t="str">
        <f t="shared" si="42"/>
        <v/>
      </c>
      <c r="J534" s="15" t="str">
        <f t="shared" si="43"/>
        <v/>
      </c>
      <c r="K534" s="19" t="str">
        <f t="shared" si="44"/>
        <v/>
      </c>
      <c r="L534" s="33"/>
      <c r="M534" s="15" t="str">
        <f>IF(B534="","",SUMIF($B$6:B533,B534,$I$6:I533))</f>
        <v/>
      </c>
      <c r="N534" s="15" t="str">
        <f>IF(B534="","",SUMIF($B$6:B533,B534,$H$6:H533))</f>
        <v/>
      </c>
      <c r="O534" s="15" t="str">
        <f>IF(B534="","",COUNTIFS($B$6:B533,B534,$K$6:K533,"&lt;&gt;已记录"))</f>
        <v/>
      </c>
      <c r="P534" s="34"/>
    </row>
    <row r="535" spans="1:16" ht="21.75" customHeight="1">
      <c r="A535" s="16"/>
      <c r="B535" s="30"/>
      <c r="C535" s="31"/>
      <c r="D535" s="10"/>
      <c r="E535" s="10"/>
      <c r="F535" s="32"/>
      <c r="G535" s="15" t="str">
        <f t="shared" si="40"/>
        <v/>
      </c>
      <c r="H535" s="15" t="str">
        <f t="shared" si="41"/>
        <v/>
      </c>
      <c r="I535" s="17" t="str">
        <f t="shared" si="42"/>
        <v/>
      </c>
      <c r="J535" s="15" t="str">
        <f t="shared" si="43"/>
        <v/>
      </c>
      <c r="K535" s="19" t="str">
        <f t="shared" si="44"/>
        <v/>
      </c>
      <c r="L535" s="33"/>
      <c r="M535" s="15" t="str">
        <f>IF(B535="","",SUMIF($B$6:B534,B535,$I$6:I534))</f>
        <v/>
      </c>
      <c r="N535" s="15" t="str">
        <f>IF(B535="","",SUMIF($B$6:B534,B535,$H$6:H534))</f>
        <v/>
      </c>
      <c r="O535" s="15" t="str">
        <f>IF(B535="","",COUNTIFS($B$6:B534,B535,$K$6:K534,"&lt;&gt;已记录"))</f>
        <v/>
      </c>
      <c r="P535" s="34"/>
    </row>
    <row r="536" spans="1:16" ht="21.75" customHeight="1">
      <c r="A536" s="16"/>
      <c r="B536" s="30"/>
      <c r="C536" s="31"/>
      <c r="D536" s="10"/>
      <c r="E536" s="10"/>
      <c r="F536" s="32"/>
      <c r="G536" s="15" t="str">
        <f t="shared" si="40"/>
        <v/>
      </c>
      <c r="H536" s="15" t="str">
        <f t="shared" si="41"/>
        <v/>
      </c>
      <c r="I536" s="17" t="str">
        <f t="shared" si="42"/>
        <v/>
      </c>
      <c r="J536" s="15" t="str">
        <f t="shared" si="43"/>
        <v/>
      </c>
      <c r="K536" s="19" t="str">
        <f t="shared" si="44"/>
        <v/>
      </c>
      <c r="L536" s="33"/>
      <c r="M536" s="15" t="str">
        <f>IF(B536="","",SUMIF($B$6:B535,B536,$I$6:I535))</f>
        <v/>
      </c>
      <c r="N536" s="15" t="str">
        <f>IF(B536="","",SUMIF($B$6:B535,B536,$H$6:H535))</f>
        <v/>
      </c>
      <c r="O536" s="15" t="str">
        <f>IF(B536="","",COUNTIFS($B$6:B535,B536,$K$6:K535,"&lt;&gt;已记录"))</f>
        <v/>
      </c>
      <c r="P536" s="34"/>
    </row>
    <row r="537" spans="1:16" ht="21.75" customHeight="1">
      <c r="A537" s="16"/>
      <c r="B537" s="30"/>
      <c r="C537" s="31"/>
      <c r="D537" s="10"/>
      <c r="E537" s="10"/>
      <c r="F537" s="32"/>
      <c r="G537" s="15" t="str">
        <f t="shared" si="40"/>
        <v/>
      </c>
      <c r="H537" s="15" t="str">
        <f t="shared" si="41"/>
        <v/>
      </c>
      <c r="I537" s="17" t="str">
        <f t="shared" si="42"/>
        <v/>
      </c>
      <c r="J537" s="15" t="str">
        <f t="shared" si="43"/>
        <v/>
      </c>
      <c r="K537" s="19" t="str">
        <f t="shared" si="44"/>
        <v/>
      </c>
      <c r="L537" s="33"/>
      <c r="M537" s="15" t="str">
        <f>IF(B537="","",SUMIF($B$6:B536,B537,$I$6:I536))</f>
        <v/>
      </c>
      <c r="N537" s="15" t="str">
        <f>IF(B537="","",SUMIF($B$6:B536,B537,$H$6:H536))</f>
        <v/>
      </c>
      <c r="O537" s="15" t="str">
        <f>IF(B537="","",COUNTIFS($B$6:B536,B537,$K$6:K536,"&lt;&gt;已记录"))</f>
        <v/>
      </c>
      <c r="P537" s="34"/>
    </row>
    <row r="538" spans="1:16" ht="21.75" customHeight="1">
      <c r="A538" s="16"/>
      <c r="B538" s="30"/>
      <c r="C538" s="31"/>
      <c r="D538" s="10"/>
      <c r="E538" s="10"/>
      <c r="F538" s="32"/>
      <c r="G538" s="15" t="str">
        <f t="shared" si="40"/>
        <v/>
      </c>
      <c r="H538" s="15" t="str">
        <f t="shared" si="41"/>
        <v/>
      </c>
      <c r="I538" s="17" t="str">
        <f t="shared" si="42"/>
        <v/>
      </c>
      <c r="J538" s="15" t="str">
        <f t="shared" si="43"/>
        <v/>
      </c>
      <c r="K538" s="19" t="str">
        <f t="shared" si="44"/>
        <v/>
      </c>
      <c r="L538" s="33"/>
      <c r="M538" s="15" t="str">
        <f>IF(B538="","",SUMIF($B$6:B537,B538,$I$6:I537))</f>
        <v/>
      </c>
      <c r="N538" s="15" t="str">
        <f>IF(B538="","",SUMIF($B$6:B537,B538,$H$6:H537))</f>
        <v/>
      </c>
      <c r="O538" s="15" t="str">
        <f>IF(B538="","",COUNTIFS($B$6:B537,B538,$K$6:K537,"&lt;&gt;已记录"))</f>
        <v/>
      </c>
      <c r="P538" s="34"/>
    </row>
    <row r="539" spans="1:16" ht="21.75" customHeight="1">
      <c r="A539" s="16"/>
      <c r="B539" s="30"/>
      <c r="C539" s="31"/>
      <c r="D539" s="10"/>
      <c r="E539" s="10"/>
      <c r="F539" s="32"/>
      <c r="G539" s="15" t="str">
        <f t="shared" si="40"/>
        <v/>
      </c>
      <c r="H539" s="15" t="str">
        <f t="shared" si="41"/>
        <v/>
      </c>
      <c r="I539" s="17" t="str">
        <f t="shared" si="42"/>
        <v/>
      </c>
      <c r="J539" s="15" t="str">
        <f t="shared" si="43"/>
        <v/>
      </c>
      <c r="K539" s="19" t="str">
        <f t="shared" si="44"/>
        <v/>
      </c>
      <c r="L539" s="33"/>
      <c r="M539" s="15" t="str">
        <f>IF(B539="","",SUMIF($B$6:B538,B539,$I$6:I538))</f>
        <v/>
      </c>
      <c r="N539" s="15" t="str">
        <f>IF(B539="","",SUMIF($B$6:B538,B539,$H$6:H538))</f>
        <v/>
      </c>
      <c r="O539" s="15" t="str">
        <f>IF(B539="","",COUNTIFS($B$6:B538,B539,$K$6:K538,"&lt;&gt;已记录"))</f>
        <v/>
      </c>
      <c r="P539" s="34"/>
    </row>
    <row r="540" spans="1:16" ht="21.75" customHeight="1">
      <c r="A540" s="16"/>
      <c r="B540" s="30"/>
      <c r="C540" s="31"/>
      <c r="D540" s="10"/>
      <c r="E540" s="10"/>
      <c r="F540" s="32"/>
      <c r="G540" s="15" t="str">
        <f t="shared" si="40"/>
        <v/>
      </c>
      <c r="H540" s="15" t="str">
        <f t="shared" si="41"/>
        <v/>
      </c>
      <c r="I540" s="17" t="str">
        <f t="shared" si="42"/>
        <v/>
      </c>
      <c r="J540" s="15" t="str">
        <f t="shared" si="43"/>
        <v/>
      </c>
      <c r="K540" s="19" t="str">
        <f t="shared" si="44"/>
        <v/>
      </c>
      <c r="L540" s="33"/>
      <c r="M540" s="15" t="str">
        <f>IF(B540="","",SUMIF($B$6:B539,B540,$I$6:I539))</f>
        <v/>
      </c>
      <c r="N540" s="15" t="str">
        <f>IF(B540="","",SUMIF($B$6:B539,B540,$H$6:H539))</f>
        <v/>
      </c>
      <c r="O540" s="15" t="str">
        <f>IF(B540="","",COUNTIFS($B$6:B539,B540,$K$6:K539,"&lt;&gt;已记录"))</f>
        <v/>
      </c>
      <c r="P540" s="34"/>
    </row>
    <row r="541" spans="1:16" ht="21.75" customHeight="1">
      <c r="A541" s="16"/>
      <c r="B541" s="30"/>
      <c r="C541" s="31"/>
      <c r="D541" s="10"/>
      <c r="E541" s="10"/>
      <c r="F541" s="32"/>
      <c r="G541" s="15" t="str">
        <f t="shared" si="40"/>
        <v/>
      </c>
      <c r="H541" s="15" t="str">
        <f t="shared" si="41"/>
        <v/>
      </c>
      <c r="I541" s="17" t="str">
        <f t="shared" si="42"/>
        <v/>
      </c>
      <c r="J541" s="15" t="str">
        <f t="shared" si="43"/>
        <v/>
      </c>
      <c r="K541" s="19" t="str">
        <f t="shared" si="44"/>
        <v/>
      </c>
      <c r="L541" s="33"/>
      <c r="M541" s="15" t="str">
        <f>IF(B541="","",SUMIF($B$6:B540,B541,$I$6:I540))</f>
        <v/>
      </c>
      <c r="N541" s="15" t="str">
        <f>IF(B541="","",SUMIF($B$6:B540,B541,$H$6:H540))</f>
        <v/>
      </c>
      <c r="O541" s="15" t="str">
        <f>IF(B541="","",COUNTIFS($B$6:B540,B541,$K$6:K540,"&lt;&gt;已记录"))</f>
        <v/>
      </c>
      <c r="P541" s="34"/>
    </row>
    <row r="542" spans="1:16" ht="21.75" customHeight="1">
      <c r="A542" s="16"/>
      <c r="B542" s="30"/>
      <c r="C542" s="31"/>
      <c r="D542" s="10"/>
      <c r="E542" s="10"/>
      <c r="F542" s="32"/>
      <c r="G542" s="15" t="str">
        <f t="shared" si="40"/>
        <v/>
      </c>
      <c r="H542" s="15" t="str">
        <f t="shared" si="41"/>
        <v/>
      </c>
      <c r="I542" s="17" t="str">
        <f t="shared" si="42"/>
        <v/>
      </c>
      <c r="J542" s="15" t="str">
        <f t="shared" si="43"/>
        <v/>
      </c>
      <c r="K542" s="19" t="str">
        <f t="shared" si="44"/>
        <v/>
      </c>
      <c r="L542" s="33"/>
      <c r="M542" s="15" t="str">
        <f>IF(B542="","",SUMIF($B$6:B541,B542,$I$6:I541))</f>
        <v/>
      </c>
      <c r="N542" s="15" t="str">
        <f>IF(B542="","",SUMIF($B$6:B541,B542,$H$6:H541))</f>
        <v/>
      </c>
      <c r="O542" s="15" t="str">
        <f>IF(B542="","",COUNTIFS($B$6:B541,B542,$K$6:K541,"&lt;&gt;已记录"))</f>
        <v/>
      </c>
      <c r="P542" s="34"/>
    </row>
    <row r="543" spans="1:16" ht="21.75" customHeight="1">
      <c r="A543" s="16"/>
      <c r="B543" s="30"/>
      <c r="C543" s="31"/>
      <c r="D543" s="10"/>
      <c r="E543" s="10"/>
      <c r="F543" s="32"/>
      <c r="G543" s="15" t="str">
        <f t="shared" si="40"/>
        <v/>
      </c>
      <c r="H543" s="15" t="str">
        <f t="shared" si="41"/>
        <v/>
      </c>
      <c r="I543" s="17" t="str">
        <f t="shared" si="42"/>
        <v/>
      </c>
      <c r="J543" s="15" t="str">
        <f t="shared" si="43"/>
        <v/>
      </c>
      <c r="K543" s="19" t="str">
        <f t="shared" si="44"/>
        <v/>
      </c>
      <c r="L543" s="33"/>
      <c r="M543" s="15" t="str">
        <f>IF(B543="","",SUMIF($B$6:B542,B543,$I$6:I542))</f>
        <v/>
      </c>
      <c r="N543" s="15" t="str">
        <f>IF(B543="","",SUMIF($B$6:B542,B543,$H$6:H542))</f>
        <v/>
      </c>
      <c r="O543" s="15" t="str">
        <f>IF(B543="","",COUNTIFS($B$6:B542,B543,$K$6:K542,"&lt;&gt;已记录"))</f>
        <v/>
      </c>
      <c r="P543" s="34"/>
    </row>
    <row r="544" spans="1:16" ht="21.75" customHeight="1">
      <c r="A544" s="16"/>
      <c r="B544" s="30"/>
      <c r="C544" s="31"/>
      <c r="D544" s="10"/>
      <c r="E544" s="10"/>
      <c r="F544" s="32"/>
      <c r="G544" s="15" t="str">
        <f t="shared" si="40"/>
        <v/>
      </c>
      <c r="H544" s="15" t="str">
        <f t="shared" si="41"/>
        <v/>
      </c>
      <c r="I544" s="17" t="str">
        <f t="shared" si="42"/>
        <v/>
      </c>
      <c r="J544" s="15" t="str">
        <f t="shared" si="43"/>
        <v/>
      </c>
      <c r="K544" s="19" t="str">
        <f t="shared" si="44"/>
        <v/>
      </c>
      <c r="L544" s="33"/>
      <c r="M544" s="15" t="str">
        <f>IF(B544="","",SUMIF($B$6:B543,B544,$I$6:I543))</f>
        <v/>
      </c>
      <c r="N544" s="15" t="str">
        <f>IF(B544="","",SUMIF($B$6:B543,B544,$H$6:H543))</f>
        <v/>
      </c>
      <c r="O544" s="15" t="str">
        <f>IF(B544="","",COUNTIFS($B$6:B543,B544,$K$6:K543,"&lt;&gt;已记录"))</f>
        <v/>
      </c>
      <c r="P544" s="34"/>
    </row>
    <row r="545" spans="1:16" ht="21.75" customHeight="1">
      <c r="A545" s="16"/>
      <c r="B545" s="30"/>
      <c r="C545" s="31"/>
      <c r="D545" s="10"/>
      <c r="E545" s="10"/>
      <c r="F545" s="32"/>
      <c r="G545" s="15" t="str">
        <f t="shared" si="40"/>
        <v/>
      </c>
      <c r="H545" s="15" t="str">
        <f t="shared" si="41"/>
        <v/>
      </c>
      <c r="I545" s="17" t="str">
        <f t="shared" si="42"/>
        <v/>
      </c>
      <c r="J545" s="15" t="str">
        <f t="shared" si="43"/>
        <v/>
      </c>
      <c r="K545" s="19" t="str">
        <f t="shared" si="44"/>
        <v/>
      </c>
      <c r="L545" s="33"/>
      <c r="M545" s="15" t="str">
        <f>IF(B545="","",SUMIF($B$6:B544,B545,$I$6:I544))</f>
        <v/>
      </c>
      <c r="N545" s="15" t="str">
        <f>IF(B545="","",SUMIF($B$6:B544,B545,$H$6:H544))</f>
        <v/>
      </c>
      <c r="O545" s="15" t="str">
        <f>IF(B545="","",COUNTIFS($B$6:B544,B545,$K$6:K544,"&lt;&gt;已记录"))</f>
        <v/>
      </c>
      <c r="P545" s="34"/>
    </row>
    <row r="546" spans="1:16" ht="21.75" customHeight="1">
      <c r="A546" s="16"/>
      <c r="B546" s="30"/>
      <c r="C546" s="31"/>
      <c r="D546" s="10"/>
      <c r="E546" s="10"/>
      <c r="F546" s="32"/>
      <c r="G546" s="15" t="str">
        <f t="shared" si="40"/>
        <v/>
      </c>
      <c r="H546" s="15" t="str">
        <f t="shared" si="41"/>
        <v/>
      </c>
      <c r="I546" s="17" t="str">
        <f t="shared" si="42"/>
        <v/>
      </c>
      <c r="J546" s="15" t="str">
        <f t="shared" si="43"/>
        <v/>
      </c>
      <c r="K546" s="19" t="str">
        <f t="shared" si="44"/>
        <v/>
      </c>
      <c r="L546" s="33"/>
      <c r="M546" s="15" t="str">
        <f>IF(B546="","",SUMIF($B$6:B545,B546,$I$6:I545))</f>
        <v/>
      </c>
      <c r="N546" s="15" t="str">
        <f>IF(B546="","",SUMIF($B$6:B545,B546,$H$6:H545))</f>
        <v/>
      </c>
      <c r="O546" s="15" t="str">
        <f>IF(B546="","",COUNTIFS($B$6:B545,B546,$K$6:K545,"&lt;&gt;已记录"))</f>
        <v/>
      </c>
      <c r="P546" s="34"/>
    </row>
    <row r="547" spans="1:16" ht="21.75" customHeight="1">
      <c r="A547" s="16"/>
      <c r="B547" s="30"/>
      <c r="C547" s="31"/>
      <c r="D547" s="10"/>
      <c r="E547" s="10"/>
      <c r="F547" s="32"/>
      <c r="G547" s="15" t="str">
        <f t="shared" si="40"/>
        <v/>
      </c>
      <c r="H547" s="15" t="str">
        <f t="shared" si="41"/>
        <v/>
      </c>
      <c r="I547" s="17" t="str">
        <f t="shared" si="42"/>
        <v/>
      </c>
      <c r="J547" s="15" t="str">
        <f t="shared" si="43"/>
        <v/>
      </c>
      <c r="K547" s="19" t="str">
        <f t="shared" si="44"/>
        <v/>
      </c>
      <c r="L547" s="33"/>
      <c r="M547" s="15" t="str">
        <f>IF(B547="","",SUMIF($B$6:B546,B547,$I$6:I546))</f>
        <v/>
      </c>
      <c r="N547" s="15" t="str">
        <f>IF(B547="","",SUMIF($B$6:B546,B547,$H$6:H546))</f>
        <v/>
      </c>
      <c r="O547" s="15" t="str">
        <f>IF(B547="","",COUNTIFS($B$6:B546,B547,$K$6:K546,"&lt;&gt;已记录"))</f>
        <v/>
      </c>
      <c r="P547" s="34"/>
    </row>
    <row r="548" spans="1:16" ht="21.75" customHeight="1">
      <c r="A548" s="16"/>
      <c r="B548" s="30"/>
      <c r="C548" s="31"/>
      <c r="D548" s="10"/>
      <c r="E548" s="10"/>
      <c r="F548" s="32"/>
      <c r="G548" s="15" t="str">
        <f t="shared" si="40"/>
        <v/>
      </c>
      <c r="H548" s="15" t="str">
        <f t="shared" si="41"/>
        <v/>
      </c>
      <c r="I548" s="17" t="str">
        <f t="shared" si="42"/>
        <v/>
      </c>
      <c r="J548" s="15" t="str">
        <f t="shared" si="43"/>
        <v/>
      </c>
      <c r="K548" s="19" t="str">
        <f t="shared" si="44"/>
        <v/>
      </c>
      <c r="L548" s="33"/>
      <c r="M548" s="15" t="str">
        <f>IF(B548="","",SUMIF($B$6:B547,B548,$I$6:I547))</f>
        <v/>
      </c>
      <c r="N548" s="15" t="str">
        <f>IF(B548="","",SUMIF($B$6:B547,B548,$H$6:H547))</f>
        <v/>
      </c>
      <c r="O548" s="15" t="str">
        <f>IF(B548="","",COUNTIFS($B$6:B547,B548,$K$6:K547,"&lt;&gt;已记录"))</f>
        <v/>
      </c>
      <c r="P548" s="34"/>
    </row>
    <row r="549" spans="1:16" ht="21.75" customHeight="1">
      <c r="A549" s="16"/>
      <c r="B549" s="30"/>
      <c r="C549" s="31"/>
      <c r="D549" s="10"/>
      <c r="E549" s="10"/>
      <c r="F549" s="32"/>
      <c r="G549" s="15" t="str">
        <f t="shared" si="40"/>
        <v/>
      </c>
      <c r="H549" s="15" t="str">
        <f t="shared" si="41"/>
        <v/>
      </c>
      <c r="I549" s="17" t="str">
        <f t="shared" si="42"/>
        <v/>
      </c>
      <c r="J549" s="15" t="str">
        <f t="shared" si="43"/>
        <v/>
      </c>
      <c r="K549" s="19" t="str">
        <f t="shared" si="44"/>
        <v/>
      </c>
      <c r="L549" s="33"/>
      <c r="M549" s="15" t="str">
        <f>IF(B549="","",SUMIF($B$6:B548,B549,$I$6:I548))</f>
        <v/>
      </c>
      <c r="N549" s="15" t="str">
        <f>IF(B549="","",SUMIF($B$6:B548,B549,$H$6:H548))</f>
        <v/>
      </c>
      <c r="O549" s="15" t="str">
        <f>IF(B549="","",COUNTIFS($B$6:B548,B549,$K$6:K548,"&lt;&gt;已记录"))</f>
        <v/>
      </c>
      <c r="P549" s="34"/>
    </row>
    <row r="550" spans="1:16" ht="21.75" customHeight="1">
      <c r="A550" s="16"/>
      <c r="B550" s="30"/>
      <c r="C550" s="31"/>
      <c r="D550" s="10"/>
      <c r="E550" s="10"/>
      <c r="F550" s="32"/>
      <c r="G550" s="15" t="str">
        <f t="shared" si="40"/>
        <v/>
      </c>
      <c r="H550" s="15" t="str">
        <f t="shared" si="41"/>
        <v/>
      </c>
      <c r="I550" s="17" t="str">
        <f t="shared" si="42"/>
        <v/>
      </c>
      <c r="J550" s="15" t="str">
        <f t="shared" si="43"/>
        <v/>
      </c>
      <c r="K550" s="19" t="str">
        <f t="shared" si="44"/>
        <v/>
      </c>
      <c r="L550" s="33"/>
      <c r="M550" s="15" t="str">
        <f>IF(B550="","",SUMIF($B$6:B549,B550,$I$6:I549))</f>
        <v/>
      </c>
      <c r="N550" s="15" t="str">
        <f>IF(B550="","",SUMIF($B$6:B549,B550,$H$6:H549))</f>
        <v/>
      </c>
      <c r="O550" s="15" t="str">
        <f>IF(B550="","",COUNTIFS($B$6:B549,B550,$K$6:K549,"&lt;&gt;已记录"))</f>
        <v/>
      </c>
      <c r="P550" s="34"/>
    </row>
    <row r="551" spans="1:16" ht="21.75" customHeight="1">
      <c r="A551" s="16"/>
      <c r="B551" s="30"/>
      <c r="C551" s="31"/>
      <c r="D551" s="10"/>
      <c r="E551" s="10"/>
      <c r="F551" s="32"/>
      <c r="G551" s="15" t="str">
        <f t="shared" si="40"/>
        <v/>
      </c>
      <c r="H551" s="15" t="str">
        <f t="shared" si="41"/>
        <v/>
      </c>
      <c r="I551" s="17" t="str">
        <f t="shared" si="42"/>
        <v/>
      </c>
      <c r="J551" s="15" t="str">
        <f t="shared" si="43"/>
        <v/>
      </c>
      <c r="K551" s="19" t="str">
        <f t="shared" si="44"/>
        <v/>
      </c>
      <c r="L551" s="33"/>
      <c r="M551" s="15" t="str">
        <f>IF(B551="","",SUMIF($B$6:B550,B551,$I$6:I550))</f>
        <v/>
      </c>
      <c r="N551" s="15" t="str">
        <f>IF(B551="","",SUMIF($B$6:B550,B551,$H$6:H550))</f>
        <v/>
      </c>
      <c r="O551" s="15" t="str">
        <f>IF(B551="","",COUNTIFS($B$6:B550,B551,$K$6:K550,"&lt;&gt;已记录"))</f>
        <v/>
      </c>
      <c r="P551" s="34"/>
    </row>
    <row r="552" spans="1:16" ht="21.75" customHeight="1">
      <c r="A552" s="16"/>
      <c r="B552" s="30"/>
      <c r="C552" s="31"/>
      <c r="D552" s="10"/>
      <c r="E552" s="10"/>
      <c r="F552" s="32"/>
      <c r="G552" s="15" t="str">
        <f t="shared" si="40"/>
        <v/>
      </c>
      <c r="H552" s="15" t="str">
        <f t="shared" si="41"/>
        <v/>
      </c>
      <c r="I552" s="17" t="str">
        <f t="shared" si="42"/>
        <v/>
      </c>
      <c r="J552" s="15" t="str">
        <f t="shared" si="43"/>
        <v/>
      </c>
      <c r="K552" s="19" t="str">
        <f t="shared" si="44"/>
        <v/>
      </c>
      <c r="L552" s="33"/>
      <c r="M552" s="15" t="str">
        <f>IF(B552="","",SUMIF($B$6:B551,B552,$I$6:I551))</f>
        <v/>
      </c>
      <c r="N552" s="15" t="str">
        <f>IF(B552="","",SUMIF($B$6:B551,B552,$H$6:H551))</f>
        <v/>
      </c>
      <c r="O552" s="15" t="str">
        <f>IF(B552="","",COUNTIFS($B$6:B551,B552,$K$6:K551,"&lt;&gt;已记录"))</f>
        <v/>
      </c>
      <c r="P552" s="34"/>
    </row>
    <row r="553" spans="1:16" ht="21.75" customHeight="1">
      <c r="A553" s="16"/>
      <c r="B553" s="30"/>
      <c r="C553" s="31"/>
      <c r="D553" s="10"/>
      <c r="E553" s="10"/>
      <c r="F553" s="32"/>
      <c r="G553" s="15" t="str">
        <f t="shared" si="40"/>
        <v/>
      </c>
      <c r="H553" s="15" t="str">
        <f t="shared" si="41"/>
        <v/>
      </c>
      <c r="I553" s="17" t="str">
        <f t="shared" si="42"/>
        <v/>
      </c>
      <c r="J553" s="15" t="str">
        <f t="shared" si="43"/>
        <v/>
      </c>
      <c r="K553" s="19" t="str">
        <f t="shared" si="44"/>
        <v/>
      </c>
      <c r="L553" s="33"/>
      <c r="M553" s="15" t="str">
        <f>IF(B553="","",SUMIF($B$6:B552,B553,$I$6:I552))</f>
        <v/>
      </c>
      <c r="N553" s="15" t="str">
        <f>IF(B553="","",SUMIF($B$6:B552,B553,$H$6:H552))</f>
        <v/>
      </c>
      <c r="O553" s="15" t="str">
        <f>IF(B553="","",COUNTIFS($B$6:B552,B553,$K$6:K552,"&lt;&gt;已记录"))</f>
        <v/>
      </c>
      <c r="P553" s="34"/>
    </row>
    <row r="554" spans="1:16" ht="21.75" customHeight="1">
      <c r="A554" s="16"/>
      <c r="B554" s="30"/>
      <c r="C554" s="31"/>
      <c r="D554" s="10"/>
      <c r="E554" s="10"/>
      <c r="F554" s="32"/>
      <c r="G554" s="15" t="str">
        <f t="shared" si="40"/>
        <v/>
      </c>
      <c r="H554" s="15" t="str">
        <f t="shared" si="41"/>
        <v/>
      </c>
      <c r="I554" s="17" t="str">
        <f t="shared" si="42"/>
        <v/>
      </c>
      <c r="J554" s="15" t="str">
        <f t="shared" si="43"/>
        <v/>
      </c>
      <c r="K554" s="19" t="str">
        <f t="shared" si="44"/>
        <v/>
      </c>
      <c r="L554" s="33"/>
      <c r="M554" s="15" t="str">
        <f>IF(B554="","",SUMIF($B$6:B553,B554,$I$6:I553))</f>
        <v/>
      </c>
      <c r="N554" s="15" t="str">
        <f>IF(B554="","",SUMIF($B$6:B553,B554,$H$6:H553))</f>
        <v/>
      </c>
      <c r="O554" s="15" t="str">
        <f>IF(B554="","",COUNTIFS($B$6:B553,B554,$K$6:K553,"&lt;&gt;已记录"))</f>
        <v/>
      </c>
      <c r="P554" s="34"/>
    </row>
    <row r="555" spans="1:16" ht="21.75" customHeight="1">
      <c r="A555" s="16"/>
      <c r="B555" s="30"/>
      <c r="C555" s="31"/>
      <c r="D555" s="10"/>
      <c r="E555" s="10"/>
      <c r="F555" s="32"/>
      <c r="G555" s="15" t="str">
        <f t="shared" si="40"/>
        <v/>
      </c>
      <c r="H555" s="15" t="str">
        <f t="shared" si="41"/>
        <v/>
      </c>
      <c r="I555" s="17" t="str">
        <f t="shared" si="42"/>
        <v/>
      </c>
      <c r="J555" s="15" t="str">
        <f t="shared" si="43"/>
        <v/>
      </c>
      <c r="K555" s="19" t="str">
        <f t="shared" si="44"/>
        <v/>
      </c>
      <c r="L555" s="33"/>
      <c r="M555" s="15" t="str">
        <f>IF(B555="","",SUMIF($B$6:B554,B555,$I$6:I554))</f>
        <v/>
      </c>
      <c r="N555" s="15" t="str">
        <f>IF(B555="","",SUMIF($B$6:B554,B555,$H$6:H554))</f>
        <v/>
      </c>
      <c r="O555" s="15" t="str">
        <f>IF(B555="","",COUNTIFS($B$6:B554,B555,$K$6:K554,"&lt;&gt;已记录"))</f>
        <v/>
      </c>
      <c r="P555" s="34"/>
    </row>
    <row r="556" spans="1:16" ht="21.75" customHeight="1">
      <c r="A556" s="16"/>
      <c r="B556" s="30"/>
      <c r="C556" s="31"/>
      <c r="D556" s="10"/>
      <c r="E556" s="10"/>
      <c r="F556" s="32"/>
      <c r="G556" s="15" t="str">
        <f t="shared" si="40"/>
        <v/>
      </c>
      <c r="H556" s="15" t="str">
        <f t="shared" si="41"/>
        <v/>
      </c>
      <c r="I556" s="17" t="str">
        <f t="shared" si="42"/>
        <v/>
      </c>
      <c r="J556" s="15" t="str">
        <f t="shared" si="43"/>
        <v/>
      </c>
      <c r="K556" s="19" t="str">
        <f t="shared" si="44"/>
        <v/>
      </c>
      <c r="L556" s="33"/>
      <c r="M556" s="15" t="str">
        <f>IF(B556="","",SUMIF($B$6:B555,B556,$I$6:I555))</f>
        <v/>
      </c>
      <c r="N556" s="15" t="str">
        <f>IF(B556="","",SUMIF($B$6:B555,B556,$H$6:H555))</f>
        <v/>
      </c>
      <c r="O556" s="15" t="str">
        <f>IF(B556="","",COUNTIFS($B$6:B555,B556,$K$6:K555,"&lt;&gt;已记录"))</f>
        <v/>
      </c>
      <c r="P556" s="34"/>
    </row>
    <row r="557" spans="1:16" ht="21.75" customHeight="1">
      <c r="A557" s="16"/>
      <c r="B557" s="30"/>
      <c r="C557" s="31"/>
      <c r="D557" s="10"/>
      <c r="E557" s="10"/>
      <c r="F557" s="32"/>
      <c r="G557" s="15" t="str">
        <f t="shared" si="40"/>
        <v/>
      </c>
      <c r="H557" s="15" t="str">
        <f t="shared" si="41"/>
        <v/>
      </c>
      <c r="I557" s="17" t="str">
        <f t="shared" si="42"/>
        <v/>
      </c>
      <c r="J557" s="15" t="str">
        <f t="shared" si="43"/>
        <v/>
      </c>
      <c r="K557" s="19" t="str">
        <f t="shared" si="44"/>
        <v/>
      </c>
      <c r="L557" s="33"/>
      <c r="M557" s="15" t="str">
        <f>IF(B557="","",SUMIF($B$6:B556,B557,$I$6:I556))</f>
        <v/>
      </c>
      <c r="N557" s="15" t="str">
        <f>IF(B557="","",SUMIF($B$6:B556,B557,$H$6:H556))</f>
        <v/>
      </c>
      <c r="O557" s="15" t="str">
        <f>IF(B557="","",COUNTIFS($B$6:B556,B557,$K$6:K556,"&lt;&gt;已记录"))</f>
        <v/>
      </c>
      <c r="P557" s="34"/>
    </row>
    <row r="558" spans="1:16" ht="21.75" customHeight="1">
      <c r="A558" s="16"/>
      <c r="B558" s="30"/>
      <c r="C558" s="31"/>
      <c r="D558" s="10"/>
      <c r="E558" s="10"/>
      <c r="F558" s="32"/>
      <c r="G558" s="15" t="str">
        <f t="shared" si="40"/>
        <v/>
      </c>
      <c r="H558" s="15" t="str">
        <f t="shared" si="41"/>
        <v/>
      </c>
      <c r="I558" s="17" t="str">
        <f t="shared" si="42"/>
        <v/>
      </c>
      <c r="J558" s="15" t="str">
        <f t="shared" si="43"/>
        <v/>
      </c>
      <c r="K558" s="19" t="str">
        <f t="shared" si="44"/>
        <v/>
      </c>
      <c r="L558" s="33"/>
      <c r="M558" s="15" t="str">
        <f>IF(B558="","",SUMIF($B$6:B557,B558,$I$6:I557))</f>
        <v/>
      </c>
      <c r="N558" s="15" t="str">
        <f>IF(B558="","",SUMIF($B$6:B557,B558,$H$6:H557))</f>
        <v/>
      </c>
      <c r="O558" s="15" t="str">
        <f>IF(B558="","",COUNTIFS($B$6:B557,B558,$K$6:K557,"&lt;&gt;已记录"))</f>
        <v/>
      </c>
      <c r="P558" s="34"/>
    </row>
    <row r="559" spans="1:16" ht="21.75" customHeight="1">
      <c r="A559" s="16"/>
      <c r="B559" s="30"/>
      <c r="C559" s="31"/>
      <c r="D559" s="10"/>
      <c r="E559" s="10"/>
      <c r="F559" s="32"/>
      <c r="G559" s="15" t="str">
        <f t="shared" si="40"/>
        <v/>
      </c>
      <c r="H559" s="15" t="str">
        <f t="shared" si="41"/>
        <v/>
      </c>
      <c r="I559" s="17" t="str">
        <f t="shared" si="42"/>
        <v/>
      </c>
      <c r="J559" s="15" t="str">
        <f t="shared" si="43"/>
        <v/>
      </c>
      <c r="K559" s="19" t="str">
        <f t="shared" si="44"/>
        <v/>
      </c>
      <c r="L559" s="33"/>
      <c r="M559" s="15" t="str">
        <f>IF(B559="","",SUMIF($B$6:B558,B559,$I$6:I558))</f>
        <v/>
      </c>
      <c r="N559" s="15" t="str">
        <f>IF(B559="","",SUMIF($B$6:B558,B559,$H$6:H558))</f>
        <v/>
      </c>
      <c r="O559" s="15" t="str">
        <f>IF(B559="","",COUNTIFS($B$6:B558,B559,$K$6:K558,"&lt;&gt;已记录"))</f>
        <v/>
      </c>
      <c r="P559" s="34"/>
    </row>
    <row r="560" spans="1:16" ht="21.75" customHeight="1">
      <c r="A560" s="16"/>
      <c r="B560" s="30"/>
      <c r="C560" s="31"/>
      <c r="D560" s="10"/>
      <c r="E560" s="10"/>
      <c r="F560" s="32"/>
      <c r="G560" s="15" t="str">
        <f t="shared" si="40"/>
        <v/>
      </c>
      <c r="H560" s="15" t="str">
        <f t="shared" si="41"/>
        <v/>
      </c>
      <c r="I560" s="17" t="str">
        <f t="shared" si="42"/>
        <v/>
      </c>
      <c r="J560" s="15" t="str">
        <f t="shared" si="43"/>
        <v/>
      </c>
      <c r="K560" s="19" t="str">
        <f t="shared" si="44"/>
        <v/>
      </c>
      <c r="L560" s="33"/>
      <c r="M560" s="15" t="str">
        <f>IF(B560="","",SUMIF($B$6:B559,B560,$I$6:I559))</f>
        <v/>
      </c>
      <c r="N560" s="15" t="str">
        <f>IF(B560="","",SUMIF($B$6:B559,B560,$H$6:H559))</f>
        <v/>
      </c>
      <c r="O560" s="15" t="str">
        <f>IF(B560="","",COUNTIFS($B$6:B559,B560,$K$6:K559,"&lt;&gt;已记录"))</f>
        <v/>
      </c>
      <c r="P560" s="34"/>
    </row>
    <row r="561" spans="1:16" ht="21.75" customHeight="1">
      <c r="A561" s="16"/>
      <c r="B561" s="30"/>
      <c r="C561" s="31"/>
      <c r="D561" s="10"/>
      <c r="E561" s="10"/>
      <c r="F561" s="32"/>
      <c r="G561" s="15" t="str">
        <f t="shared" si="40"/>
        <v/>
      </c>
      <c r="H561" s="15" t="str">
        <f t="shared" si="41"/>
        <v/>
      </c>
      <c r="I561" s="17" t="str">
        <f t="shared" si="42"/>
        <v/>
      </c>
      <c r="J561" s="15" t="str">
        <f t="shared" si="43"/>
        <v/>
      </c>
      <c r="K561" s="19" t="str">
        <f t="shared" si="44"/>
        <v/>
      </c>
      <c r="L561" s="33"/>
      <c r="M561" s="15" t="str">
        <f>IF(B561="","",SUMIF($B$6:B560,B561,$I$6:I560))</f>
        <v/>
      </c>
      <c r="N561" s="15" t="str">
        <f>IF(B561="","",SUMIF($B$6:B560,B561,$H$6:H560))</f>
        <v/>
      </c>
      <c r="O561" s="15" t="str">
        <f>IF(B561="","",COUNTIFS($B$6:B560,B561,$K$6:K560,"&lt;&gt;已记录"))</f>
        <v/>
      </c>
      <c r="P561" s="34"/>
    </row>
    <row r="562" spans="1:16" ht="21.75" customHeight="1">
      <c r="A562" s="16"/>
      <c r="B562" s="30"/>
      <c r="C562" s="31"/>
      <c r="D562" s="10"/>
      <c r="E562" s="10"/>
      <c r="F562" s="32"/>
      <c r="G562" s="15" t="str">
        <f t="shared" si="40"/>
        <v/>
      </c>
      <c r="H562" s="15" t="str">
        <f t="shared" si="41"/>
        <v/>
      </c>
      <c r="I562" s="17" t="str">
        <f t="shared" si="42"/>
        <v/>
      </c>
      <c r="J562" s="15" t="str">
        <f t="shared" si="43"/>
        <v/>
      </c>
      <c r="K562" s="19" t="str">
        <f t="shared" si="44"/>
        <v/>
      </c>
      <c r="L562" s="33"/>
      <c r="M562" s="15" t="str">
        <f>IF(B562="","",SUMIF($B$6:B561,B562,$I$6:I561))</f>
        <v/>
      </c>
      <c r="N562" s="15" t="str">
        <f>IF(B562="","",SUMIF($B$6:B561,B562,$H$6:H561))</f>
        <v/>
      </c>
      <c r="O562" s="15" t="str">
        <f>IF(B562="","",COUNTIFS($B$6:B561,B562,$K$6:K561,"&lt;&gt;已记录"))</f>
        <v/>
      </c>
      <c r="P562" s="34"/>
    </row>
    <row r="563" spans="1:16" ht="21.75" customHeight="1">
      <c r="A563" s="16"/>
      <c r="B563" s="30"/>
      <c r="C563" s="31"/>
      <c r="D563" s="10"/>
      <c r="E563" s="10"/>
      <c r="F563" s="32"/>
      <c r="G563" s="15" t="str">
        <f t="shared" si="40"/>
        <v/>
      </c>
      <c r="H563" s="15" t="str">
        <f t="shared" si="41"/>
        <v/>
      </c>
      <c r="I563" s="17" t="str">
        <f t="shared" si="42"/>
        <v/>
      </c>
      <c r="J563" s="15" t="str">
        <f t="shared" si="43"/>
        <v/>
      </c>
      <c r="K563" s="19" t="str">
        <f t="shared" si="44"/>
        <v/>
      </c>
      <c r="L563" s="33"/>
      <c r="M563" s="15" t="str">
        <f>IF(B563="","",SUMIF($B$6:B562,B563,$I$6:I562))</f>
        <v/>
      </c>
      <c r="N563" s="15" t="str">
        <f>IF(B563="","",SUMIF($B$6:B562,B563,$H$6:H562))</f>
        <v/>
      </c>
      <c r="O563" s="15" t="str">
        <f>IF(B563="","",COUNTIFS($B$6:B562,B563,$K$6:K562,"&lt;&gt;已记录"))</f>
        <v/>
      </c>
      <c r="P563" s="34"/>
    </row>
    <row r="564" spans="1:16" ht="21.75" customHeight="1">
      <c r="A564" s="16"/>
      <c r="B564" s="30"/>
      <c r="C564" s="31"/>
      <c r="D564" s="10"/>
      <c r="E564" s="10"/>
      <c r="F564" s="32"/>
      <c r="G564" s="15" t="str">
        <f t="shared" si="40"/>
        <v/>
      </c>
      <c r="H564" s="15" t="str">
        <f t="shared" si="41"/>
        <v/>
      </c>
      <c r="I564" s="17" t="str">
        <f t="shared" si="42"/>
        <v/>
      </c>
      <c r="J564" s="15" t="str">
        <f t="shared" si="43"/>
        <v/>
      </c>
      <c r="K564" s="19" t="str">
        <f t="shared" si="44"/>
        <v/>
      </c>
      <c r="L564" s="33"/>
      <c r="M564" s="15" t="str">
        <f>IF(B564="","",SUMIF($B$6:B563,B564,$I$6:I563))</f>
        <v/>
      </c>
      <c r="N564" s="15" t="str">
        <f>IF(B564="","",SUMIF($B$6:B563,B564,$H$6:H563))</f>
        <v/>
      </c>
      <c r="O564" s="15" t="str">
        <f>IF(B564="","",COUNTIFS($B$6:B563,B564,$K$6:K563,"&lt;&gt;已记录"))</f>
        <v/>
      </c>
      <c r="P564" s="34"/>
    </row>
    <row r="565" spans="1:16" ht="21.75" customHeight="1">
      <c r="A565" s="16"/>
      <c r="B565" s="30"/>
      <c r="C565" s="31"/>
      <c r="D565" s="10"/>
      <c r="E565" s="10"/>
      <c r="F565" s="32"/>
      <c r="G565" s="15" t="str">
        <f t="shared" si="40"/>
        <v/>
      </c>
      <c r="H565" s="15" t="str">
        <f t="shared" si="41"/>
        <v/>
      </c>
      <c r="I565" s="17" t="str">
        <f t="shared" si="42"/>
        <v/>
      </c>
      <c r="J565" s="15" t="str">
        <f t="shared" si="43"/>
        <v/>
      </c>
      <c r="K565" s="19" t="str">
        <f t="shared" si="44"/>
        <v/>
      </c>
      <c r="L565" s="33"/>
      <c r="M565" s="15" t="str">
        <f>IF(B565="","",SUMIF($B$6:B564,B565,$I$6:I564))</f>
        <v/>
      </c>
      <c r="N565" s="15" t="str">
        <f>IF(B565="","",SUMIF($B$6:B564,B565,$H$6:H564))</f>
        <v/>
      </c>
      <c r="O565" s="15" t="str">
        <f>IF(B565="","",COUNTIFS($B$6:B564,B565,$K$6:K564,"&lt;&gt;已记录"))</f>
        <v/>
      </c>
      <c r="P565" s="34"/>
    </row>
    <row r="566" spans="1:16" ht="21.75" customHeight="1">
      <c r="A566" s="16"/>
      <c r="B566" s="30"/>
      <c r="C566" s="31"/>
      <c r="D566" s="10"/>
      <c r="E566" s="10"/>
      <c r="F566" s="32"/>
      <c r="G566" s="15" t="str">
        <f t="shared" si="40"/>
        <v/>
      </c>
      <c r="H566" s="15" t="str">
        <f t="shared" si="41"/>
        <v/>
      </c>
      <c r="I566" s="17" t="str">
        <f t="shared" si="42"/>
        <v/>
      </c>
      <c r="J566" s="15" t="str">
        <f t="shared" si="43"/>
        <v/>
      </c>
      <c r="K566" s="19" t="str">
        <f t="shared" si="44"/>
        <v/>
      </c>
      <c r="L566" s="33"/>
      <c r="M566" s="15" t="str">
        <f>IF(B566="","",SUMIF($B$6:B565,B566,$I$6:I565))</f>
        <v/>
      </c>
      <c r="N566" s="15" t="str">
        <f>IF(B566="","",SUMIF($B$6:B565,B566,$H$6:H565))</f>
        <v/>
      </c>
      <c r="O566" s="15" t="str">
        <f>IF(B566="","",COUNTIFS($B$6:B565,B566,$K$6:K565,"&lt;&gt;已记录"))</f>
        <v/>
      </c>
      <c r="P566" s="34"/>
    </row>
    <row r="567" spans="1:16" ht="21.75" customHeight="1">
      <c r="A567" s="16"/>
      <c r="B567" s="30"/>
      <c r="C567" s="31"/>
      <c r="D567" s="10"/>
      <c r="E567" s="10"/>
      <c r="F567" s="32"/>
      <c r="G567" s="15" t="str">
        <f t="shared" si="40"/>
        <v/>
      </c>
      <c r="H567" s="15" t="str">
        <f t="shared" si="41"/>
        <v/>
      </c>
      <c r="I567" s="17" t="str">
        <f t="shared" si="42"/>
        <v/>
      </c>
      <c r="J567" s="15" t="str">
        <f t="shared" si="43"/>
        <v/>
      </c>
      <c r="K567" s="19" t="str">
        <f t="shared" si="44"/>
        <v/>
      </c>
      <c r="L567" s="33"/>
      <c r="M567" s="15" t="str">
        <f>IF(B567="","",SUMIF($B$6:B566,B567,$I$6:I566))</f>
        <v/>
      </c>
      <c r="N567" s="15" t="str">
        <f>IF(B567="","",SUMIF($B$6:B566,B567,$H$6:H566))</f>
        <v/>
      </c>
      <c r="O567" s="15" t="str">
        <f>IF(B567="","",COUNTIFS($B$6:B566,B567,$K$6:K566,"&lt;&gt;已记录"))</f>
        <v/>
      </c>
      <c r="P567" s="34"/>
    </row>
    <row r="568" spans="1:16" ht="21.75" customHeight="1">
      <c r="A568" s="16"/>
      <c r="B568" s="30"/>
      <c r="C568" s="31"/>
      <c r="D568" s="10"/>
      <c r="E568" s="10"/>
      <c r="F568" s="32"/>
      <c r="G568" s="15" t="str">
        <f t="shared" si="40"/>
        <v/>
      </c>
      <c r="H568" s="15" t="str">
        <f t="shared" si="41"/>
        <v/>
      </c>
      <c r="I568" s="17" t="str">
        <f t="shared" si="42"/>
        <v/>
      </c>
      <c r="J568" s="15" t="str">
        <f t="shared" si="43"/>
        <v/>
      </c>
      <c r="K568" s="19" t="str">
        <f t="shared" si="44"/>
        <v/>
      </c>
      <c r="L568" s="33"/>
      <c r="M568" s="15" t="str">
        <f>IF(B568="","",SUMIF($B$6:B567,B568,$I$6:I567))</f>
        <v/>
      </c>
      <c r="N568" s="15" t="str">
        <f>IF(B568="","",SUMIF($B$6:B567,B568,$H$6:H567))</f>
        <v/>
      </c>
      <c r="O568" s="15" t="str">
        <f>IF(B568="","",COUNTIFS($B$6:B567,B568,$K$6:K567,"&lt;&gt;已记录"))</f>
        <v/>
      </c>
      <c r="P568" s="34"/>
    </row>
    <row r="569" spans="1:16" ht="21.75" customHeight="1">
      <c r="A569" s="16"/>
      <c r="B569" s="30"/>
      <c r="C569" s="31"/>
      <c r="D569" s="10"/>
      <c r="E569" s="10"/>
      <c r="F569" s="32"/>
      <c r="G569" s="15" t="str">
        <f t="shared" si="40"/>
        <v/>
      </c>
      <c r="H569" s="15" t="str">
        <f t="shared" si="41"/>
        <v/>
      </c>
      <c r="I569" s="17" t="str">
        <f t="shared" si="42"/>
        <v/>
      </c>
      <c r="J569" s="15" t="str">
        <f t="shared" si="43"/>
        <v/>
      </c>
      <c r="K569" s="19" t="str">
        <f t="shared" si="44"/>
        <v/>
      </c>
      <c r="L569" s="33"/>
      <c r="M569" s="15" t="str">
        <f>IF(B569="","",SUMIF($B$6:B568,B569,$I$6:I568))</f>
        <v/>
      </c>
      <c r="N569" s="15" t="str">
        <f>IF(B569="","",SUMIF($B$6:B568,B569,$H$6:H568))</f>
        <v/>
      </c>
      <c r="O569" s="15" t="str">
        <f>IF(B569="","",COUNTIFS($B$6:B568,B569,$K$6:K568,"&lt;&gt;已记录"))</f>
        <v/>
      </c>
      <c r="P569" s="34"/>
    </row>
    <row r="570" spans="1:16" ht="21.75" customHeight="1">
      <c r="A570" s="16"/>
      <c r="B570" s="30"/>
      <c r="C570" s="31"/>
      <c r="D570" s="10"/>
      <c r="E570" s="10"/>
      <c r="F570" s="32"/>
      <c r="G570" s="15" t="str">
        <f t="shared" si="40"/>
        <v/>
      </c>
      <c r="H570" s="15" t="str">
        <f t="shared" si="41"/>
        <v/>
      </c>
      <c r="I570" s="17" t="str">
        <f t="shared" si="42"/>
        <v/>
      </c>
      <c r="J570" s="15" t="str">
        <f t="shared" si="43"/>
        <v/>
      </c>
      <c r="K570" s="19" t="str">
        <f t="shared" si="44"/>
        <v/>
      </c>
      <c r="L570" s="33"/>
      <c r="M570" s="15" t="str">
        <f>IF(B570="","",SUMIF($B$6:B569,B570,$I$6:I569))</f>
        <v/>
      </c>
      <c r="N570" s="15" t="str">
        <f>IF(B570="","",SUMIF($B$6:B569,B570,$H$6:H569))</f>
        <v/>
      </c>
      <c r="O570" s="15" t="str">
        <f>IF(B570="","",COUNTIFS($B$6:B569,B570,$K$6:K569,"&lt;&gt;已记录"))</f>
        <v/>
      </c>
      <c r="P570" s="34"/>
    </row>
    <row r="571" spans="1:16" ht="21.75" customHeight="1">
      <c r="A571" s="16"/>
      <c r="B571" s="30"/>
      <c r="C571" s="31"/>
      <c r="D571" s="10"/>
      <c r="E571" s="10"/>
      <c r="F571" s="32"/>
      <c r="G571" s="15" t="str">
        <f t="shared" si="40"/>
        <v/>
      </c>
      <c r="H571" s="15" t="str">
        <f t="shared" si="41"/>
        <v/>
      </c>
      <c r="I571" s="17" t="str">
        <f t="shared" si="42"/>
        <v/>
      </c>
      <c r="J571" s="15" t="str">
        <f t="shared" si="43"/>
        <v/>
      </c>
      <c r="K571" s="19" t="str">
        <f t="shared" si="44"/>
        <v/>
      </c>
      <c r="L571" s="33"/>
      <c r="M571" s="15" t="str">
        <f>IF(B571="","",SUMIF($B$6:B570,B571,$I$6:I570))</f>
        <v/>
      </c>
      <c r="N571" s="15" t="str">
        <f>IF(B571="","",SUMIF($B$6:B570,B571,$H$6:H570))</f>
        <v/>
      </c>
      <c r="O571" s="15" t="str">
        <f>IF(B571="","",COUNTIFS($B$6:B570,B571,$K$6:K570,"&lt;&gt;已记录"))</f>
        <v/>
      </c>
      <c r="P571" s="34"/>
    </row>
    <row r="572" spans="1:16" ht="21.75" customHeight="1">
      <c r="A572" s="16"/>
      <c r="B572" s="30"/>
      <c r="C572" s="31"/>
      <c r="D572" s="10"/>
      <c r="E572" s="10"/>
      <c r="F572" s="32"/>
      <c r="G572" s="15" t="str">
        <f t="shared" si="40"/>
        <v/>
      </c>
      <c r="H572" s="15" t="str">
        <f t="shared" si="41"/>
        <v/>
      </c>
      <c r="I572" s="17" t="str">
        <f t="shared" si="42"/>
        <v/>
      </c>
      <c r="J572" s="15" t="str">
        <f t="shared" si="43"/>
        <v/>
      </c>
      <c r="K572" s="19" t="str">
        <f t="shared" si="44"/>
        <v/>
      </c>
      <c r="L572" s="33"/>
      <c r="M572" s="15" t="str">
        <f>IF(B572="","",SUMIF($B$6:B571,B572,$I$6:I571))</f>
        <v/>
      </c>
      <c r="N572" s="15" t="str">
        <f>IF(B572="","",SUMIF($B$6:B571,B572,$H$6:H571))</f>
        <v/>
      </c>
      <c r="O572" s="15" t="str">
        <f>IF(B572="","",COUNTIFS($B$6:B571,B572,$K$6:K571,"&lt;&gt;已记录"))</f>
        <v/>
      </c>
      <c r="P572" s="34"/>
    </row>
    <row r="573" spans="1:16" ht="21.75" customHeight="1">
      <c r="A573" s="16"/>
      <c r="B573" s="30"/>
      <c r="C573" s="31"/>
      <c r="D573" s="10"/>
      <c r="E573" s="10"/>
      <c r="F573" s="32"/>
      <c r="G573" s="15" t="str">
        <f t="shared" si="40"/>
        <v/>
      </c>
      <c r="H573" s="15" t="str">
        <f t="shared" si="41"/>
        <v/>
      </c>
      <c r="I573" s="17" t="str">
        <f t="shared" si="42"/>
        <v/>
      </c>
      <c r="J573" s="15" t="str">
        <f t="shared" si="43"/>
        <v/>
      </c>
      <c r="K573" s="19" t="str">
        <f t="shared" si="44"/>
        <v/>
      </c>
      <c r="L573" s="33"/>
      <c r="M573" s="15" t="str">
        <f>IF(B573="","",SUMIF($B$6:B572,B573,$I$6:I572))</f>
        <v/>
      </c>
      <c r="N573" s="15" t="str">
        <f>IF(B573="","",SUMIF($B$6:B572,B573,$H$6:H572))</f>
        <v/>
      </c>
      <c r="O573" s="15" t="str">
        <f>IF(B573="","",COUNTIFS($B$6:B572,B573,$K$6:K572,"&lt;&gt;已记录"))</f>
        <v/>
      </c>
      <c r="P573" s="34"/>
    </row>
    <row r="574" spans="1:16" ht="21.75" customHeight="1">
      <c r="A574" s="16"/>
      <c r="B574" s="30"/>
      <c r="C574" s="31"/>
      <c r="D574" s="10"/>
      <c r="E574" s="10"/>
      <c r="F574" s="32"/>
      <c r="G574" s="15" t="str">
        <f t="shared" si="40"/>
        <v/>
      </c>
      <c r="H574" s="15" t="str">
        <f t="shared" si="41"/>
        <v/>
      </c>
      <c r="I574" s="17" t="str">
        <f t="shared" si="42"/>
        <v/>
      </c>
      <c r="J574" s="15" t="str">
        <f t="shared" si="43"/>
        <v/>
      </c>
      <c r="K574" s="19" t="str">
        <f t="shared" si="44"/>
        <v/>
      </c>
      <c r="L574" s="33"/>
      <c r="M574" s="15" t="str">
        <f>IF(B574="","",SUMIF($B$6:B573,B574,$I$6:I573))</f>
        <v/>
      </c>
      <c r="N574" s="15" t="str">
        <f>IF(B574="","",SUMIF($B$6:B573,B574,$H$6:H573))</f>
        <v/>
      </c>
      <c r="O574" s="15" t="str">
        <f>IF(B574="","",COUNTIFS($B$6:B573,B574,$K$6:K573,"&lt;&gt;已记录"))</f>
        <v/>
      </c>
      <c r="P574" s="34"/>
    </row>
    <row r="575" spans="1:16" ht="21.75" customHeight="1">
      <c r="A575" s="16"/>
      <c r="B575" s="30"/>
      <c r="C575" s="31"/>
      <c r="D575" s="10"/>
      <c r="E575" s="10"/>
      <c r="F575" s="32"/>
      <c r="G575" s="15" t="str">
        <f t="shared" si="40"/>
        <v/>
      </c>
      <c r="H575" s="15" t="str">
        <f t="shared" si="41"/>
        <v/>
      </c>
      <c r="I575" s="17" t="str">
        <f t="shared" si="42"/>
        <v/>
      </c>
      <c r="J575" s="15" t="str">
        <f t="shared" si="43"/>
        <v/>
      </c>
      <c r="K575" s="19" t="str">
        <f t="shared" si="44"/>
        <v/>
      </c>
      <c r="L575" s="33"/>
      <c r="M575" s="15" t="str">
        <f>IF(B575="","",SUMIF($B$6:B574,B575,$I$6:I574))</f>
        <v/>
      </c>
      <c r="N575" s="15" t="str">
        <f>IF(B575="","",SUMIF($B$6:B574,B575,$H$6:H574))</f>
        <v/>
      </c>
      <c r="O575" s="15" t="str">
        <f>IF(B575="","",COUNTIFS($B$6:B574,B575,$K$6:K574,"&lt;&gt;已记录"))</f>
        <v/>
      </c>
      <c r="P575" s="34"/>
    </row>
    <row r="576" spans="1:16" ht="21.75" customHeight="1">
      <c r="A576" s="16"/>
      <c r="B576" s="30"/>
      <c r="C576" s="31"/>
      <c r="D576" s="10"/>
      <c r="E576" s="10"/>
      <c r="F576" s="32"/>
      <c r="G576" s="15" t="str">
        <f t="shared" si="40"/>
        <v/>
      </c>
      <c r="H576" s="15" t="str">
        <f t="shared" si="41"/>
        <v/>
      </c>
      <c r="I576" s="17" t="str">
        <f t="shared" si="42"/>
        <v/>
      </c>
      <c r="J576" s="15" t="str">
        <f t="shared" si="43"/>
        <v/>
      </c>
      <c r="K576" s="19" t="str">
        <f t="shared" si="44"/>
        <v/>
      </c>
      <c r="L576" s="33"/>
      <c r="M576" s="15" t="str">
        <f>IF(B576="","",SUMIF($B$6:B575,B576,$I$6:I575))</f>
        <v/>
      </c>
      <c r="N576" s="15" t="str">
        <f>IF(B576="","",SUMIF($B$6:B575,B576,$H$6:H575))</f>
        <v/>
      </c>
      <c r="O576" s="15" t="str">
        <f>IF(B576="","",COUNTIFS($B$6:B575,B576,$K$6:K575,"&lt;&gt;已记录"))</f>
        <v/>
      </c>
      <c r="P576" s="34"/>
    </row>
    <row r="577" spans="1:16" ht="21.75" customHeight="1">
      <c r="A577" s="16"/>
      <c r="B577" s="30"/>
      <c r="C577" s="31"/>
      <c r="D577" s="10"/>
      <c r="E577" s="10"/>
      <c r="F577" s="32"/>
      <c r="G577" s="15" t="str">
        <f t="shared" si="40"/>
        <v/>
      </c>
      <c r="H577" s="15" t="str">
        <f t="shared" si="41"/>
        <v/>
      </c>
      <c r="I577" s="17" t="str">
        <f t="shared" si="42"/>
        <v/>
      </c>
      <c r="J577" s="15" t="str">
        <f t="shared" si="43"/>
        <v/>
      </c>
      <c r="K577" s="19" t="str">
        <f t="shared" si="44"/>
        <v/>
      </c>
      <c r="L577" s="33"/>
      <c r="M577" s="15" t="str">
        <f>IF(B577="","",SUMIF($B$6:B576,B577,$I$6:I576))</f>
        <v/>
      </c>
      <c r="N577" s="15" t="str">
        <f>IF(B577="","",SUMIF($B$6:B576,B577,$H$6:H576))</f>
        <v/>
      </c>
      <c r="O577" s="15" t="str">
        <f>IF(B577="","",COUNTIFS($B$6:B576,B577,$K$6:K576,"&lt;&gt;已记录"))</f>
        <v/>
      </c>
      <c r="P577" s="34"/>
    </row>
    <row r="578" spans="1:16" ht="21.75" customHeight="1">
      <c r="A578" s="16"/>
      <c r="B578" s="30"/>
      <c r="C578" s="31"/>
      <c r="D578" s="10"/>
      <c r="E578" s="10"/>
      <c r="F578" s="32"/>
      <c r="G578" s="15" t="str">
        <f t="shared" si="40"/>
        <v/>
      </c>
      <c r="H578" s="15" t="str">
        <f t="shared" si="41"/>
        <v/>
      </c>
      <c r="I578" s="17" t="str">
        <f t="shared" si="42"/>
        <v/>
      </c>
      <c r="J578" s="15" t="str">
        <f t="shared" si="43"/>
        <v/>
      </c>
      <c r="K578" s="19" t="str">
        <f t="shared" si="44"/>
        <v/>
      </c>
      <c r="L578" s="33"/>
      <c r="M578" s="15" t="str">
        <f>IF(B578="","",SUMIF($B$6:B577,B578,$I$6:I577))</f>
        <v/>
      </c>
      <c r="N578" s="15" t="str">
        <f>IF(B578="","",SUMIF($B$6:B577,B578,$H$6:H577))</f>
        <v/>
      </c>
      <c r="O578" s="15" t="str">
        <f>IF(B578="","",COUNTIFS($B$6:B577,B578,$K$6:K577,"&lt;&gt;已记录"))</f>
        <v/>
      </c>
      <c r="P578" s="34"/>
    </row>
    <row r="579" spans="1:16" ht="21.75" customHeight="1">
      <c r="A579" s="16"/>
      <c r="B579" s="30"/>
      <c r="C579" s="31"/>
      <c r="D579" s="10"/>
      <c r="E579" s="10"/>
      <c r="F579" s="32"/>
      <c r="G579" s="15" t="str">
        <f t="shared" si="40"/>
        <v/>
      </c>
      <c r="H579" s="15" t="str">
        <f t="shared" si="41"/>
        <v/>
      </c>
      <c r="I579" s="17" t="str">
        <f t="shared" si="42"/>
        <v/>
      </c>
      <c r="J579" s="15" t="str">
        <f t="shared" si="43"/>
        <v/>
      </c>
      <c r="K579" s="19" t="str">
        <f t="shared" si="44"/>
        <v/>
      </c>
      <c r="L579" s="33"/>
      <c r="M579" s="15" t="str">
        <f>IF(B579="","",SUMIF($B$6:B578,B579,$I$6:I578))</f>
        <v/>
      </c>
      <c r="N579" s="15" t="str">
        <f>IF(B579="","",SUMIF($B$6:B578,B579,$H$6:H578))</f>
        <v/>
      </c>
      <c r="O579" s="15" t="str">
        <f>IF(B579="","",COUNTIFS($B$6:B578,B579,$K$6:K578,"&lt;&gt;已记录"))</f>
        <v/>
      </c>
      <c r="P579" s="34"/>
    </row>
    <row r="580" spans="1:16" ht="21.75" customHeight="1">
      <c r="A580" s="16"/>
      <c r="B580" s="30"/>
      <c r="C580" s="31"/>
      <c r="D580" s="10"/>
      <c r="E580" s="10"/>
      <c r="F580" s="32"/>
      <c r="G580" s="15" t="str">
        <f t="shared" si="40"/>
        <v/>
      </c>
      <c r="H580" s="15" t="str">
        <f t="shared" si="41"/>
        <v/>
      </c>
      <c r="I580" s="17" t="str">
        <f t="shared" si="42"/>
        <v/>
      </c>
      <c r="J580" s="15" t="str">
        <f t="shared" si="43"/>
        <v/>
      </c>
      <c r="K580" s="19" t="str">
        <f t="shared" si="44"/>
        <v/>
      </c>
      <c r="L580" s="33"/>
      <c r="M580" s="15" t="str">
        <f>IF(B580="","",SUMIF($B$6:B579,B580,$I$6:I579))</f>
        <v/>
      </c>
      <c r="N580" s="15" t="str">
        <f>IF(B580="","",SUMIF($B$6:B579,B580,$H$6:H579))</f>
        <v/>
      </c>
      <c r="O580" s="15" t="str">
        <f>IF(B580="","",COUNTIFS($B$6:B579,B580,$K$6:K579,"&lt;&gt;已记录"))</f>
        <v/>
      </c>
      <c r="P580" s="34"/>
    </row>
    <row r="581" spans="1:16" ht="21.75" customHeight="1">
      <c r="A581" s="16"/>
      <c r="B581" s="30"/>
      <c r="C581" s="31"/>
      <c r="D581" s="10"/>
      <c r="E581" s="10"/>
      <c r="F581" s="32"/>
      <c r="G581" s="15" t="str">
        <f t="shared" si="40"/>
        <v/>
      </c>
      <c r="H581" s="15" t="str">
        <f t="shared" si="41"/>
        <v/>
      </c>
      <c r="I581" s="17" t="str">
        <f t="shared" si="42"/>
        <v/>
      </c>
      <c r="J581" s="15" t="str">
        <f t="shared" si="43"/>
        <v/>
      </c>
      <c r="K581" s="19" t="str">
        <f t="shared" si="44"/>
        <v/>
      </c>
      <c r="L581" s="33"/>
      <c r="M581" s="15" t="str">
        <f>IF(B581="","",SUMIF($B$6:B580,B581,$I$6:I580))</f>
        <v/>
      </c>
      <c r="N581" s="15" t="str">
        <f>IF(B581="","",SUMIF($B$6:B580,B581,$H$6:H580))</f>
        <v/>
      </c>
      <c r="O581" s="15" t="str">
        <f>IF(B581="","",COUNTIFS($B$6:B580,B581,$K$6:K580,"&lt;&gt;已记录"))</f>
        <v/>
      </c>
      <c r="P581" s="34"/>
    </row>
    <row r="582" spans="1:16" ht="21.75" customHeight="1">
      <c r="A582" s="16"/>
      <c r="B582" s="30"/>
      <c r="C582" s="31"/>
      <c r="D582" s="10"/>
      <c r="E582" s="10"/>
      <c r="F582" s="32"/>
      <c r="G582" s="15" t="str">
        <f t="shared" ref="G582:G605" si="45">IF(OR(B582="",D582="",C582=""),"",IF(C582="买入",-(D582+E582),IF(C582="卖出",D582-E582,"")))</f>
        <v/>
      </c>
      <c r="H582" s="15" t="str">
        <f t="shared" ref="H582:H605" si="46">IF(K582&lt;&gt;"已记录","",IF(C582="买入",D582+E582,-IF(M582=0,0,N582/M582*F582)))</f>
        <v/>
      </c>
      <c r="I582" s="17" t="str">
        <f t="shared" ref="I582:I605" si="47">IF(K582&lt;&gt;"已记录","",IF(C582="买入",F582,-F582))</f>
        <v/>
      </c>
      <c r="J582" s="15" t="str">
        <f t="shared" ref="J582:J645" si="48">IF(K582&lt;&gt;"已记录","",IF(C582="卖出",D582-E582+H582,0))</f>
        <v/>
      </c>
      <c r="K582" s="19" t="str">
        <f t="shared" ref="K582:K605" si="49">IF(B582="","",IF(OR(A582="",D582="",F582="",C582=""),"待补日期／金额／份额",IF(OR(D582&lt;=0,F582&lt;=0,E582&lt;0,AND(C582&lt;&gt;"买入",C582&lt;&gt;"卖出"),AND(C582="卖出",E582&gt;D582)),"请检查输入",IF(O582&gt;0,"待补前序记录",IF(AND(C582="卖出",F582&gt;M582+0.00000001),"卖出超过持仓","已记录")))))</f>
        <v/>
      </c>
      <c r="L582" s="33"/>
      <c r="M582" s="15" t="str">
        <f>IF(B582="","",SUMIF($B$6:B581,B582,$I$6:I581))</f>
        <v/>
      </c>
      <c r="N582" s="15" t="str">
        <f>IF(B582="","",SUMIF($B$6:B581,B582,$H$6:H581))</f>
        <v/>
      </c>
      <c r="O582" s="15" t="str">
        <f>IF(B582="","",COUNTIFS($B$6:B581,B582,$K$6:K581,"&lt;&gt;已记录"))</f>
        <v/>
      </c>
      <c r="P582" s="34"/>
    </row>
    <row r="583" spans="1:16" ht="21.75" customHeight="1">
      <c r="A583" s="16"/>
      <c r="B583" s="30"/>
      <c r="C583" s="31"/>
      <c r="D583" s="10"/>
      <c r="E583" s="10"/>
      <c r="F583" s="32"/>
      <c r="G583" s="15" t="str">
        <f t="shared" si="45"/>
        <v/>
      </c>
      <c r="H583" s="15" t="str">
        <f t="shared" si="46"/>
        <v/>
      </c>
      <c r="I583" s="17" t="str">
        <f t="shared" si="47"/>
        <v/>
      </c>
      <c r="J583" s="15" t="str">
        <f t="shared" si="48"/>
        <v/>
      </c>
      <c r="K583" s="19" t="str">
        <f t="shared" si="49"/>
        <v/>
      </c>
      <c r="L583" s="33"/>
      <c r="M583" s="15" t="str">
        <f>IF(B583="","",SUMIF($B$6:B582,B583,$I$6:I582))</f>
        <v/>
      </c>
      <c r="N583" s="15" t="str">
        <f>IF(B583="","",SUMIF($B$6:B582,B583,$H$6:H582))</f>
        <v/>
      </c>
      <c r="O583" s="15" t="str">
        <f>IF(B583="","",COUNTIFS($B$6:B582,B583,$K$6:K582,"&lt;&gt;已记录"))</f>
        <v/>
      </c>
      <c r="P583" s="34"/>
    </row>
    <row r="584" spans="1:16" ht="21.75" customHeight="1">
      <c r="A584" s="16"/>
      <c r="B584" s="30"/>
      <c r="C584" s="31"/>
      <c r="D584" s="10"/>
      <c r="E584" s="10"/>
      <c r="F584" s="32"/>
      <c r="G584" s="15" t="str">
        <f t="shared" si="45"/>
        <v/>
      </c>
      <c r="H584" s="15" t="str">
        <f t="shared" si="46"/>
        <v/>
      </c>
      <c r="I584" s="17" t="str">
        <f t="shared" si="47"/>
        <v/>
      </c>
      <c r="J584" s="15" t="str">
        <f t="shared" si="48"/>
        <v/>
      </c>
      <c r="K584" s="19" t="str">
        <f t="shared" si="49"/>
        <v/>
      </c>
      <c r="L584" s="33"/>
      <c r="M584" s="15" t="str">
        <f>IF(B584="","",SUMIF($B$6:B583,B584,$I$6:I583))</f>
        <v/>
      </c>
      <c r="N584" s="15" t="str">
        <f>IF(B584="","",SUMIF($B$6:B583,B584,$H$6:H583))</f>
        <v/>
      </c>
      <c r="O584" s="15" t="str">
        <f>IF(B584="","",COUNTIFS($B$6:B583,B584,$K$6:K583,"&lt;&gt;已记录"))</f>
        <v/>
      </c>
      <c r="P584" s="34"/>
    </row>
    <row r="585" spans="1:16" ht="21.75" customHeight="1">
      <c r="A585" s="16"/>
      <c r="B585" s="30"/>
      <c r="C585" s="31"/>
      <c r="D585" s="10"/>
      <c r="E585" s="10"/>
      <c r="F585" s="32"/>
      <c r="G585" s="15" t="str">
        <f t="shared" si="45"/>
        <v/>
      </c>
      <c r="H585" s="15" t="str">
        <f t="shared" si="46"/>
        <v/>
      </c>
      <c r="I585" s="17" t="str">
        <f t="shared" si="47"/>
        <v/>
      </c>
      <c r="J585" s="15" t="str">
        <f t="shared" si="48"/>
        <v/>
      </c>
      <c r="K585" s="19" t="str">
        <f t="shared" si="49"/>
        <v/>
      </c>
      <c r="L585" s="33"/>
      <c r="M585" s="15" t="str">
        <f>IF(B585="","",SUMIF($B$6:B584,B585,$I$6:I584))</f>
        <v/>
      </c>
      <c r="N585" s="15" t="str">
        <f>IF(B585="","",SUMIF($B$6:B584,B585,$H$6:H584))</f>
        <v/>
      </c>
      <c r="O585" s="15" t="str">
        <f>IF(B585="","",COUNTIFS($B$6:B584,B585,$K$6:K584,"&lt;&gt;已记录"))</f>
        <v/>
      </c>
      <c r="P585" s="34"/>
    </row>
    <row r="586" spans="1:16" ht="21.75" customHeight="1">
      <c r="A586" s="16"/>
      <c r="B586" s="30"/>
      <c r="C586" s="31"/>
      <c r="D586" s="10"/>
      <c r="E586" s="10"/>
      <c r="F586" s="32"/>
      <c r="G586" s="15" t="str">
        <f t="shared" si="45"/>
        <v/>
      </c>
      <c r="H586" s="15" t="str">
        <f t="shared" si="46"/>
        <v/>
      </c>
      <c r="I586" s="17" t="str">
        <f t="shared" si="47"/>
        <v/>
      </c>
      <c r="J586" s="15" t="str">
        <f t="shared" si="48"/>
        <v/>
      </c>
      <c r="K586" s="19" t="str">
        <f t="shared" si="49"/>
        <v/>
      </c>
      <c r="L586" s="33"/>
      <c r="M586" s="15" t="str">
        <f>IF(B586="","",SUMIF($B$6:B585,B586,$I$6:I585))</f>
        <v/>
      </c>
      <c r="N586" s="15" t="str">
        <f>IF(B586="","",SUMIF($B$6:B585,B586,$H$6:H585))</f>
        <v/>
      </c>
      <c r="O586" s="15" t="str">
        <f>IF(B586="","",COUNTIFS($B$6:B585,B586,$K$6:K585,"&lt;&gt;已记录"))</f>
        <v/>
      </c>
      <c r="P586" s="34"/>
    </row>
    <row r="587" spans="1:16" ht="21.75" customHeight="1">
      <c r="A587" s="16"/>
      <c r="B587" s="30"/>
      <c r="C587" s="31"/>
      <c r="D587" s="10"/>
      <c r="E587" s="10"/>
      <c r="F587" s="32"/>
      <c r="G587" s="15" t="str">
        <f t="shared" si="45"/>
        <v/>
      </c>
      <c r="H587" s="15" t="str">
        <f t="shared" si="46"/>
        <v/>
      </c>
      <c r="I587" s="17" t="str">
        <f t="shared" si="47"/>
        <v/>
      </c>
      <c r="J587" s="15" t="str">
        <f t="shared" si="48"/>
        <v/>
      </c>
      <c r="K587" s="19" t="str">
        <f t="shared" si="49"/>
        <v/>
      </c>
      <c r="L587" s="33"/>
      <c r="M587" s="15" t="str">
        <f>IF(B587="","",SUMIF($B$6:B586,B587,$I$6:I586))</f>
        <v/>
      </c>
      <c r="N587" s="15" t="str">
        <f>IF(B587="","",SUMIF($B$6:B586,B587,$H$6:H586))</f>
        <v/>
      </c>
      <c r="O587" s="15" t="str">
        <f>IF(B587="","",COUNTIFS($B$6:B586,B587,$K$6:K586,"&lt;&gt;已记录"))</f>
        <v/>
      </c>
      <c r="P587" s="34"/>
    </row>
    <row r="588" spans="1:16" ht="21.75" customHeight="1">
      <c r="A588" s="16"/>
      <c r="B588" s="30"/>
      <c r="C588" s="31"/>
      <c r="D588" s="10"/>
      <c r="E588" s="10"/>
      <c r="F588" s="32"/>
      <c r="G588" s="15" t="str">
        <f t="shared" si="45"/>
        <v/>
      </c>
      <c r="H588" s="15" t="str">
        <f t="shared" si="46"/>
        <v/>
      </c>
      <c r="I588" s="17" t="str">
        <f t="shared" si="47"/>
        <v/>
      </c>
      <c r="J588" s="15" t="str">
        <f t="shared" si="48"/>
        <v/>
      </c>
      <c r="K588" s="19" t="str">
        <f t="shared" si="49"/>
        <v/>
      </c>
      <c r="L588" s="33"/>
      <c r="M588" s="15" t="str">
        <f>IF(B588="","",SUMIF($B$6:B587,B588,$I$6:I587))</f>
        <v/>
      </c>
      <c r="N588" s="15" t="str">
        <f>IF(B588="","",SUMIF($B$6:B587,B588,$H$6:H587))</f>
        <v/>
      </c>
      <c r="O588" s="15" t="str">
        <f>IF(B588="","",COUNTIFS($B$6:B587,B588,$K$6:K587,"&lt;&gt;已记录"))</f>
        <v/>
      </c>
      <c r="P588" s="34"/>
    </row>
    <row r="589" spans="1:16" ht="21.75" customHeight="1">
      <c r="A589" s="16"/>
      <c r="B589" s="30"/>
      <c r="C589" s="31"/>
      <c r="D589" s="10"/>
      <c r="E589" s="10"/>
      <c r="F589" s="32"/>
      <c r="G589" s="15" t="str">
        <f t="shared" si="45"/>
        <v/>
      </c>
      <c r="H589" s="15" t="str">
        <f t="shared" si="46"/>
        <v/>
      </c>
      <c r="I589" s="17" t="str">
        <f t="shared" si="47"/>
        <v/>
      </c>
      <c r="J589" s="15" t="str">
        <f t="shared" si="48"/>
        <v/>
      </c>
      <c r="K589" s="19" t="str">
        <f t="shared" si="49"/>
        <v/>
      </c>
      <c r="L589" s="33"/>
      <c r="M589" s="15" t="str">
        <f>IF(B589="","",SUMIF($B$6:B588,B589,$I$6:I588))</f>
        <v/>
      </c>
      <c r="N589" s="15" t="str">
        <f>IF(B589="","",SUMIF($B$6:B588,B589,$H$6:H588))</f>
        <v/>
      </c>
      <c r="O589" s="15" t="str">
        <f>IF(B589="","",COUNTIFS($B$6:B588,B589,$K$6:K588,"&lt;&gt;已记录"))</f>
        <v/>
      </c>
      <c r="P589" s="34"/>
    </row>
    <row r="590" spans="1:16" ht="21.75" customHeight="1">
      <c r="A590" s="16"/>
      <c r="B590" s="30"/>
      <c r="C590" s="31"/>
      <c r="D590" s="10"/>
      <c r="E590" s="10"/>
      <c r="F590" s="32"/>
      <c r="G590" s="15" t="str">
        <f t="shared" si="45"/>
        <v/>
      </c>
      <c r="H590" s="15" t="str">
        <f t="shared" si="46"/>
        <v/>
      </c>
      <c r="I590" s="17" t="str">
        <f t="shared" si="47"/>
        <v/>
      </c>
      <c r="J590" s="15" t="str">
        <f t="shared" si="48"/>
        <v/>
      </c>
      <c r="K590" s="19" t="str">
        <f t="shared" si="49"/>
        <v/>
      </c>
      <c r="L590" s="33"/>
      <c r="M590" s="15" t="str">
        <f>IF(B590="","",SUMIF($B$6:B589,B590,$I$6:I589))</f>
        <v/>
      </c>
      <c r="N590" s="15" t="str">
        <f>IF(B590="","",SUMIF($B$6:B589,B590,$H$6:H589))</f>
        <v/>
      </c>
      <c r="O590" s="15" t="str">
        <f>IF(B590="","",COUNTIFS($B$6:B589,B590,$K$6:K589,"&lt;&gt;已记录"))</f>
        <v/>
      </c>
      <c r="P590" s="34"/>
    </row>
    <row r="591" spans="1:16" ht="21.75" customHeight="1">
      <c r="A591" s="16"/>
      <c r="B591" s="30"/>
      <c r="C591" s="31"/>
      <c r="D591" s="10"/>
      <c r="E591" s="10"/>
      <c r="F591" s="32"/>
      <c r="G591" s="15" t="str">
        <f t="shared" si="45"/>
        <v/>
      </c>
      <c r="H591" s="15" t="str">
        <f t="shared" si="46"/>
        <v/>
      </c>
      <c r="I591" s="17" t="str">
        <f t="shared" si="47"/>
        <v/>
      </c>
      <c r="J591" s="15" t="str">
        <f t="shared" si="48"/>
        <v/>
      </c>
      <c r="K591" s="19" t="str">
        <f t="shared" si="49"/>
        <v/>
      </c>
      <c r="L591" s="33"/>
      <c r="M591" s="15" t="str">
        <f>IF(B591="","",SUMIF($B$6:B590,B591,$I$6:I590))</f>
        <v/>
      </c>
      <c r="N591" s="15" t="str">
        <f>IF(B591="","",SUMIF($B$6:B590,B591,$H$6:H590))</f>
        <v/>
      </c>
      <c r="O591" s="15" t="str">
        <f>IF(B591="","",COUNTIFS($B$6:B590,B591,$K$6:K590,"&lt;&gt;已记录"))</f>
        <v/>
      </c>
      <c r="P591" s="34"/>
    </row>
    <row r="592" spans="1:16" ht="21.75" customHeight="1">
      <c r="A592" s="16"/>
      <c r="B592" s="30"/>
      <c r="C592" s="31"/>
      <c r="D592" s="10"/>
      <c r="E592" s="10"/>
      <c r="F592" s="32"/>
      <c r="G592" s="15" t="str">
        <f t="shared" si="45"/>
        <v/>
      </c>
      <c r="H592" s="15" t="str">
        <f t="shared" si="46"/>
        <v/>
      </c>
      <c r="I592" s="17" t="str">
        <f t="shared" si="47"/>
        <v/>
      </c>
      <c r="J592" s="15" t="str">
        <f t="shared" si="48"/>
        <v/>
      </c>
      <c r="K592" s="19" t="str">
        <f t="shared" si="49"/>
        <v/>
      </c>
      <c r="L592" s="33"/>
      <c r="M592" s="15" t="str">
        <f>IF(B592="","",SUMIF($B$6:B591,B592,$I$6:I591))</f>
        <v/>
      </c>
      <c r="N592" s="15" t="str">
        <f>IF(B592="","",SUMIF($B$6:B591,B592,$H$6:H591))</f>
        <v/>
      </c>
      <c r="O592" s="15" t="str">
        <f>IF(B592="","",COUNTIFS($B$6:B591,B592,$K$6:K591,"&lt;&gt;已记录"))</f>
        <v/>
      </c>
      <c r="P592" s="34"/>
    </row>
    <row r="593" spans="1:16" ht="21.75" customHeight="1">
      <c r="A593" s="16"/>
      <c r="B593" s="30"/>
      <c r="C593" s="31"/>
      <c r="D593" s="10"/>
      <c r="E593" s="10"/>
      <c r="F593" s="32"/>
      <c r="G593" s="15" t="str">
        <f t="shared" si="45"/>
        <v/>
      </c>
      <c r="H593" s="15" t="str">
        <f t="shared" si="46"/>
        <v/>
      </c>
      <c r="I593" s="17" t="str">
        <f t="shared" si="47"/>
        <v/>
      </c>
      <c r="J593" s="15" t="str">
        <f t="shared" si="48"/>
        <v/>
      </c>
      <c r="K593" s="19" t="str">
        <f t="shared" si="49"/>
        <v/>
      </c>
      <c r="L593" s="33"/>
      <c r="M593" s="15" t="str">
        <f>IF(B593="","",SUMIF($B$6:B592,B593,$I$6:I592))</f>
        <v/>
      </c>
      <c r="N593" s="15" t="str">
        <f>IF(B593="","",SUMIF($B$6:B592,B593,$H$6:H592))</f>
        <v/>
      </c>
      <c r="O593" s="15" t="str">
        <f>IF(B593="","",COUNTIFS($B$6:B592,B593,$K$6:K592,"&lt;&gt;已记录"))</f>
        <v/>
      </c>
      <c r="P593" s="34"/>
    </row>
    <row r="594" spans="1:16" ht="21.75" customHeight="1">
      <c r="A594" s="16"/>
      <c r="B594" s="30"/>
      <c r="C594" s="31"/>
      <c r="D594" s="10"/>
      <c r="E594" s="10"/>
      <c r="F594" s="32"/>
      <c r="G594" s="15" t="str">
        <f t="shared" si="45"/>
        <v/>
      </c>
      <c r="H594" s="15" t="str">
        <f t="shared" si="46"/>
        <v/>
      </c>
      <c r="I594" s="17" t="str">
        <f t="shared" si="47"/>
        <v/>
      </c>
      <c r="J594" s="15" t="str">
        <f t="shared" si="48"/>
        <v/>
      </c>
      <c r="K594" s="19" t="str">
        <f t="shared" si="49"/>
        <v/>
      </c>
      <c r="L594" s="33"/>
      <c r="M594" s="15" t="str">
        <f>IF(B594="","",SUMIF($B$6:B593,B594,$I$6:I593))</f>
        <v/>
      </c>
      <c r="N594" s="15" t="str">
        <f>IF(B594="","",SUMIF($B$6:B593,B594,$H$6:H593))</f>
        <v/>
      </c>
      <c r="O594" s="15" t="str">
        <f>IF(B594="","",COUNTIFS($B$6:B593,B594,$K$6:K593,"&lt;&gt;已记录"))</f>
        <v/>
      </c>
      <c r="P594" s="34"/>
    </row>
    <row r="595" spans="1:16" ht="21.75" customHeight="1">
      <c r="A595" s="16"/>
      <c r="B595" s="30"/>
      <c r="C595" s="31"/>
      <c r="D595" s="10"/>
      <c r="E595" s="10"/>
      <c r="F595" s="32"/>
      <c r="G595" s="15" t="str">
        <f t="shared" si="45"/>
        <v/>
      </c>
      <c r="H595" s="15" t="str">
        <f t="shared" si="46"/>
        <v/>
      </c>
      <c r="I595" s="17" t="str">
        <f t="shared" si="47"/>
        <v/>
      </c>
      <c r="J595" s="15" t="str">
        <f t="shared" si="48"/>
        <v/>
      </c>
      <c r="K595" s="19" t="str">
        <f t="shared" si="49"/>
        <v/>
      </c>
      <c r="L595" s="33"/>
      <c r="M595" s="15" t="str">
        <f>IF(B595="","",SUMIF($B$6:B594,B595,$I$6:I594))</f>
        <v/>
      </c>
      <c r="N595" s="15" t="str">
        <f>IF(B595="","",SUMIF($B$6:B594,B595,$H$6:H594))</f>
        <v/>
      </c>
      <c r="O595" s="15" t="str">
        <f>IF(B595="","",COUNTIFS($B$6:B594,B595,$K$6:K594,"&lt;&gt;已记录"))</f>
        <v/>
      </c>
      <c r="P595" s="34"/>
    </row>
    <row r="596" spans="1:16" ht="21.75" customHeight="1">
      <c r="A596" s="16"/>
      <c r="B596" s="30"/>
      <c r="C596" s="31"/>
      <c r="D596" s="10"/>
      <c r="E596" s="10"/>
      <c r="F596" s="32"/>
      <c r="G596" s="15" t="str">
        <f t="shared" si="45"/>
        <v/>
      </c>
      <c r="H596" s="15" t="str">
        <f t="shared" si="46"/>
        <v/>
      </c>
      <c r="I596" s="17" t="str">
        <f t="shared" si="47"/>
        <v/>
      </c>
      <c r="J596" s="15" t="str">
        <f t="shared" si="48"/>
        <v/>
      </c>
      <c r="K596" s="19" t="str">
        <f t="shared" si="49"/>
        <v/>
      </c>
      <c r="L596" s="33"/>
      <c r="M596" s="15" t="str">
        <f>IF(B596="","",SUMIF($B$6:B595,B596,$I$6:I595))</f>
        <v/>
      </c>
      <c r="N596" s="15" t="str">
        <f>IF(B596="","",SUMIF($B$6:B595,B596,$H$6:H595))</f>
        <v/>
      </c>
      <c r="O596" s="15" t="str">
        <f>IF(B596="","",COUNTIFS($B$6:B595,B596,$K$6:K595,"&lt;&gt;已记录"))</f>
        <v/>
      </c>
      <c r="P596" s="34"/>
    </row>
    <row r="597" spans="1:16" ht="21.75" customHeight="1">
      <c r="A597" s="16"/>
      <c r="B597" s="30"/>
      <c r="C597" s="31"/>
      <c r="D597" s="10"/>
      <c r="E597" s="10"/>
      <c r="F597" s="32"/>
      <c r="G597" s="15" t="str">
        <f t="shared" si="45"/>
        <v/>
      </c>
      <c r="H597" s="15" t="str">
        <f t="shared" si="46"/>
        <v/>
      </c>
      <c r="I597" s="17" t="str">
        <f t="shared" si="47"/>
        <v/>
      </c>
      <c r="J597" s="15" t="str">
        <f t="shared" si="48"/>
        <v/>
      </c>
      <c r="K597" s="19" t="str">
        <f t="shared" si="49"/>
        <v/>
      </c>
      <c r="L597" s="33"/>
      <c r="M597" s="15" t="str">
        <f>IF(B597="","",SUMIF($B$6:B596,B597,$I$6:I596))</f>
        <v/>
      </c>
      <c r="N597" s="15" t="str">
        <f>IF(B597="","",SUMIF($B$6:B596,B597,$H$6:H596))</f>
        <v/>
      </c>
      <c r="O597" s="15" t="str">
        <f>IF(B597="","",COUNTIFS($B$6:B596,B597,$K$6:K596,"&lt;&gt;已记录"))</f>
        <v/>
      </c>
      <c r="P597" s="34"/>
    </row>
    <row r="598" spans="1:16" ht="21.75" customHeight="1">
      <c r="A598" s="16"/>
      <c r="B598" s="30"/>
      <c r="C598" s="31"/>
      <c r="D598" s="10"/>
      <c r="E598" s="10"/>
      <c r="F598" s="32"/>
      <c r="G598" s="15" t="str">
        <f t="shared" si="45"/>
        <v/>
      </c>
      <c r="H598" s="15" t="str">
        <f t="shared" si="46"/>
        <v/>
      </c>
      <c r="I598" s="17" t="str">
        <f t="shared" si="47"/>
        <v/>
      </c>
      <c r="J598" s="15" t="str">
        <f t="shared" si="48"/>
        <v/>
      </c>
      <c r="K598" s="19" t="str">
        <f t="shared" si="49"/>
        <v/>
      </c>
      <c r="L598" s="33"/>
      <c r="M598" s="15" t="str">
        <f>IF(B598="","",SUMIF($B$6:B597,B598,$I$6:I597))</f>
        <v/>
      </c>
      <c r="N598" s="15" t="str">
        <f>IF(B598="","",SUMIF($B$6:B597,B598,$H$6:H597))</f>
        <v/>
      </c>
      <c r="O598" s="15" t="str">
        <f>IF(B598="","",COUNTIFS($B$6:B597,B598,$K$6:K597,"&lt;&gt;已记录"))</f>
        <v/>
      </c>
      <c r="P598" s="34"/>
    </row>
    <row r="599" spans="1:16" ht="21.75" customHeight="1">
      <c r="A599" s="16"/>
      <c r="B599" s="30"/>
      <c r="C599" s="31"/>
      <c r="D599" s="10"/>
      <c r="E599" s="10"/>
      <c r="F599" s="32"/>
      <c r="G599" s="15" t="str">
        <f t="shared" si="45"/>
        <v/>
      </c>
      <c r="H599" s="15" t="str">
        <f t="shared" si="46"/>
        <v/>
      </c>
      <c r="I599" s="17" t="str">
        <f t="shared" si="47"/>
        <v/>
      </c>
      <c r="J599" s="15" t="str">
        <f t="shared" si="48"/>
        <v/>
      </c>
      <c r="K599" s="19" t="str">
        <f t="shared" si="49"/>
        <v/>
      </c>
      <c r="L599" s="33"/>
      <c r="M599" s="15" t="str">
        <f>IF(B599="","",SUMIF($B$6:B598,B599,$I$6:I598))</f>
        <v/>
      </c>
      <c r="N599" s="15" t="str">
        <f>IF(B599="","",SUMIF($B$6:B598,B599,$H$6:H598))</f>
        <v/>
      </c>
      <c r="O599" s="15" t="str">
        <f>IF(B599="","",COUNTIFS($B$6:B598,B599,$K$6:K598,"&lt;&gt;已记录"))</f>
        <v/>
      </c>
      <c r="P599" s="34"/>
    </row>
    <row r="600" spans="1:16" ht="21.75" customHeight="1">
      <c r="A600" s="16"/>
      <c r="B600" s="30"/>
      <c r="C600" s="31"/>
      <c r="D600" s="10"/>
      <c r="E600" s="10"/>
      <c r="F600" s="32"/>
      <c r="G600" s="15" t="str">
        <f t="shared" si="45"/>
        <v/>
      </c>
      <c r="H600" s="15" t="str">
        <f t="shared" si="46"/>
        <v/>
      </c>
      <c r="I600" s="17" t="str">
        <f t="shared" si="47"/>
        <v/>
      </c>
      <c r="J600" s="15" t="str">
        <f t="shared" si="48"/>
        <v/>
      </c>
      <c r="K600" s="19" t="str">
        <f t="shared" si="49"/>
        <v/>
      </c>
      <c r="L600" s="33"/>
      <c r="M600" s="15" t="str">
        <f>IF(B600="","",SUMIF($B$6:B599,B600,$I$6:I599))</f>
        <v/>
      </c>
      <c r="N600" s="15" t="str">
        <f>IF(B600="","",SUMIF($B$6:B599,B600,$H$6:H599))</f>
        <v/>
      </c>
      <c r="O600" s="15" t="str">
        <f>IF(B600="","",COUNTIFS($B$6:B599,B600,$K$6:K599,"&lt;&gt;已记录"))</f>
        <v/>
      </c>
      <c r="P600" s="34"/>
    </row>
    <row r="601" spans="1:16" ht="21.75" customHeight="1">
      <c r="A601" s="16"/>
      <c r="B601" s="30"/>
      <c r="C601" s="31"/>
      <c r="D601" s="10"/>
      <c r="E601" s="10"/>
      <c r="F601" s="32"/>
      <c r="G601" s="15" t="str">
        <f t="shared" si="45"/>
        <v/>
      </c>
      <c r="H601" s="15" t="str">
        <f t="shared" si="46"/>
        <v/>
      </c>
      <c r="I601" s="17" t="str">
        <f t="shared" si="47"/>
        <v/>
      </c>
      <c r="J601" s="15" t="str">
        <f t="shared" si="48"/>
        <v/>
      </c>
      <c r="K601" s="19" t="str">
        <f t="shared" si="49"/>
        <v/>
      </c>
      <c r="L601" s="33"/>
      <c r="M601" s="15" t="str">
        <f>IF(B601="","",SUMIF($B$6:B600,B601,$I$6:I600))</f>
        <v/>
      </c>
      <c r="N601" s="15" t="str">
        <f>IF(B601="","",SUMIF($B$6:B600,B601,$H$6:H600))</f>
        <v/>
      </c>
      <c r="O601" s="15" t="str">
        <f>IF(B601="","",COUNTIFS($B$6:B600,B601,$K$6:K600,"&lt;&gt;已记录"))</f>
        <v/>
      </c>
      <c r="P601" s="34"/>
    </row>
    <row r="602" spans="1:16" ht="21.75" customHeight="1">
      <c r="A602" s="16"/>
      <c r="B602" s="30"/>
      <c r="C602" s="31"/>
      <c r="D602" s="10"/>
      <c r="E602" s="10"/>
      <c r="F602" s="32"/>
      <c r="G602" s="15" t="str">
        <f t="shared" si="45"/>
        <v/>
      </c>
      <c r="H602" s="15" t="str">
        <f t="shared" si="46"/>
        <v/>
      </c>
      <c r="I602" s="17" t="str">
        <f t="shared" si="47"/>
        <v/>
      </c>
      <c r="J602" s="15" t="str">
        <f t="shared" si="48"/>
        <v/>
      </c>
      <c r="K602" s="19" t="str">
        <f t="shared" si="49"/>
        <v/>
      </c>
      <c r="L602" s="33"/>
      <c r="M602" s="15" t="str">
        <f>IF(B602="","",SUMIF($B$6:B601,B602,$I$6:I601))</f>
        <v/>
      </c>
      <c r="N602" s="15" t="str">
        <f>IF(B602="","",SUMIF($B$6:B601,B602,$H$6:H601))</f>
        <v/>
      </c>
      <c r="O602" s="15" t="str">
        <f>IF(B602="","",COUNTIFS($B$6:B601,B602,$K$6:K601,"&lt;&gt;已记录"))</f>
        <v/>
      </c>
      <c r="P602" s="34"/>
    </row>
    <row r="603" spans="1:16" ht="21.75" customHeight="1">
      <c r="A603" s="16"/>
      <c r="B603" s="30"/>
      <c r="C603" s="31"/>
      <c r="D603" s="10"/>
      <c r="E603" s="10"/>
      <c r="F603" s="32"/>
      <c r="G603" s="15" t="str">
        <f t="shared" si="45"/>
        <v/>
      </c>
      <c r="H603" s="15" t="str">
        <f t="shared" si="46"/>
        <v/>
      </c>
      <c r="I603" s="17" t="str">
        <f t="shared" si="47"/>
        <v/>
      </c>
      <c r="J603" s="15" t="str">
        <f t="shared" si="48"/>
        <v/>
      </c>
      <c r="K603" s="19" t="str">
        <f t="shared" si="49"/>
        <v/>
      </c>
      <c r="L603" s="33"/>
      <c r="M603" s="15" t="str">
        <f>IF(B603="","",SUMIF($B$6:B602,B603,$I$6:I602))</f>
        <v/>
      </c>
      <c r="N603" s="15" t="str">
        <f>IF(B603="","",SUMIF($B$6:B602,B603,$H$6:H602))</f>
        <v/>
      </c>
      <c r="O603" s="15" t="str">
        <f>IF(B603="","",COUNTIFS($B$6:B602,B603,$K$6:K602,"&lt;&gt;已记录"))</f>
        <v/>
      </c>
      <c r="P603" s="34"/>
    </row>
    <row r="604" spans="1:16" ht="21.75" customHeight="1">
      <c r="A604" s="16"/>
      <c r="B604" s="30"/>
      <c r="C604" s="31"/>
      <c r="D604" s="10"/>
      <c r="E604" s="10"/>
      <c r="F604" s="32"/>
      <c r="G604" s="15" t="str">
        <f t="shared" si="45"/>
        <v/>
      </c>
      <c r="H604" s="15" t="str">
        <f t="shared" si="46"/>
        <v/>
      </c>
      <c r="I604" s="17" t="str">
        <f t="shared" si="47"/>
        <v/>
      </c>
      <c r="J604" s="15" t="str">
        <f t="shared" si="48"/>
        <v/>
      </c>
      <c r="K604" s="19" t="str">
        <f t="shared" si="49"/>
        <v/>
      </c>
      <c r="L604" s="33"/>
      <c r="M604" s="15" t="str">
        <f>IF(B604="","",SUMIF($B$6:B603,B604,$I$6:I603))</f>
        <v/>
      </c>
      <c r="N604" s="15" t="str">
        <f>IF(B604="","",SUMIF($B$6:B603,B604,$H$6:H603))</f>
        <v/>
      </c>
      <c r="O604" s="15" t="str">
        <f>IF(B604="","",COUNTIFS($B$6:B603,B604,$K$6:K603,"&lt;&gt;已记录"))</f>
        <v/>
      </c>
      <c r="P604" s="34"/>
    </row>
    <row r="605" spans="1:16" ht="21.75" customHeight="1">
      <c r="A605" s="16"/>
      <c r="B605" s="30"/>
      <c r="C605" s="31"/>
      <c r="D605" s="10"/>
      <c r="E605" s="10"/>
      <c r="F605" s="32"/>
      <c r="G605" s="15" t="str">
        <f t="shared" si="45"/>
        <v/>
      </c>
      <c r="H605" s="15" t="str">
        <f t="shared" si="46"/>
        <v/>
      </c>
      <c r="I605" s="17" t="str">
        <f t="shared" si="47"/>
        <v/>
      </c>
      <c r="J605" s="15" t="str">
        <f t="shared" si="48"/>
        <v/>
      </c>
      <c r="K605" s="19" t="str">
        <f t="shared" si="49"/>
        <v/>
      </c>
      <c r="L605" s="33"/>
      <c r="M605" s="15" t="str">
        <f>IF(B605="","",SUMIF($B$6:B604,B605,$I$6:I604))</f>
        <v/>
      </c>
      <c r="N605" s="15" t="str">
        <f>IF(B605="","",SUMIF($B$6:B604,B605,$H$6:H604))</f>
        <v/>
      </c>
      <c r="O605" s="15" t="str">
        <f>IF(B605="","",COUNTIFS($B$6:B604,B605,$K$6:K604,"&lt;&gt;已记录"))</f>
        <v/>
      </c>
      <c r="P605" s="34"/>
    </row>
  </sheetData>
  <autoFilter ref="A5:P605" xr:uid="{00000000-0009-0000-0000-000003000000}"/>
  <mergeCells count="2">
    <mergeCell ref="A1:L2"/>
    <mergeCell ref="A3:L3"/>
  </mergeCells>
  <phoneticPr fontId="29" type="noConversion"/>
  <conditionalFormatting sqref="J6:J605">
    <cfRule type="cellIs" dxfId="6" priority="3" operator="lessThan">
      <formula>0</formula>
    </cfRule>
    <cfRule type="cellIs" dxfId="5" priority="4" operator="greaterThan">
      <formula>0</formula>
    </cfRule>
  </conditionalFormatting>
  <conditionalFormatting sqref="K6:K605">
    <cfRule type="notContainsText" dxfId="4" priority="2" operator="notContains" text="已记录">
      <formula>ISERROR(SEARCH("已记录",K6))</formula>
    </cfRule>
  </conditionalFormatting>
  <dataValidations count="4">
    <dataValidation type="list" allowBlank="1" showInputMessage="1" showErrorMessage="1" sqref="B6:B605" xr:uid="{00000000-0002-0000-0300-000000000000}">
      <formula1>"VOO,QQQM,SMH"</formula1>
      <formula2>0</formula2>
    </dataValidation>
    <dataValidation type="list" allowBlank="1" showInputMessage="1" showErrorMessage="1" sqref="C6:C605" xr:uid="{00000000-0002-0000-0300-000001000000}">
      <formula1>"买入,卖出"</formula1>
      <formula2>0</formula2>
    </dataValidation>
    <dataValidation type="decimal" operator="greaterThanOrEqual" allowBlank="1" showInputMessage="1" showErrorMessage="1" sqref="D6:F605" xr:uid="{00000000-0002-0000-0300-000002000000}">
      <formula1>0</formula1>
      <formula2>0</formula2>
    </dataValidation>
    <dataValidation type="list" allowBlank="1" showErrorMessage="1" errorTitle="请选择列表值" error="请使用下拉列表中的值。" sqref="P6:P605" xr:uid="{00000000-0002-0000-0300-000003000000}">
      <formula1>"定投,分红再投,其他"</formula1>
      <formula2>0</formula2>
    </dataValidation>
  </dataValidations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7E8B"/>
    <pageSetUpPr fitToPage="1"/>
  </sheetPr>
  <dimension ref="A1:N24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4" sqref="H14"/>
    </sheetView>
  </sheetViews>
  <sheetFormatPr defaultColWidth="8.59765625" defaultRowHeight="13.5"/>
  <cols>
    <col min="1" max="1" width="15" customWidth="1"/>
    <col min="2" max="2" width="20" customWidth="1"/>
    <col min="3" max="3" width="21" customWidth="1"/>
    <col min="4" max="4" width="12" customWidth="1"/>
    <col min="5" max="5" width="17" customWidth="1"/>
    <col min="6" max="6" width="21" customWidth="1"/>
    <col min="7" max="7" width="12" customWidth="1"/>
    <col min="8" max="8" width="18" customWidth="1"/>
    <col min="9" max="9" width="13" customWidth="1"/>
    <col min="10" max="10" width="15" customWidth="1"/>
    <col min="11" max="11" width="18" customWidth="1"/>
    <col min="12" max="12" width="20" customWidth="1"/>
    <col min="13" max="13" width="30" customWidth="1"/>
    <col min="14" max="14" width="40" customWidth="1"/>
  </cols>
  <sheetData>
    <row r="1" spans="1:14" ht="25.5" customHeight="1">
      <c r="A1" s="8" t="s">
        <v>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45" customHeight="1">
      <c r="A3" s="7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5" spans="1:14" ht="42" customHeight="1">
      <c r="A5" s="23" t="s">
        <v>93</v>
      </c>
      <c r="B5" s="23" t="s">
        <v>94</v>
      </c>
      <c r="C5" s="23" t="s">
        <v>95</v>
      </c>
      <c r="D5" s="23" t="s">
        <v>96</v>
      </c>
      <c r="E5" s="23" t="s">
        <v>97</v>
      </c>
      <c r="F5" s="23" t="s">
        <v>98</v>
      </c>
      <c r="G5" s="23" t="s">
        <v>99</v>
      </c>
      <c r="H5" s="23" t="s">
        <v>100</v>
      </c>
      <c r="I5" s="23" t="s">
        <v>101</v>
      </c>
      <c r="J5" s="23" t="s">
        <v>102</v>
      </c>
      <c r="K5" s="23" t="s">
        <v>103</v>
      </c>
      <c r="L5" s="23" t="s">
        <v>104</v>
      </c>
      <c r="M5" s="23" t="s">
        <v>84</v>
      </c>
      <c r="N5" s="23" t="s">
        <v>60</v>
      </c>
    </row>
    <row r="6" spans="1:14" ht="28.5" customHeight="1">
      <c r="A6" s="26">
        <v>46253</v>
      </c>
      <c r="B6" s="28">
        <v>1</v>
      </c>
      <c r="C6" s="34" t="s">
        <v>105</v>
      </c>
      <c r="D6" s="28" t="s">
        <v>106</v>
      </c>
      <c r="E6" s="22">
        <v>5000</v>
      </c>
      <c r="F6" s="34" t="s">
        <v>107</v>
      </c>
      <c r="G6" s="28" t="s">
        <v>108</v>
      </c>
      <c r="H6" s="22">
        <v>5786.19</v>
      </c>
      <c r="I6" s="28" t="s">
        <v>106</v>
      </c>
      <c r="J6" s="22">
        <v>0</v>
      </c>
      <c r="K6" s="35">
        <f t="shared" ref="K6:K69" si="0">IF(OR(E6="",H6="",H6&lt;=0),"",E6/H6)</f>
        <v>0.86412648046469276</v>
      </c>
      <c r="L6" s="21">
        <f t="shared" ref="L6:L69" si="1">IF(AND(ISNUMBER(A6),OR(F6="嘉信证券",F6="嘉信入金中转"),C6&lt;&gt;"嘉信证券",G6="USD",ISNUMBER(H6),H6&gt;0),H6,0)</f>
        <v>0</v>
      </c>
      <c r="M6" s="20" t="str">
        <f t="shared" ref="M6:M69" si="2">IF(COUNTA(A6:J6)=0,"",IF(OR(A6="",C6="",D6="",E6="",F6="",G6="",H6=""),"待补换汇信息",IF(OR(E6&lt;=0,H6&lt;=0,J6&lt;0,D6=G6,AND(J6&gt;0,I6="")),"请检查币种／金额／费用","已记录")))</f>
        <v>已记录</v>
      </c>
      <c r="N6" s="34" t="s">
        <v>109</v>
      </c>
    </row>
    <row r="7" spans="1:14" ht="28.5" customHeight="1">
      <c r="A7" s="26">
        <v>46257</v>
      </c>
      <c r="B7" s="28">
        <v>2</v>
      </c>
      <c r="C7" s="34" t="s">
        <v>105</v>
      </c>
      <c r="D7" s="28" t="s">
        <v>106</v>
      </c>
      <c r="E7" s="22">
        <v>5000</v>
      </c>
      <c r="F7" s="34" t="s">
        <v>107</v>
      </c>
      <c r="G7" s="28" t="s">
        <v>108</v>
      </c>
      <c r="H7" s="22">
        <v>5820.12</v>
      </c>
      <c r="I7" s="28" t="s">
        <v>106</v>
      </c>
      <c r="J7" s="22">
        <v>0</v>
      </c>
      <c r="K7" s="35">
        <f t="shared" si="0"/>
        <v>0.85908881603815734</v>
      </c>
      <c r="L7" s="21">
        <f t="shared" si="1"/>
        <v>0</v>
      </c>
      <c r="M7" s="20" t="str">
        <f t="shared" si="2"/>
        <v>已记录</v>
      </c>
      <c r="N7" s="34" t="s">
        <v>109</v>
      </c>
    </row>
    <row r="8" spans="1:14" ht="28.5" customHeight="1">
      <c r="A8" s="26">
        <v>46269</v>
      </c>
      <c r="B8" s="28">
        <v>3</v>
      </c>
      <c r="C8" s="34" t="s">
        <v>105</v>
      </c>
      <c r="D8" s="28" t="s">
        <v>106</v>
      </c>
      <c r="E8" s="22">
        <v>10000</v>
      </c>
      <c r="F8" s="34" t="s">
        <v>107</v>
      </c>
      <c r="G8" s="28" t="s">
        <v>108</v>
      </c>
      <c r="H8" s="22">
        <v>11666</v>
      </c>
      <c r="I8" s="28" t="s">
        <v>106</v>
      </c>
      <c r="J8" s="22">
        <v>0</v>
      </c>
      <c r="K8" s="35">
        <f t="shared" si="0"/>
        <v>0.85719183953368761</v>
      </c>
      <c r="L8" s="21">
        <f t="shared" si="1"/>
        <v>0</v>
      </c>
      <c r="M8" s="20" t="str">
        <f t="shared" si="2"/>
        <v>已记录</v>
      </c>
      <c r="N8" s="34" t="s">
        <v>109</v>
      </c>
    </row>
    <row r="9" spans="1:14" ht="28.5" customHeight="1">
      <c r="A9" s="26">
        <v>46273</v>
      </c>
      <c r="B9" s="28">
        <v>4</v>
      </c>
      <c r="C9" s="34" t="s">
        <v>107</v>
      </c>
      <c r="D9" s="28" t="s">
        <v>108</v>
      </c>
      <c r="E9" s="22">
        <v>100</v>
      </c>
      <c r="F9" s="34" t="s">
        <v>110</v>
      </c>
      <c r="G9" s="28" t="s">
        <v>111</v>
      </c>
      <c r="H9" s="22">
        <v>12.73</v>
      </c>
      <c r="I9" s="28" t="s">
        <v>106</v>
      </c>
      <c r="J9" s="22">
        <v>0</v>
      </c>
      <c r="K9" s="35">
        <f t="shared" si="0"/>
        <v>7.8554595443833461</v>
      </c>
      <c r="L9" s="21">
        <f t="shared" si="1"/>
        <v>12.73</v>
      </c>
      <c r="M9" s="20" t="str">
        <f t="shared" si="2"/>
        <v>已记录</v>
      </c>
      <c r="N9" s="36"/>
    </row>
    <row r="10" spans="1:14" ht="28.5" customHeight="1">
      <c r="A10" s="26">
        <v>46274</v>
      </c>
      <c r="B10" s="28">
        <v>5</v>
      </c>
      <c r="C10" s="34" t="s">
        <v>107</v>
      </c>
      <c r="D10" s="28" t="s">
        <v>108</v>
      </c>
      <c r="E10" s="22">
        <v>10000</v>
      </c>
      <c r="F10" s="34" t="s">
        <v>110</v>
      </c>
      <c r="G10" s="28" t="s">
        <v>111</v>
      </c>
      <c r="H10" s="22">
        <v>1273.18</v>
      </c>
      <c r="I10" s="28" t="s">
        <v>106</v>
      </c>
      <c r="J10" s="22">
        <v>0</v>
      </c>
      <c r="K10" s="35">
        <f t="shared" si="0"/>
        <v>7.8543489530152844</v>
      </c>
      <c r="L10" s="21">
        <f t="shared" si="1"/>
        <v>1273.18</v>
      </c>
      <c r="M10" s="20" t="str">
        <f t="shared" si="2"/>
        <v>已记录</v>
      </c>
      <c r="N10" s="36"/>
    </row>
    <row r="11" spans="1:14" ht="28.5" customHeight="1">
      <c r="A11" s="26">
        <v>46278</v>
      </c>
      <c r="B11" s="28">
        <v>6</v>
      </c>
      <c r="C11" s="34" t="s">
        <v>105</v>
      </c>
      <c r="D11" s="28" t="s">
        <v>106</v>
      </c>
      <c r="E11" s="22">
        <v>10000</v>
      </c>
      <c r="F11" s="34" t="s">
        <v>107</v>
      </c>
      <c r="G11" s="28" t="s">
        <v>108</v>
      </c>
      <c r="H11" s="22">
        <v>11678.15</v>
      </c>
      <c r="I11" s="28" t="s">
        <v>106</v>
      </c>
      <c r="J11" s="22">
        <v>0</v>
      </c>
      <c r="K11" s="35">
        <f t="shared" si="0"/>
        <v>0.85630001327265026</v>
      </c>
      <c r="L11" s="21">
        <f t="shared" si="1"/>
        <v>0</v>
      </c>
      <c r="M11" s="20" t="str">
        <f t="shared" si="2"/>
        <v>已记录</v>
      </c>
      <c r="N11" s="34" t="s">
        <v>112</v>
      </c>
    </row>
    <row r="12" spans="1:14" ht="28.5" customHeight="1">
      <c r="A12" s="26">
        <v>46289</v>
      </c>
      <c r="B12" s="28">
        <v>7</v>
      </c>
      <c r="C12" s="34" t="s">
        <v>105</v>
      </c>
      <c r="D12" s="28" t="s">
        <v>106</v>
      </c>
      <c r="E12" s="22">
        <v>5000</v>
      </c>
      <c r="F12" s="34" t="s">
        <v>107</v>
      </c>
      <c r="G12" s="28" t="s">
        <v>108</v>
      </c>
      <c r="H12" s="22">
        <v>5834.85</v>
      </c>
      <c r="I12" s="28" t="s">
        <v>106</v>
      </c>
      <c r="J12" s="22">
        <v>0</v>
      </c>
      <c r="K12" s="35">
        <f t="shared" si="0"/>
        <v>0.85692005792779591</v>
      </c>
      <c r="L12" s="21">
        <f t="shared" si="1"/>
        <v>0</v>
      </c>
      <c r="M12" s="20" t="str">
        <f t="shared" si="2"/>
        <v>已记录</v>
      </c>
      <c r="N12" s="34" t="s">
        <v>112</v>
      </c>
    </row>
    <row r="13" spans="1:14" ht="28.5" customHeight="1">
      <c r="A13" s="26">
        <v>46289</v>
      </c>
      <c r="B13" s="28">
        <v>8</v>
      </c>
      <c r="C13" s="34" t="s">
        <v>105</v>
      </c>
      <c r="D13" s="28" t="s">
        <v>106</v>
      </c>
      <c r="E13" s="22">
        <v>5000</v>
      </c>
      <c r="F13" s="34" t="s">
        <v>107</v>
      </c>
      <c r="G13" s="28" t="s">
        <v>108</v>
      </c>
      <c r="H13" s="22">
        <v>5835.33</v>
      </c>
      <c r="I13" s="28" t="s">
        <v>106</v>
      </c>
      <c r="J13" s="22">
        <v>0</v>
      </c>
      <c r="K13" s="35">
        <f t="shared" si="0"/>
        <v>0.85684956977583104</v>
      </c>
      <c r="L13" s="21">
        <f t="shared" si="1"/>
        <v>0</v>
      </c>
      <c r="M13" s="20" t="str">
        <f t="shared" si="2"/>
        <v>已记录</v>
      </c>
      <c r="N13" s="34" t="s">
        <v>112</v>
      </c>
    </row>
    <row r="14" spans="1:14" ht="28.5" customHeight="1">
      <c r="A14" s="26">
        <v>46300</v>
      </c>
      <c r="B14" s="28">
        <v>9</v>
      </c>
      <c r="C14" s="34" t="s">
        <v>107</v>
      </c>
      <c r="D14" s="28" t="s">
        <v>108</v>
      </c>
      <c r="E14" s="22">
        <v>8000</v>
      </c>
      <c r="F14" s="34" t="s">
        <v>110</v>
      </c>
      <c r="G14" s="28" t="s">
        <v>111</v>
      </c>
      <c r="H14" s="22">
        <v>1017.89</v>
      </c>
      <c r="I14" s="28" t="s">
        <v>106</v>
      </c>
      <c r="J14" s="22">
        <v>0</v>
      </c>
      <c r="K14" s="35">
        <f t="shared" si="0"/>
        <v>7.859395416007624</v>
      </c>
      <c r="L14" s="21">
        <f t="shared" si="1"/>
        <v>1017.89</v>
      </c>
      <c r="M14" s="20" t="str">
        <f t="shared" si="2"/>
        <v>已记录</v>
      </c>
      <c r="N14" s="28"/>
    </row>
    <row r="15" spans="1:14" ht="28.5" customHeight="1">
      <c r="A15" s="26"/>
      <c r="B15" s="28"/>
      <c r="C15" s="34"/>
      <c r="D15" s="28"/>
      <c r="E15" s="22"/>
      <c r="F15" s="34"/>
      <c r="G15" s="28"/>
      <c r="H15" s="22"/>
      <c r="I15" s="28"/>
      <c r="J15" s="22"/>
      <c r="K15" s="35" t="str">
        <f t="shared" si="0"/>
        <v/>
      </c>
      <c r="L15" s="21">
        <f t="shared" si="1"/>
        <v>0</v>
      </c>
      <c r="M15" s="20" t="str">
        <f t="shared" si="2"/>
        <v/>
      </c>
      <c r="N15" s="28"/>
    </row>
    <row r="16" spans="1:14" ht="28.5" customHeight="1">
      <c r="A16" s="26"/>
      <c r="B16" s="28"/>
      <c r="C16" s="34"/>
      <c r="D16" s="28"/>
      <c r="E16" s="22"/>
      <c r="F16" s="34"/>
      <c r="G16" s="28"/>
      <c r="H16" s="22"/>
      <c r="I16" s="28"/>
      <c r="J16" s="22"/>
      <c r="K16" s="35" t="str">
        <f t="shared" si="0"/>
        <v/>
      </c>
      <c r="L16" s="21">
        <f t="shared" si="1"/>
        <v>0</v>
      </c>
      <c r="M16" s="20" t="str">
        <f t="shared" si="2"/>
        <v/>
      </c>
      <c r="N16" s="28"/>
    </row>
    <row r="17" spans="1:14" ht="28.5" customHeight="1">
      <c r="A17" s="26"/>
      <c r="B17" s="28"/>
      <c r="C17" s="34"/>
      <c r="D17" s="28"/>
      <c r="E17" s="22"/>
      <c r="F17" s="34"/>
      <c r="G17" s="28"/>
      <c r="H17" s="22"/>
      <c r="I17" s="28"/>
      <c r="J17" s="22"/>
      <c r="K17" s="35" t="str">
        <f t="shared" si="0"/>
        <v/>
      </c>
      <c r="L17" s="21">
        <f t="shared" si="1"/>
        <v>0</v>
      </c>
      <c r="M17" s="20" t="str">
        <f t="shared" si="2"/>
        <v/>
      </c>
      <c r="N17" s="28"/>
    </row>
    <row r="18" spans="1:14" ht="28.5" customHeight="1">
      <c r="A18" s="26"/>
      <c r="B18" s="28"/>
      <c r="C18" s="34"/>
      <c r="D18" s="28"/>
      <c r="E18" s="22"/>
      <c r="F18" s="34"/>
      <c r="G18" s="28"/>
      <c r="H18" s="22"/>
      <c r="I18" s="28"/>
      <c r="J18" s="22"/>
      <c r="K18" s="35" t="str">
        <f t="shared" si="0"/>
        <v/>
      </c>
      <c r="L18" s="21">
        <f t="shared" si="1"/>
        <v>0</v>
      </c>
      <c r="M18" s="20" t="str">
        <f t="shared" si="2"/>
        <v/>
      </c>
      <c r="N18" s="28"/>
    </row>
    <row r="19" spans="1:14" ht="28.5" customHeight="1">
      <c r="A19" s="26"/>
      <c r="B19" s="28"/>
      <c r="C19" s="34"/>
      <c r="D19" s="28"/>
      <c r="E19" s="22"/>
      <c r="F19" s="34"/>
      <c r="G19" s="28"/>
      <c r="H19" s="22"/>
      <c r="I19" s="28"/>
      <c r="J19" s="22"/>
      <c r="K19" s="35" t="str">
        <f t="shared" si="0"/>
        <v/>
      </c>
      <c r="L19" s="21">
        <f t="shared" si="1"/>
        <v>0</v>
      </c>
      <c r="M19" s="20" t="str">
        <f t="shared" si="2"/>
        <v/>
      </c>
      <c r="N19" s="28"/>
    </row>
    <row r="20" spans="1:14" ht="28.5" customHeight="1">
      <c r="A20" s="26"/>
      <c r="B20" s="28"/>
      <c r="C20" s="34"/>
      <c r="D20" s="28"/>
      <c r="E20" s="22"/>
      <c r="F20" s="34"/>
      <c r="G20" s="28"/>
      <c r="H20" s="22"/>
      <c r="I20" s="28"/>
      <c r="J20" s="22"/>
      <c r="K20" s="35" t="str">
        <f t="shared" si="0"/>
        <v/>
      </c>
      <c r="L20" s="21">
        <f t="shared" si="1"/>
        <v>0</v>
      </c>
      <c r="M20" s="20" t="str">
        <f t="shared" si="2"/>
        <v/>
      </c>
      <c r="N20" s="28"/>
    </row>
    <row r="21" spans="1:14" ht="28.5" customHeight="1">
      <c r="A21" s="26"/>
      <c r="B21" s="28"/>
      <c r="C21" s="34"/>
      <c r="D21" s="28"/>
      <c r="E21" s="22"/>
      <c r="F21" s="34"/>
      <c r="G21" s="28"/>
      <c r="H21" s="22"/>
      <c r="I21" s="28"/>
      <c r="J21" s="22"/>
      <c r="K21" s="35" t="str">
        <f t="shared" si="0"/>
        <v/>
      </c>
      <c r="L21" s="21">
        <f t="shared" si="1"/>
        <v>0</v>
      </c>
      <c r="M21" s="20" t="str">
        <f t="shared" si="2"/>
        <v/>
      </c>
      <c r="N21" s="28"/>
    </row>
    <row r="22" spans="1:14" ht="28.5" customHeight="1">
      <c r="A22" s="26"/>
      <c r="B22" s="28"/>
      <c r="C22" s="34"/>
      <c r="D22" s="28"/>
      <c r="E22" s="22"/>
      <c r="F22" s="34"/>
      <c r="G22" s="28"/>
      <c r="H22" s="22"/>
      <c r="I22" s="28"/>
      <c r="J22" s="22"/>
      <c r="K22" s="35" t="str">
        <f t="shared" si="0"/>
        <v/>
      </c>
      <c r="L22" s="21">
        <f t="shared" si="1"/>
        <v>0</v>
      </c>
      <c r="M22" s="20" t="str">
        <f t="shared" si="2"/>
        <v/>
      </c>
      <c r="N22" s="28"/>
    </row>
    <row r="23" spans="1:14" ht="28.5" customHeight="1">
      <c r="A23" s="26"/>
      <c r="B23" s="28"/>
      <c r="C23" s="34"/>
      <c r="D23" s="28"/>
      <c r="E23" s="22"/>
      <c r="F23" s="34"/>
      <c r="G23" s="28"/>
      <c r="H23" s="22"/>
      <c r="I23" s="28"/>
      <c r="J23" s="22"/>
      <c r="K23" s="35" t="str">
        <f t="shared" si="0"/>
        <v/>
      </c>
      <c r="L23" s="21">
        <f t="shared" si="1"/>
        <v>0</v>
      </c>
      <c r="M23" s="20" t="str">
        <f t="shared" si="2"/>
        <v/>
      </c>
      <c r="N23" s="28"/>
    </row>
    <row r="24" spans="1:14" ht="28.5" customHeight="1">
      <c r="A24" s="26"/>
      <c r="B24" s="28"/>
      <c r="C24" s="34"/>
      <c r="D24" s="28"/>
      <c r="E24" s="22"/>
      <c r="F24" s="34"/>
      <c r="G24" s="28"/>
      <c r="H24" s="22"/>
      <c r="I24" s="28"/>
      <c r="J24" s="22"/>
      <c r="K24" s="35" t="str">
        <f t="shared" si="0"/>
        <v/>
      </c>
      <c r="L24" s="21">
        <f t="shared" si="1"/>
        <v>0</v>
      </c>
      <c r="M24" s="20" t="str">
        <f t="shared" si="2"/>
        <v/>
      </c>
      <c r="N24" s="28"/>
    </row>
    <row r="25" spans="1:14" ht="28.5" customHeight="1">
      <c r="A25" s="26"/>
      <c r="B25" s="28"/>
      <c r="C25" s="34"/>
      <c r="D25" s="28"/>
      <c r="E25" s="22"/>
      <c r="F25" s="34"/>
      <c r="G25" s="28"/>
      <c r="H25" s="22"/>
      <c r="I25" s="28"/>
      <c r="J25" s="22"/>
      <c r="K25" s="35" t="str">
        <f t="shared" si="0"/>
        <v/>
      </c>
      <c r="L25" s="21">
        <f t="shared" si="1"/>
        <v>0</v>
      </c>
      <c r="M25" s="20" t="str">
        <f t="shared" si="2"/>
        <v/>
      </c>
      <c r="N25" s="28"/>
    </row>
    <row r="26" spans="1:14" ht="28.5" customHeight="1">
      <c r="A26" s="26"/>
      <c r="B26" s="28"/>
      <c r="C26" s="34"/>
      <c r="D26" s="28"/>
      <c r="E26" s="22"/>
      <c r="F26" s="34"/>
      <c r="G26" s="28"/>
      <c r="H26" s="22"/>
      <c r="I26" s="28"/>
      <c r="J26" s="22"/>
      <c r="K26" s="35" t="str">
        <f t="shared" si="0"/>
        <v/>
      </c>
      <c r="L26" s="21">
        <f t="shared" si="1"/>
        <v>0</v>
      </c>
      <c r="M26" s="20" t="str">
        <f t="shared" si="2"/>
        <v/>
      </c>
      <c r="N26" s="28"/>
    </row>
    <row r="27" spans="1:14" ht="28.5" customHeight="1">
      <c r="A27" s="26"/>
      <c r="B27" s="28"/>
      <c r="C27" s="34"/>
      <c r="D27" s="28"/>
      <c r="E27" s="22"/>
      <c r="F27" s="34"/>
      <c r="G27" s="28"/>
      <c r="H27" s="22"/>
      <c r="I27" s="28"/>
      <c r="J27" s="22"/>
      <c r="K27" s="35" t="str">
        <f t="shared" si="0"/>
        <v/>
      </c>
      <c r="L27" s="21">
        <f t="shared" si="1"/>
        <v>0</v>
      </c>
      <c r="M27" s="20" t="str">
        <f t="shared" si="2"/>
        <v/>
      </c>
      <c r="N27" s="28"/>
    </row>
    <row r="28" spans="1:14" ht="28.5" customHeight="1">
      <c r="A28" s="26"/>
      <c r="B28" s="28"/>
      <c r="C28" s="34"/>
      <c r="D28" s="28"/>
      <c r="E28" s="22"/>
      <c r="F28" s="34"/>
      <c r="G28" s="28"/>
      <c r="H28" s="22"/>
      <c r="I28" s="28"/>
      <c r="J28" s="22"/>
      <c r="K28" s="35" t="str">
        <f t="shared" si="0"/>
        <v/>
      </c>
      <c r="L28" s="21">
        <f t="shared" si="1"/>
        <v>0</v>
      </c>
      <c r="M28" s="20" t="str">
        <f t="shared" si="2"/>
        <v/>
      </c>
      <c r="N28" s="28"/>
    </row>
    <row r="29" spans="1:14" ht="28.5" customHeight="1">
      <c r="A29" s="26"/>
      <c r="B29" s="28"/>
      <c r="C29" s="34"/>
      <c r="D29" s="28"/>
      <c r="E29" s="22"/>
      <c r="F29" s="34"/>
      <c r="G29" s="28"/>
      <c r="H29" s="22"/>
      <c r="I29" s="28"/>
      <c r="J29" s="22"/>
      <c r="K29" s="35" t="str">
        <f t="shared" si="0"/>
        <v/>
      </c>
      <c r="L29" s="21">
        <f t="shared" si="1"/>
        <v>0</v>
      </c>
      <c r="M29" s="20" t="str">
        <f t="shared" si="2"/>
        <v/>
      </c>
      <c r="N29" s="28"/>
    </row>
    <row r="30" spans="1:14" ht="28.5" customHeight="1">
      <c r="A30" s="26"/>
      <c r="B30" s="28"/>
      <c r="C30" s="34"/>
      <c r="D30" s="28"/>
      <c r="E30" s="22"/>
      <c r="F30" s="34"/>
      <c r="G30" s="28"/>
      <c r="H30" s="22"/>
      <c r="I30" s="28"/>
      <c r="J30" s="22"/>
      <c r="K30" s="35" t="str">
        <f t="shared" si="0"/>
        <v/>
      </c>
      <c r="L30" s="21">
        <f t="shared" si="1"/>
        <v>0</v>
      </c>
      <c r="M30" s="20" t="str">
        <f t="shared" si="2"/>
        <v/>
      </c>
      <c r="N30" s="28"/>
    </row>
    <row r="31" spans="1:14" ht="28.5" customHeight="1">
      <c r="A31" s="26"/>
      <c r="B31" s="28"/>
      <c r="C31" s="34"/>
      <c r="D31" s="28"/>
      <c r="E31" s="22"/>
      <c r="F31" s="34"/>
      <c r="G31" s="28"/>
      <c r="H31" s="22"/>
      <c r="I31" s="28"/>
      <c r="J31" s="22"/>
      <c r="K31" s="35" t="str">
        <f t="shared" si="0"/>
        <v/>
      </c>
      <c r="L31" s="21">
        <f t="shared" si="1"/>
        <v>0</v>
      </c>
      <c r="M31" s="20" t="str">
        <f t="shared" si="2"/>
        <v/>
      </c>
      <c r="N31" s="28"/>
    </row>
    <row r="32" spans="1:14" ht="28.5" customHeight="1">
      <c r="A32" s="26"/>
      <c r="B32" s="28"/>
      <c r="C32" s="34"/>
      <c r="D32" s="28"/>
      <c r="E32" s="22"/>
      <c r="F32" s="34"/>
      <c r="G32" s="28"/>
      <c r="H32" s="22"/>
      <c r="I32" s="28"/>
      <c r="J32" s="22"/>
      <c r="K32" s="35" t="str">
        <f t="shared" si="0"/>
        <v/>
      </c>
      <c r="L32" s="21">
        <f t="shared" si="1"/>
        <v>0</v>
      </c>
      <c r="M32" s="20" t="str">
        <f t="shared" si="2"/>
        <v/>
      </c>
      <c r="N32" s="28"/>
    </row>
    <row r="33" spans="1:14" ht="28.5" customHeight="1">
      <c r="A33" s="26"/>
      <c r="B33" s="28"/>
      <c r="C33" s="34"/>
      <c r="D33" s="28"/>
      <c r="E33" s="22"/>
      <c r="F33" s="34"/>
      <c r="G33" s="28"/>
      <c r="H33" s="22"/>
      <c r="I33" s="28"/>
      <c r="J33" s="22"/>
      <c r="K33" s="35" t="str">
        <f t="shared" si="0"/>
        <v/>
      </c>
      <c r="L33" s="21">
        <f t="shared" si="1"/>
        <v>0</v>
      </c>
      <c r="M33" s="20" t="str">
        <f t="shared" si="2"/>
        <v/>
      </c>
      <c r="N33" s="28"/>
    </row>
    <row r="34" spans="1:14" ht="28.5" customHeight="1">
      <c r="A34" s="26"/>
      <c r="B34" s="28"/>
      <c r="C34" s="34"/>
      <c r="D34" s="28"/>
      <c r="E34" s="22"/>
      <c r="F34" s="34"/>
      <c r="G34" s="28"/>
      <c r="H34" s="22"/>
      <c r="I34" s="28"/>
      <c r="J34" s="22"/>
      <c r="K34" s="35" t="str">
        <f t="shared" si="0"/>
        <v/>
      </c>
      <c r="L34" s="21">
        <f t="shared" si="1"/>
        <v>0</v>
      </c>
      <c r="M34" s="20" t="str">
        <f t="shared" si="2"/>
        <v/>
      </c>
      <c r="N34" s="28"/>
    </row>
    <row r="35" spans="1:14" ht="28.5" customHeight="1">
      <c r="A35" s="26"/>
      <c r="B35" s="28"/>
      <c r="C35" s="34"/>
      <c r="D35" s="28"/>
      <c r="E35" s="22"/>
      <c r="F35" s="34"/>
      <c r="G35" s="28"/>
      <c r="H35" s="22"/>
      <c r="I35" s="28"/>
      <c r="J35" s="22"/>
      <c r="K35" s="35" t="str">
        <f t="shared" si="0"/>
        <v/>
      </c>
      <c r="L35" s="21">
        <f t="shared" si="1"/>
        <v>0</v>
      </c>
      <c r="M35" s="20" t="str">
        <f t="shared" si="2"/>
        <v/>
      </c>
      <c r="N35" s="28"/>
    </row>
    <row r="36" spans="1:14" ht="28.5" customHeight="1">
      <c r="A36" s="26"/>
      <c r="B36" s="28"/>
      <c r="C36" s="34"/>
      <c r="D36" s="28"/>
      <c r="E36" s="22"/>
      <c r="F36" s="34"/>
      <c r="G36" s="28"/>
      <c r="H36" s="22"/>
      <c r="I36" s="28"/>
      <c r="J36" s="22"/>
      <c r="K36" s="35" t="str">
        <f t="shared" si="0"/>
        <v/>
      </c>
      <c r="L36" s="21">
        <f t="shared" si="1"/>
        <v>0</v>
      </c>
      <c r="M36" s="20" t="str">
        <f t="shared" si="2"/>
        <v/>
      </c>
      <c r="N36" s="28"/>
    </row>
    <row r="37" spans="1:14" ht="28.5" customHeight="1">
      <c r="A37" s="26"/>
      <c r="B37" s="28"/>
      <c r="C37" s="34"/>
      <c r="D37" s="28"/>
      <c r="E37" s="22"/>
      <c r="F37" s="34"/>
      <c r="G37" s="28"/>
      <c r="H37" s="22"/>
      <c r="I37" s="28"/>
      <c r="J37" s="22"/>
      <c r="K37" s="35" t="str">
        <f t="shared" si="0"/>
        <v/>
      </c>
      <c r="L37" s="21">
        <f t="shared" si="1"/>
        <v>0</v>
      </c>
      <c r="M37" s="20" t="str">
        <f t="shared" si="2"/>
        <v/>
      </c>
      <c r="N37" s="28"/>
    </row>
    <row r="38" spans="1:14" ht="28.5" customHeight="1">
      <c r="A38" s="26"/>
      <c r="B38" s="28"/>
      <c r="C38" s="34"/>
      <c r="D38" s="28"/>
      <c r="E38" s="22"/>
      <c r="F38" s="34"/>
      <c r="G38" s="28"/>
      <c r="H38" s="22"/>
      <c r="I38" s="28"/>
      <c r="J38" s="22"/>
      <c r="K38" s="35" t="str">
        <f t="shared" si="0"/>
        <v/>
      </c>
      <c r="L38" s="21">
        <f t="shared" si="1"/>
        <v>0</v>
      </c>
      <c r="M38" s="20" t="str">
        <f t="shared" si="2"/>
        <v/>
      </c>
      <c r="N38" s="28"/>
    </row>
    <row r="39" spans="1:14" ht="28.5" customHeight="1">
      <c r="A39" s="26"/>
      <c r="B39" s="28"/>
      <c r="C39" s="34"/>
      <c r="D39" s="28"/>
      <c r="E39" s="22"/>
      <c r="F39" s="34"/>
      <c r="G39" s="28"/>
      <c r="H39" s="22"/>
      <c r="I39" s="28"/>
      <c r="J39" s="22"/>
      <c r="K39" s="35" t="str">
        <f t="shared" si="0"/>
        <v/>
      </c>
      <c r="L39" s="21">
        <f t="shared" si="1"/>
        <v>0</v>
      </c>
      <c r="M39" s="20" t="str">
        <f t="shared" si="2"/>
        <v/>
      </c>
      <c r="N39" s="28"/>
    </row>
    <row r="40" spans="1:14" ht="28.5" customHeight="1">
      <c r="A40" s="26"/>
      <c r="B40" s="28"/>
      <c r="C40" s="34"/>
      <c r="D40" s="28"/>
      <c r="E40" s="22"/>
      <c r="F40" s="34"/>
      <c r="G40" s="28"/>
      <c r="H40" s="22"/>
      <c r="I40" s="28"/>
      <c r="J40" s="22"/>
      <c r="K40" s="35" t="str">
        <f t="shared" si="0"/>
        <v/>
      </c>
      <c r="L40" s="21">
        <f t="shared" si="1"/>
        <v>0</v>
      </c>
      <c r="M40" s="20" t="str">
        <f t="shared" si="2"/>
        <v/>
      </c>
      <c r="N40" s="28"/>
    </row>
    <row r="41" spans="1:14" ht="28.5" customHeight="1">
      <c r="A41" s="26"/>
      <c r="B41" s="28"/>
      <c r="C41" s="34"/>
      <c r="D41" s="28"/>
      <c r="E41" s="22"/>
      <c r="F41" s="34"/>
      <c r="G41" s="28"/>
      <c r="H41" s="22"/>
      <c r="I41" s="28"/>
      <c r="J41" s="22"/>
      <c r="K41" s="35" t="str">
        <f t="shared" si="0"/>
        <v/>
      </c>
      <c r="L41" s="21">
        <f t="shared" si="1"/>
        <v>0</v>
      </c>
      <c r="M41" s="20" t="str">
        <f t="shared" si="2"/>
        <v/>
      </c>
      <c r="N41" s="28"/>
    </row>
    <row r="42" spans="1:14" ht="28.5" customHeight="1">
      <c r="A42" s="26"/>
      <c r="B42" s="28"/>
      <c r="C42" s="34"/>
      <c r="D42" s="28"/>
      <c r="E42" s="22"/>
      <c r="F42" s="34"/>
      <c r="G42" s="28"/>
      <c r="H42" s="22"/>
      <c r="I42" s="28"/>
      <c r="J42" s="22"/>
      <c r="K42" s="35" t="str">
        <f t="shared" si="0"/>
        <v/>
      </c>
      <c r="L42" s="21">
        <f t="shared" si="1"/>
        <v>0</v>
      </c>
      <c r="M42" s="20" t="str">
        <f t="shared" si="2"/>
        <v/>
      </c>
      <c r="N42" s="28"/>
    </row>
    <row r="43" spans="1:14" ht="28.5" customHeight="1">
      <c r="A43" s="26"/>
      <c r="B43" s="28"/>
      <c r="C43" s="34"/>
      <c r="D43" s="28"/>
      <c r="E43" s="22"/>
      <c r="F43" s="34"/>
      <c r="G43" s="28"/>
      <c r="H43" s="22"/>
      <c r="I43" s="28"/>
      <c r="J43" s="22"/>
      <c r="K43" s="35" t="str">
        <f t="shared" si="0"/>
        <v/>
      </c>
      <c r="L43" s="21">
        <f t="shared" si="1"/>
        <v>0</v>
      </c>
      <c r="M43" s="20" t="str">
        <f t="shared" si="2"/>
        <v/>
      </c>
      <c r="N43" s="28"/>
    </row>
    <row r="44" spans="1:14" ht="28.5" customHeight="1">
      <c r="A44" s="26"/>
      <c r="B44" s="28"/>
      <c r="C44" s="34"/>
      <c r="D44" s="28"/>
      <c r="E44" s="22"/>
      <c r="F44" s="34"/>
      <c r="G44" s="28"/>
      <c r="H44" s="22"/>
      <c r="I44" s="28"/>
      <c r="J44" s="22"/>
      <c r="K44" s="35" t="str">
        <f t="shared" si="0"/>
        <v/>
      </c>
      <c r="L44" s="21">
        <f t="shared" si="1"/>
        <v>0</v>
      </c>
      <c r="M44" s="20" t="str">
        <f t="shared" si="2"/>
        <v/>
      </c>
      <c r="N44" s="28"/>
    </row>
    <row r="45" spans="1:14" ht="28.5" customHeight="1">
      <c r="A45" s="26"/>
      <c r="B45" s="28"/>
      <c r="C45" s="34"/>
      <c r="D45" s="28"/>
      <c r="E45" s="22"/>
      <c r="F45" s="34"/>
      <c r="G45" s="28"/>
      <c r="H45" s="22"/>
      <c r="I45" s="28"/>
      <c r="J45" s="22"/>
      <c r="K45" s="35" t="str">
        <f t="shared" si="0"/>
        <v/>
      </c>
      <c r="L45" s="21">
        <f t="shared" si="1"/>
        <v>0</v>
      </c>
      <c r="M45" s="20" t="str">
        <f t="shared" si="2"/>
        <v/>
      </c>
      <c r="N45" s="28"/>
    </row>
    <row r="46" spans="1:14" ht="28.5" customHeight="1">
      <c r="A46" s="26"/>
      <c r="B46" s="28"/>
      <c r="C46" s="34"/>
      <c r="D46" s="28"/>
      <c r="E46" s="22"/>
      <c r="F46" s="34"/>
      <c r="G46" s="28"/>
      <c r="H46" s="22"/>
      <c r="I46" s="28"/>
      <c r="J46" s="22"/>
      <c r="K46" s="35" t="str">
        <f t="shared" si="0"/>
        <v/>
      </c>
      <c r="L46" s="21">
        <f t="shared" si="1"/>
        <v>0</v>
      </c>
      <c r="M46" s="20" t="str">
        <f t="shared" si="2"/>
        <v/>
      </c>
      <c r="N46" s="28"/>
    </row>
    <row r="47" spans="1:14" ht="28.5" customHeight="1">
      <c r="A47" s="26"/>
      <c r="B47" s="28"/>
      <c r="C47" s="34"/>
      <c r="D47" s="28"/>
      <c r="E47" s="22"/>
      <c r="F47" s="34"/>
      <c r="G47" s="28"/>
      <c r="H47" s="22"/>
      <c r="I47" s="28"/>
      <c r="J47" s="22"/>
      <c r="K47" s="35" t="str">
        <f t="shared" si="0"/>
        <v/>
      </c>
      <c r="L47" s="21">
        <f t="shared" si="1"/>
        <v>0</v>
      </c>
      <c r="M47" s="20" t="str">
        <f t="shared" si="2"/>
        <v/>
      </c>
      <c r="N47" s="28"/>
    </row>
    <row r="48" spans="1:14" ht="28.5" customHeight="1">
      <c r="A48" s="26"/>
      <c r="B48" s="28"/>
      <c r="C48" s="34"/>
      <c r="D48" s="28"/>
      <c r="E48" s="22"/>
      <c r="F48" s="34"/>
      <c r="G48" s="28"/>
      <c r="H48" s="22"/>
      <c r="I48" s="28"/>
      <c r="J48" s="22"/>
      <c r="K48" s="35" t="str">
        <f t="shared" si="0"/>
        <v/>
      </c>
      <c r="L48" s="21">
        <f t="shared" si="1"/>
        <v>0</v>
      </c>
      <c r="M48" s="20" t="str">
        <f t="shared" si="2"/>
        <v/>
      </c>
      <c r="N48" s="28"/>
    </row>
    <row r="49" spans="1:14" ht="28.5" customHeight="1">
      <c r="A49" s="26"/>
      <c r="B49" s="28"/>
      <c r="C49" s="34"/>
      <c r="D49" s="28"/>
      <c r="E49" s="22"/>
      <c r="F49" s="34"/>
      <c r="G49" s="28"/>
      <c r="H49" s="22"/>
      <c r="I49" s="28"/>
      <c r="J49" s="22"/>
      <c r="K49" s="35" t="str">
        <f t="shared" si="0"/>
        <v/>
      </c>
      <c r="L49" s="21">
        <f t="shared" si="1"/>
        <v>0</v>
      </c>
      <c r="M49" s="20" t="str">
        <f t="shared" si="2"/>
        <v/>
      </c>
      <c r="N49" s="28"/>
    </row>
    <row r="50" spans="1:14" ht="28.5" customHeight="1">
      <c r="A50" s="26"/>
      <c r="B50" s="28"/>
      <c r="C50" s="34"/>
      <c r="D50" s="28"/>
      <c r="E50" s="22"/>
      <c r="F50" s="34"/>
      <c r="G50" s="28"/>
      <c r="H50" s="22"/>
      <c r="I50" s="28"/>
      <c r="J50" s="22"/>
      <c r="K50" s="35" t="str">
        <f t="shared" si="0"/>
        <v/>
      </c>
      <c r="L50" s="21">
        <f t="shared" si="1"/>
        <v>0</v>
      </c>
      <c r="M50" s="20" t="str">
        <f t="shared" si="2"/>
        <v/>
      </c>
      <c r="N50" s="28"/>
    </row>
    <row r="51" spans="1:14" ht="28.5" customHeight="1">
      <c r="A51" s="26"/>
      <c r="B51" s="28"/>
      <c r="C51" s="34"/>
      <c r="D51" s="28"/>
      <c r="E51" s="22"/>
      <c r="F51" s="34"/>
      <c r="G51" s="28"/>
      <c r="H51" s="22"/>
      <c r="I51" s="28"/>
      <c r="J51" s="22"/>
      <c r="K51" s="35" t="str">
        <f t="shared" si="0"/>
        <v/>
      </c>
      <c r="L51" s="21">
        <f t="shared" si="1"/>
        <v>0</v>
      </c>
      <c r="M51" s="20" t="str">
        <f t="shared" si="2"/>
        <v/>
      </c>
      <c r="N51" s="28"/>
    </row>
    <row r="52" spans="1:14" ht="28.5" customHeight="1">
      <c r="A52" s="26"/>
      <c r="B52" s="28"/>
      <c r="C52" s="34"/>
      <c r="D52" s="28"/>
      <c r="E52" s="22"/>
      <c r="F52" s="34"/>
      <c r="G52" s="28"/>
      <c r="H52" s="22"/>
      <c r="I52" s="28"/>
      <c r="J52" s="22"/>
      <c r="K52" s="35" t="str">
        <f t="shared" si="0"/>
        <v/>
      </c>
      <c r="L52" s="21">
        <f t="shared" si="1"/>
        <v>0</v>
      </c>
      <c r="M52" s="20" t="str">
        <f t="shared" si="2"/>
        <v/>
      </c>
      <c r="N52" s="28"/>
    </row>
    <row r="53" spans="1:14" ht="28.5" customHeight="1">
      <c r="A53" s="26"/>
      <c r="B53" s="28"/>
      <c r="C53" s="34"/>
      <c r="D53" s="28"/>
      <c r="E53" s="22"/>
      <c r="F53" s="34"/>
      <c r="G53" s="28"/>
      <c r="H53" s="22"/>
      <c r="I53" s="28"/>
      <c r="J53" s="22"/>
      <c r="K53" s="35" t="str">
        <f t="shared" si="0"/>
        <v/>
      </c>
      <c r="L53" s="21">
        <f t="shared" si="1"/>
        <v>0</v>
      </c>
      <c r="M53" s="20" t="str">
        <f t="shared" si="2"/>
        <v/>
      </c>
      <c r="N53" s="28"/>
    </row>
    <row r="54" spans="1:14" ht="28.5" customHeight="1">
      <c r="A54" s="26"/>
      <c r="B54" s="28"/>
      <c r="C54" s="34"/>
      <c r="D54" s="28"/>
      <c r="E54" s="22"/>
      <c r="F54" s="34"/>
      <c r="G54" s="28"/>
      <c r="H54" s="22"/>
      <c r="I54" s="28"/>
      <c r="J54" s="22"/>
      <c r="K54" s="35" t="str">
        <f t="shared" si="0"/>
        <v/>
      </c>
      <c r="L54" s="21">
        <f t="shared" si="1"/>
        <v>0</v>
      </c>
      <c r="M54" s="20" t="str">
        <f t="shared" si="2"/>
        <v/>
      </c>
      <c r="N54" s="28"/>
    </row>
    <row r="55" spans="1:14" ht="28.5" customHeight="1">
      <c r="A55" s="26"/>
      <c r="B55" s="28"/>
      <c r="C55" s="34"/>
      <c r="D55" s="28"/>
      <c r="E55" s="22"/>
      <c r="F55" s="34"/>
      <c r="G55" s="28"/>
      <c r="H55" s="22"/>
      <c r="I55" s="28"/>
      <c r="J55" s="22"/>
      <c r="K55" s="35" t="str">
        <f t="shared" si="0"/>
        <v/>
      </c>
      <c r="L55" s="21">
        <f t="shared" si="1"/>
        <v>0</v>
      </c>
      <c r="M55" s="20" t="str">
        <f t="shared" si="2"/>
        <v/>
      </c>
      <c r="N55" s="28"/>
    </row>
    <row r="56" spans="1:14" ht="28.5" customHeight="1">
      <c r="A56" s="26"/>
      <c r="B56" s="28"/>
      <c r="C56" s="34"/>
      <c r="D56" s="28"/>
      <c r="E56" s="22"/>
      <c r="F56" s="34"/>
      <c r="G56" s="28"/>
      <c r="H56" s="22"/>
      <c r="I56" s="28"/>
      <c r="J56" s="22"/>
      <c r="K56" s="35" t="str">
        <f t="shared" si="0"/>
        <v/>
      </c>
      <c r="L56" s="21">
        <f t="shared" si="1"/>
        <v>0</v>
      </c>
      <c r="M56" s="20" t="str">
        <f t="shared" si="2"/>
        <v/>
      </c>
      <c r="N56" s="28"/>
    </row>
    <row r="57" spans="1:14" ht="28.5" customHeight="1">
      <c r="A57" s="26"/>
      <c r="B57" s="28"/>
      <c r="C57" s="34"/>
      <c r="D57" s="28"/>
      <c r="E57" s="22"/>
      <c r="F57" s="34"/>
      <c r="G57" s="28"/>
      <c r="H57" s="22"/>
      <c r="I57" s="28"/>
      <c r="J57" s="22"/>
      <c r="K57" s="35" t="str">
        <f t="shared" si="0"/>
        <v/>
      </c>
      <c r="L57" s="21">
        <f t="shared" si="1"/>
        <v>0</v>
      </c>
      <c r="M57" s="20" t="str">
        <f t="shared" si="2"/>
        <v/>
      </c>
      <c r="N57" s="28"/>
    </row>
    <row r="58" spans="1:14" ht="28.5" customHeight="1">
      <c r="A58" s="26"/>
      <c r="B58" s="28"/>
      <c r="C58" s="34"/>
      <c r="D58" s="28"/>
      <c r="E58" s="22"/>
      <c r="F58" s="34"/>
      <c r="G58" s="28"/>
      <c r="H58" s="22"/>
      <c r="I58" s="28"/>
      <c r="J58" s="22"/>
      <c r="K58" s="35" t="str">
        <f t="shared" si="0"/>
        <v/>
      </c>
      <c r="L58" s="21">
        <f t="shared" si="1"/>
        <v>0</v>
      </c>
      <c r="M58" s="20" t="str">
        <f t="shared" si="2"/>
        <v/>
      </c>
      <c r="N58" s="28"/>
    </row>
    <row r="59" spans="1:14" ht="28.5" customHeight="1">
      <c r="A59" s="26"/>
      <c r="B59" s="28"/>
      <c r="C59" s="34"/>
      <c r="D59" s="28"/>
      <c r="E59" s="22"/>
      <c r="F59" s="34"/>
      <c r="G59" s="28"/>
      <c r="H59" s="22"/>
      <c r="I59" s="28"/>
      <c r="J59" s="22"/>
      <c r="K59" s="35" t="str">
        <f t="shared" si="0"/>
        <v/>
      </c>
      <c r="L59" s="21">
        <f t="shared" si="1"/>
        <v>0</v>
      </c>
      <c r="M59" s="20" t="str">
        <f t="shared" si="2"/>
        <v/>
      </c>
      <c r="N59" s="28"/>
    </row>
    <row r="60" spans="1:14" ht="28.5" customHeight="1">
      <c r="A60" s="26"/>
      <c r="B60" s="28"/>
      <c r="C60" s="34"/>
      <c r="D60" s="28"/>
      <c r="E60" s="22"/>
      <c r="F60" s="34"/>
      <c r="G60" s="28"/>
      <c r="H60" s="22"/>
      <c r="I60" s="28"/>
      <c r="J60" s="22"/>
      <c r="K60" s="35" t="str">
        <f t="shared" si="0"/>
        <v/>
      </c>
      <c r="L60" s="21">
        <f t="shared" si="1"/>
        <v>0</v>
      </c>
      <c r="M60" s="20" t="str">
        <f t="shared" si="2"/>
        <v/>
      </c>
      <c r="N60" s="28"/>
    </row>
    <row r="61" spans="1:14" ht="28.5" customHeight="1">
      <c r="A61" s="26"/>
      <c r="B61" s="28"/>
      <c r="C61" s="34"/>
      <c r="D61" s="28"/>
      <c r="E61" s="22"/>
      <c r="F61" s="34"/>
      <c r="G61" s="28"/>
      <c r="H61" s="22"/>
      <c r="I61" s="28"/>
      <c r="J61" s="22"/>
      <c r="K61" s="35" t="str">
        <f t="shared" si="0"/>
        <v/>
      </c>
      <c r="L61" s="21">
        <f t="shared" si="1"/>
        <v>0</v>
      </c>
      <c r="M61" s="20" t="str">
        <f t="shared" si="2"/>
        <v/>
      </c>
      <c r="N61" s="28"/>
    </row>
    <row r="62" spans="1:14" ht="28.5" customHeight="1">
      <c r="A62" s="26"/>
      <c r="B62" s="28"/>
      <c r="C62" s="34"/>
      <c r="D62" s="28"/>
      <c r="E62" s="22"/>
      <c r="F62" s="34"/>
      <c r="G62" s="28"/>
      <c r="H62" s="22"/>
      <c r="I62" s="28"/>
      <c r="J62" s="22"/>
      <c r="K62" s="35" t="str">
        <f t="shared" si="0"/>
        <v/>
      </c>
      <c r="L62" s="21">
        <f t="shared" si="1"/>
        <v>0</v>
      </c>
      <c r="M62" s="20" t="str">
        <f t="shared" si="2"/>
        <v/>
      </c>
      <c r="N62" s="28"/>
    </row>
    <row r="63" spans="1:14" ht="28.5" customHeight="1">
      <c r="A63" s="26"/>
      <c r="B63" s="28"/>
      <c r="C63" s="34"/>
      <c r="D63" s="28"/>
      <c r="E63" s="22"/>
      <c r="F63" s="34"/>
      <c r="G63" s="28"/>
      <c r="H63" s="22"/>
      <c r="I63" s="28"/>
      <c r="J63" s="22"/>
      <c r="K63" s="35" t="str">
        <f t="shared" si="0"/>
        <v/>
      </c>
      <c r="L63" s="21">
        <f t="shared" si="1"/>
        <v>0</v>
      </c>
      <c r="M63" s="20" t="str">
        <f t="shared" si="2"/>
        <v/>
      </c>
      <c r="N63" s="28"/>
    </row>
    <row r="64" spans="1:14" ht="28.5" customHeight="1">
      <c r="A64" s="26"/>
      <c r="B64" s="28"/>
      <c r="C64" s="34"/>
      <c r="D64" s="28"/>
      <c r="E64" s="22"/>
      <c r="F64" s="34"/>
      <c r="G64" s="28"/>
      <c r="H64" s="22"/>
      <c r="I64" s="28"/>
      <c r="J64" s="22"/>
      <c r="K64" s="35" t="str">
        <f t="shared" si="0"/>
        <v/>
      </c>
      <c r="L64" s="21">
        <f t="shared" si="1"/>
        <v>0</v>
      </c>
      <c r="M64" s="20" t="str">
        <f t="shared" si="2"/>
        <v/>
      </c>
      <c r="N64" s="28"/>
    </row>
    <row r="65" spans="1:14" ht="28.5" customHeight="1">
      <c r="A65" s="26"/>
      <c r="B65" s="28"/>
      <c r="C65" s="34"/>
      <c r="D65" s="28"/>
      <c r="E65" s="22"/>
      <c r="F65" s="34"/>
      <c r="G65" s="28"/>
      <c r="H65" s="22"/>
      <c r="I65" s="28"/>
      <c r="J65" s="22"/>
      <c r="K65" s="35" t="str">
        <f t="shared" si="0"/>
        <v/>
      </c>
      <c r="L65" s="21">
        <f t="shared" si="1"/>
        <v>0</v>
      </c>
      <c r="M65" s="20" t="str">
        <f t="shared" si="2"/>
        <v/>
      </c>
      <c r="N65" s="28"/>
    </row>
    <row r="66" spans="1:14" ht="28.5" customHeight="1">
      <c r="A66" s="26"/>
      <c r="B66" s="28"/>
      <c r="C66" s="34"/>
      <c r="D66" s="28"/>
      <c r="E66" s="22"/>
      <c r="F66" s="34"/>
      <c r="G66" s="28"/>
      <c r="H66" s="22"/>
      <c r="I66" s="28"/>
      <c r="J66" s="22"/>
      <c r="K66" s="35" t="str">
        <f t="shared" si="0"/>
        <v/>
      </c>
      <c r="L66" s="21">
        <f t="shared" si="1"/>
        <v>0</v>
      </c>
      <c r="M66" s="20" t="str">
        <f t="shared" si="2"/>
        <v/>
      </c>
      <c r="N66" s="28"/>
    </row>
    <row r="67" spans="1:14" ht="28.5" customHeight="1">
      <c r="A67" s="26"/>
      <c r="B67" s="28"/>
      <c r="C67" s="34"/>
      <c r="D67" s="28"/>
      <c r="E67" s="22"/>
      <c r="F67" s="34"/>
      <c r="G67" s="28"/>
      <c r="H67" s="22"/>
      <c r="I67" s="28"/>
      <c r="J67" s="22"/>
      <c r="K67" s="35" t="str">
        <f t="shared" si="0"/>
        <v/>
      </c>
      <c r="L67" s="21">
        <f t="shared" si="1"/>
        <v>0</v>
      </c>
      <c r="M67" s="20" t="str">
        <f t="shared" si="2"/>
        <v/>
      </c>
      <c r="N67" s="28"/>
    </row>
    <row r="68" spans="1:14" ht="28.5" customHeight="1">
      <c r="A68" s="26"/>
      <c r="B68" s="28"/>
      <c r="C68" s="34"/>
      <c r="D68" s="28"/>
      <c r="E68" s="22"/>
      <c r="F68" s="34"/>
      <c r="G68" s="28"/>
      <c r="H68" s="22"/>
      <c r="I68" s="28"/>
      <c r="J68" s="22"/>
      <c r="K68" s="35" t="str">
        <f t="shared" si="0"/>
        <v/>
      </c>
      <c r="L68" s="21">
        <f t="shared" si="1"/>
        <v>0</v>
      </c>
      <c r="M68" s="20" t="str">
        <f t="shared" si="2"/>
        <v/>
      </c>
      <c r="N68" s="28"/>
    </row>
    <row r="69" spans="1:14" ht="28.5" customHeight="1">
      <c r="A69" s="26"/>
      <c r="B69" s="28"/>
      <c r="C69" s="34"/>
      <c r="D69" s="28"/>
      <c r="E69" s="22"/>
      <c r="F69" s="34"/>
      <c r="G69" s="28"/>
      <c r="H69" s="22"/>
      <c r="I69" s="28"/>
      <c r="J69" s="22"/>
      <c r="K69" s="35" t="str">
        <f t="shared" si="0"/>
        <v/>
      </c>
      <c r="L69" s="21">
        <f t="shared" si="1"/>
        <v>0</v>
      </c>
      <c r="M69" s="20" t="str">
        <f t="shared" si="2"/>
        <v/>
      </c>
      <c r="N69" s="28"/>
    </row>
    <row r="70" spans="1:14" ht="28.5" customHeight="1">
      <c r="A70" s="26"/>
      <c r="B70" s="28"/>
      <c r="C70" s="34"/>
      <c r="D70" s="28"/>
      <c r="E70" s="22"/>
      <c r="F70" s="34"/>
      <c r="G70" s="28"/>
      <c r="H70" s="22"/>
      <c r="I70" s="28"/>
      <c r="J70" s="22"/>
      <c r="K70" s="35" t="str">
        <f t="shared" ref="K70:K133" si="3">IF(OR(E70="",H70="",H70&lt;=0),"",E70/H70)</f>
        <v/>
      </c>
      <c r="L70" s="21">
        <f t="shared" ref="L70:L133" si="4">IF(AND(ISNUMBER(A70),OR(F70="嘉信证券",F70="嘉信入金中转"),C70&lt;&gt;"嘉信证券",G70="USD",ISNUMBER(H70),H70&gt;0),H70,0)</f>
        <v>0</v>
      </c>
      <c r="M70" s="20" t="str">
        <f t="shared" ref="M70:M133" si="5">IF(COUNTA(A70:J70)=0,"",IF(OR(A70="",C70="",D70="",E70="",F70="",G70="",H70=""),"待补换汇信息",IF(OR(E70&lt;=0,H70&lt;=0,J70&lt;0,D70=G70,AND(J70&gt;0,I70="")),"请检查币种／金额／费用","已记录")))</f>
        <v/>
      </c>
      <c r="N70" s="28"/>
    </row>
    <row r="71" spans="1:14" ht="28.5" customHeight="1">
      <c r="A71" s="26"/>
      <c r="B71" s="28"/>
      <c r="C71" s="34"/>
      <c r="D71" s="28"/>
      <c r="E71" s="22"/>
      <c r="F71" s="34"/>
      <c r="G71" s="28"/>
      <c r="H71" s="22"/>
      <c r="I71" s="28"/>
      <c r="J71" s="22"/>
      <c r="K71" s="35" t="str">
        <f t="shared" si="3"/>
        <v/>
      </c>
      <c r="L71" s="21">
        <f t="shared" si="4"/>
        <v>0</v>
      </c>
      <c r="M71" s="20" t="str">
        <f t="shared" si="5"/>
        <v/>
      </c>
      <c r="N71" s="28"/>
    </row>
    <row r="72" spans="1:14" ht="28.5" customHeight="1">
      <c r="A72" s="26"/>
      <c r="B72" s="28"/>
      <c r="C72" s="34"/>
      <c r="D72" s="28"/>
      <c r="E72" s="22"/>
      <c r="F72" s="34"/>
      <c r="G72" s="28"/>
      <c r="H72" s="22"/>
      <c r="I72" s="28"/>
      <c r="J72" s="22"/>
      <c r="K72" s="35" t="str">
        <f t="shared" si="3"/>
        <v/>
      </c>
      <c r="L72" s="21">
        <f t="shared" si="4"/>
        <v>0</v>
      </c>
      <c r="M72" s="20" t="str">
        <f t="shared" si="5"/>
        <v/>
      </c>
      <c r="N72" s="28"/>
    </row>
    <row r="73" spans="1:14" ht="28.5" customHeight="1">
      <c r="A73" s="26"/>
      <c r="B73" s="28"/>
      <c r="C73" s="34"/>
      <c r="D73" s="28"/>
      <c r="E73" s="22"/>
      <c r="F73" s="34"/>
      <c r="G73" s="28"/>
      <c r="H73" s="22"/>
      <c r="I73" s="28"/>
      <c r="J73" s="22"/>
      <c r="K73" s="35" t="str">
        <f t="shared" si="3"/>
        <v/>
      </c>
      <c r="L73" s="21">
        <f t="shared" si="4"/>
        <v>0</v>
      </c>
      <c r="M73" s="20" t="str">
        <f t="shared" si="5"/>
        <v/>
      </c>
      <c r="N73" s="28"/>
    </row>
    <row r="74" spans="1:14" ht="28.5" customHeight="1">
      <c r="A74" s="26"/>
      <c r="B74" s="28"/>
      <c r="C74" s="34"/>
      <c r="D74" s="28"/>
      <c r="E74" s="22"/>
      <c r="F74" s="34"/>
      <c r="G74" s="28"/>
      <c r="H74" s="22"/>
      <c r="I74" s="28"/>
      <c r="J74" s="22"/>
      <c r="K74" s="35" t="str">
        <f t="shared" si="3"/>
        <v/>
      </c>
      <c r="L74" s="21">
        <f t="shared" si="4"/>
        <v>0</v>
      </c>
      <c r="M74" s="20" t="str">
        <f t="shared" si="5"/>
        <v/>
      </c>
      <c r="N74" s="28"/>
    </row>
    <row r="75" spans="1:14" ht="28.5" customHeight="1">
      <c r="A75" s="26"/>
      <c r="B75" s="28"/>
      <c r="C75" s="34"/>
      <c r="D75" s="28"/>
      <c r="E75" s="22"/>
      <c r="F75" s="34"/>
      <c r="G75" s="28"/>
      <c r="H75" s="22"/>
      <c r="I75" s="28"/>
      <c r="J75" s="22"/>
      <c r="K75" s="35" t="str">
        <f t="shared" si="3"/>
        <v/>
      </c>
      <c r="L75" s="21">
        <f t="shared" si="4"/>
        <v>0</v>
      </c>
      <c r="M75" s="20" t="str">
        <f t="shared" si="5"/>
        <v/>
      </c>
      <c r="N75" s="28"/>
    </row>
    <row r="76" spans="1:14" ht="28.5" customHeight="1">
      <c r="A76" s="26"/>
      <c r="B76" s="28"/>
      <c r="C76" s="34"/>
      <c r="D76" s="28"/>
      <c r="E76" s="22"/>
      <c r="F76" s="34"/>
      <c r="G76" s="28"/>
      <c r="H76" s="22"/>
      <c r="I76" s="28"/>
      <c r="J76" s="22"/>
      <c r="K76" s="35" t="str">
        <f t="shared" si="3"/>
        <v/>
      </c>
      <c r="L76" s="21">
        <f t="shared" si="4"/>
        <v>0</v>
      </c>
      <c r="M76" s="20" t="str">
        <f t="shared" si="5"/>
        <v/>
      </c>
      <c r="N76" s="28"/>
    </row>
    <row r="77" spans="1:14" ht="28.5" customHeight="1">
      <c r="A77" s="26"/>
      <c r="B77" s="28"/>
      <c r="C77" s="34"/>
      <c r="D77" s="28"/>
      <c r="E77" s="22"/>
      <c r="F77" s="34"/>
      <c r="G77" s="28"/>
      <c r="H77" s="22"/>
      <c r="I77" s="28"/>
      <c r="J77" s="22"/>
      <c r="K77" s="35" t="str">
        <f t="shared" si="3"/>
        <v/>
      </c>
      <c r="L77" s="21">
        <f t="shared" si="4"/>
        <v>0</v>
      </c>
      <c r="M77" s="20" t="str">
        <f t="shared" si="5"/>
        <v/>
      </c>
      <c r="N77" s="28"/>
    </row>
    <row r="78" spans="1:14" ht="28.5" customHeight="1">
      <c r="A78" s="26"/>
      <c r="B78" s="28"/>
      <c r="C78" s="34"/>
      <c r="D78" s="28"/>
      <c r="E78" s="22"/>
      <c r="F78" s="34"/>
      <c r="G78" s="28"/>
      <c r="H78" s="22"/>
      <c r="I78" s="28"/>
      <c r="J78" s="22"/>
      <c r="K78" s="35" t="str">
        <f t="shared" si="3"/>
        <v/>
      </c>
      <c r="L78" s="21">
        <f t="shared" si="4"/>
        <v>0</v>
      </c>
      <c r="M78" s="20" t="str">
        <f t="shared" si="5"/>
        <v/>
      </c>
      <c r="N78" s="28"/>
    </row>
    <row r="79" spans="1:14" ht="28.5" customHeight="1">
      <c r="A79" s="26"/>
      <c r="B79" s="28"/>
      <c r="C79" s="34"/>
      <c r="D79" s="28"/>
      <c r="E79" s="22"/>
      <c r="F79" s="34"/>
      <c r="G79" s="28"/>
      <c r="H79" s="22"/>
      <c r="I79" s="28"/>
      <c r="J79" s="22"/>
      <c r="K79" s="35" t="str">
        <f t="shared" si="3"/>
        <v/>
      </c>
      <c r="L79" s="21">
        <f t="shared" si="4"/>
        <v>0</v>
      </c>
      <c r="M79" s="20" t="str">
        <f t="shared" si="5"/>
        <v/>
      </c>
      <c r="N79" s="28"/>
    </row>
    <row r="80" spans="1:14" ht="28.5" customHeight="1">
      <c r="A80" s="26"/>
      <c r="B80" s="28"/>
      <c r="C80" s="34"/>
      <c r="D80" s="28"/>
      <c r="E80" s="22"/>
      <c r="F80" s="34"/>
      <c r="G80" s="28"/>
      <c r="H80" s="22"/>
      <c r="I80" s="28"/>
      <c r="J80" s="22"/>
      <c r="K80" s="35" t="str">
        <f t="shared" si="3"/>
        <v/>
      </c>
      <c r="L80" s="21">
        <f t="shared" si="4"/>
        <v>0</v>
      </c>
      <c r="M80" s="20" t="str">
        <f t="shared" si="5"/>
        <v/>
      </c>
      <c r="N80" s="28"/>
    </row>
    <row r="81" spans="1:14" ht="28.5" customHeight="1">
      <c r="A81" s="26"/>
      <c r="B81" s="28"/>
      <c r="C81" s="34"/>
      <c r="D81" s="28"/>
      <c r="E81" s="22"/>
      <c r="F81" s="34"/>
      <c r="G81" s="28"/>
      <c r="H81" s="22"/>
      <c r="I81" s="28"/>
      <c r="J81" s="22"/>
      <c r="K81" s="35" t="str">
        <f t="shared" si="3"/>
        <v/>
      </c>
      <c r="L81" s="21">
        <f t="shared" si="4"/>
        <v>0</v>
      </c>
      <c r="M81" s="20" t="str">
        <f t="shared" si="5"/>
        <v/>
      </c>
      <c r="N81" s="28"/>
    </row>
    <row r="82" spans="1:14" ht="28.5" customHeight="1">
      <c r="A82" s="26"/>
      <c r="B82" s="28"/>
      <c r="C82" s="34"/>
      <c r="D82" s="28"/>
      <c r="E82" s="22"/>
      <c r="F82" s="34"/>
      <c r="G82" s="28"/>
      <c r="H82" s="22"/>
      <c r="I82" s="28"/>
      <c r="J82" s="22"/>
      <c r="K82" s="35" t="str">
        <f t="shared" si="3"/>
        <v/>
      </c>
      <c r="L82" s="21">
        <f t="shared" si="4"/>
        <v>0</v>
      </c>
      <c r="M82" s="20" t="str">
        <f t="shared" si="5"/>
        <v/>
      </c>
      <c r="N82" s="28"/>
    </row>
    <row r="83" spans="1:14" ht="28.5" customHeight="1">
      <c r="A83" s="26"/>
      <c r="B83" s="28"/>
      <c r="C83" s="34"/>
      <c r="D83" s="28"/>
      <c r="E83" s="22"/>
      <c r="F83" s="34"/>
      <c r="G83" s="28"/>
      <c r="H83" s="22"/>
      <c r="I83" s="28"/>
      <c r="J83" s="22"/>
      <c r="K83" s="35" t="str">
        <f t="shared" si="3"/>
        <v/>
      </c>
      <c r="L83" s="21">
        <f t="shared" si="4"/>
        <v>0</v>
      </c>
      <c r="M83" s="20" t="str">
        <f t="shared" si="5"/>
        <v/>
      </c>
      <c r="N83" s="28"/>
    </row>
    <row r="84" spans="1:14" ht="28.5" customHeight="1">
      <c r="A84" s="26"/>
      <c r="B84" s="28"/>
      <c r="C84" s="34"/>
      <c r="D84" s="28"/>
      <c r="E84" s="22"/>
      <c r="F84" s="34"/>
      <c r="G84" s="28"/>
      <c r="H84" s="22"/>
      <c r="I84" s="28"/>
      <c r="J84" s="22"/>
      <c r="K84" s="35" t="str">
        <f t="shared" si="3"/>
        <v/>
      </c>
      <c r="L84" s="21">
        <f t="shared" si="4"/>
        <v>0</v>
      </c>
      <c r="M84" s="20" t="str">
        <f t="shared" si="5"/>
        <v/>
      </c>
      <c r="N84" s="28"/>
    </row>
    <row r="85" spans="1:14" ht="28.5" customHeight="1">
      <c r="A85" s="26"/>
      <c r="B85" s="28"/>
      <c r="C85" s="34"/>
      <c r="D85" s="28"/>
      <c r="E85" s="22"/>
      <c r="F85" s="34"/>
      <c r="G85" s="28"/>
      <c r="H85" s="22"/>
      <c r="I85" s="28"/>
      <c r="J85" s="22"/>
      <c r="K85" s="35" t="str">
        <f t="shared" si="3"/>
        <v/>
      </c>
      <c r="L85" s="21">
        <f t="shared" si="4"/>
        <v>0</v>
      </c>
      <c r="M85" s="20" t="str">
        <f t="shared" si="5"/>
        <v/>
      </c>
      <c r="N85" s="28"/>
    </row>
    <row r="86" spans="1:14" ht="28.5" customHeight="1">
      <c r="A86" s="26"/>
      <c r="B86" s="28"/>
      <c r="C86" s="34"/>
      <c r="D86" s="28"/>
      <c r="E86" s="22"/>
      <c r="F86" s="34"/>
      <c r="G86" s="28"/>
      <c r="H86" s="22"/>
      <c r="I86" s="28"/>
      <c r="J86" s="22"/>
      <c r="K86" s="35" t="str">
        <f t="shared" si="3"/>
        <v/>
      </c>
      <c r="L86" s="21">
        <f t="shared" si="4"/>
        <v>0</v>
      </c>
      <c r="M86" s="20" t="str">
        <f t="shared" si="5"/>
        <v/>
      </c>
      <c r="N86" s="28"/>
    </row>
    <row r="87" spans="1:14" ht="28.5" customHeight="1">
      <c r="A87" s="26"/>
      <c r="B87" s="28"/>
      <c r="C87" s="34"/>
      <c r="D87" s="28"/>
      <c r="E87" s="22"/>
      <c r="F87" s="34"/>
      <c r="G87" s="28"/>
      <c r="H87" s="22"/>
      <c r="I87" s="28"/>
      <c r="J87" s="22"/>
      <c r="K87" s="35" t="str">
        <f t="shared" si="3"/>
        <v/>
      </c>
      <c r="L87" s="21">
        <f t="shared" si="4"/>
        <v>0</v>
      </c>
      <c r="M87" s="20" t="str">
        <f t="shared" si="5"/>
        <v/>
      </c>
      <c r="N87" s="28"/>
    </row>
    <row r="88" spans="1:14" ht="28.5" customHeight="1">
      <c r="A88" s="26"/>
      <c r="B88" s="28"/>
      <c r="C88" s="34"/>
      <c r="D88" s="28"/>
      <c r="E88" s="22"/>
      <c r="F88" s="34"/>
      <c r="G88" s="28"/>
      <c r="H88" s="22"/>
      <c r="I88" s="28"/>
      <c r="J88" s="22"/>
      <c r="K88" s="35" t="str">
        <f t="shared" si="3"/>
        <v/>
      </c>
      <c r="L88" s="21">
        <f t="shared" si="4"/>
        <v>0</v>
      </c>
      <c r="M88" s="20" t="str">
        <f t="shared" si="5"/>
        <v/>
      </c>
      <c r="N88" s="28"/>
    </row>
    <row r="89" spans="1:14" ht="28.5" customHeight="1">
      <c r="A89" s="26"/>
      <c r="B89" s="28"/>
      <c r="C89" s="34"/>
      <c r="D89" s="28"/>
      <c r="E89" s="22"/>
      <c r="F89" s="34"/>
      <c r="G89" s="28"/>
      <c r="H89" s="22"/>
      <c r="I89" s="28"/>
      <c r="J89" s="22"/>
      <c r="K89" s="35" t="str">
        <f t="shared" si="3"/>
        <v/>
      </c>
      <c r="L89" s="21">
        <f t="shared" si="4"/>
        <v>0</v>
      </c>
      <c r="M89" s="20" t="str">
        <f t="shared" si="5"/>
        <v/>
      </c>
      <c r="N89" s="28"/>
    </row>
    <row r="90" spans="1:14" ht="28.5" customHeight="1">
      <c r="A90" s="26"/>
      <c r="B90" s="28"/>
      <c r="C90" s="34"/>
      <c r="D90" s="28"/>
      <c r="E90" s="22"/>
      <c r="F90" s="34"/>
      <c r="G90" s="28"/>
      <c r="H90" s="22"/>
      <c r="I90" s="28"/>
      <c r="J90" s="22"/>
      <c r="K90" s="35" t="str">
        <f t="shared" si="3"/>
        <v/>
      </c>
      <c r="L90" s="21">
        <f t="shared" si="4"/>
        <v>0</v>
      </c>
      <c r="M90" s="20" t="str">
        <f t="shared" si="5"/>
        <v/>
      </c>
      <c r="N90" s="28"/>
    </row>
    <row r="91" spans="1:14" ht="28.5" customHeight="1">
      <c r="A91" s="26"/>
      <c r="B91" s="28"/>
      <c r="C91" s="34"/>
      <c r="D91" s="28"/>
      <c r="E91" s="22"/>
      <c r="F91" s="34"/>
      <c r="G91" s="28"/>
      <c r="H91" s="22"/>
      <c r="I91" s="28"/>
      <c r="J91" s="22"/>
      <c r="K91" s="35" t="str">
        <f t="shared" si="3"/>
        <v/>
      </c>
      <c r="L91" s="21">
        <f t="shared" si="4"/>
        <v>0</v>
      </c>
      <c r="M91" s="20" t="str">
        <f t="shared" si="5"/>
        <v/>
      </c>
      <c r="N91" s="28"/>
    </row>
    <row r="92" spans="1:14" ht="28.5" customHeight="1">
      <c r="A92" s="26"/>
      <c r="B92" s="28"/>
      <c r="C92" s="34"/>
      <c r="D92" s="28"/>
      <c r="E92" s="22"/>
      <c r="F92" s="34"/>
      <c r="G92" s="28"/>
      <c r="H92" s="22"/>
      <c r="I92" s="28"/>
      <c r="J92" s="22"/>
      <c r="K92" s="35" t="str">
        <f t="shared" si="3"/>
        <v/>
      </c>
      <c r="L92" s="21">
        <f t="shared" si="4"/>
        <v>0</v>
      </c>
      <c r="M92" s="20" t="str">
        <f t="shared" si="5"/>
        <v/>
      </c>
      <c r="N92" s="28"/>
    </row>
    <row r="93" spans="1:14" ht="28.5" customHeight="1">
      <c r="A93" s="26"/>
      <c r="B93" s="28"/>
      <c r="C93" s="34"/>
      <c r="D93" s="28"/>
      <c r="E93" s="22"/>
      <c r="F93" s="34"/>
      <c r="G93" s="28"/>
      <c r="H93" s="22"/>
      <c r="I93" s="28"/>
      <c r="J93" s="22"/>
      <c r="K93" s="35" t="str">
        <f t="shared" si="3"/>
        <v/>
      </c>
      <c r="L93" s="21">
        <f t="shared" si="4"/>
        <v>0</v>
      </c>
      <c r="M93" s="20" t="str">
        <f t="shared" si="5"/>
        <v/>
      </c>
      <c r="N93" s="28"/>
    </row>
    <row r="94" spans="1:14" ht="28.5" customHeight="1">
      <c r="A94" s="26"/>
      <c r="B94" s="28"/>
      <c r="C94" s="34"/>
      <c r="D94" s="28"/>
      <c r="E94" s="22"/>
      <c r="F94" s="34"/>
      <c r="G94" s="28"/>
      <c r="H94" s="22"/>
      <c r="I94" s="28"/>
      <c r="J94" s="22"/>
      <c r="K94" s="35" t="str">
        <f t="shared" si="3"/>
        <v/>
      </c>
      <c r="L94" s="21">
        <f t="shared" si="4"/>
        <v>0</v>
      </c>
      <c r="M94" s="20" t="str">
        <f t="shared" si="5"/>
        <v/>
      </c>
      <c r="N94" s="28"/>
    </row>
    <row r="95" spans="1:14" ht="28.5" customHeight="1">
      <c r="A95" s="26"/>
      <c r="B95" s="28"/>
      <c r="C95" s="34"/>
      <c r="D95" s="28"/>
      <c r="E95" s="22"/>
      <c r="F95" s="34"/>
      <c r="G95" s="28"/>
      <c r="H95" s="22"/>
      <c r="I95" s="28"/>
      <c r="J95" s="22"/>
      <c r="K95" s="35" t="str">
        <f t="shared" si="3"/>
        <v/>
      </c>
      <c r="L95" s="21">
        <f t="shared" si="4"/>
        <v>0</v>
      </c>
      <c r="M95" s="20" t="str">
        <f t="shared" si="5"/>
        <v/>
      </c>
      <c r="N95" s="28"/>
    </row>
    <row r="96" spans="1:14" ht="28.5" customHeight="1">
      <c r="A96" s="26"/>
      <c r="B96" s="28"/>
      <c r="C96" s="34"/>
      <c r="D96" s="28"/>
      <c r="E96" s="22"/>
      <c r="F96" s="34"/>
      <c r="G96" s="28"/>
      <c r="H96" s="22"/>
      <c r="I96" s="28"/>
      <c r="J96" s="22"/>
      <c r="K96" s="35" t="str">
        <f t="shared" si="3"/>
        <v/>
      </c>
      <c r="L96" s="21">
        <f t="shared" si="4"/>
        <v>0</v>
      </c>
      <c r="M96" s="20" t="str">
        <f t="shared" si="5"/>
        <v/>
      </c>
      <c r="N96" s="28"/>
    </row>
    <row r="97" spans="1:14" ht="28.5" customHeight="1">
      <c r="A97" s="26"/>
      <c r="B97" s="28"/>
      <c r="C97" s="34"/>
      <c r="D97" s="28"/>
      <c r="E97" s="22"/>
      <c r="F97" s="34"/>
      <c r="G97" s="28"/>
      <c r="H97" s="22"/>
      <c r="I97" s="28"/>
      <c r="J97" s="22"/>
      <c r="K97" s="35" t="str">
        <f t="shared" si="3"/>
        <v/>
      </c>
      <c r="L97" s="21">
        <f t="shared" si="4"/>
        <v>0</v>
      </c>
      <c r="M97" s="20" t="str">
        <f t="shared" si="5"/>
        <v/>
      </c>
      <c r="N97" s="28"/>
    </row>
    <row r="98" spans="1:14" ht="28.5" customHeight="1">
      <c r="A98" s="26"/>
      <c r="B98" s="28"/>
      <c r="C98" s="34"/>
      <c r="D98" s="28"/>
      <c r="E98" s="22"/>
      <c r="F98" s="34"/>
      <c r="G98" s="28"/>
      <c r="H98" s="22"/>
      <c r="I98" s="28"/>
      <c r="J98" s="22"/>
      <c r="K98" s="35" t="str">
        <f t="shared" si="3"/>
        <v/>
      </c>
      <c r="L98" s="21">
        <f t="shared" si="4"/>
        <v>0</v>
      </c>
      <c r="M98" s="20" t="str">
        <f t="shared" si="5"/>
        <v/>
      </c>
      <c r="N98" s="28"/>
    </row>
    <row r="99" spans="1:14" ht="28.5" customHeight="1">
      <c r="A99" s="26"/>
      <c r="B99" s="28"/>
      <c r="C99" s="34"/>
      <c r="D99" s="28"/>
      <c r="E99" s="22"/>
      <c r="F99" s="34"/>
      <c r="G99" s="28"/>
      <c r="H99" s="22"/>
      <c r="I99" s="28"/>
      <c r="J99" s="22"/>
      <c r="K99" s="35" t="str">
        <f t="shared" si="3"/>
        <v/>
      </c>
      <c r="L99" s="21">
        <f t="shared" si="4"/>
        <v>0</v>
      </c>
      <c r="M99" s="20" t="str">
        <f t="shared" si="5"/>
        <v/>
      </c>
      <c r="N99" s="28"/>
    </row>
    <row r="100" spans="1:14" ht="28.5" customHeight="1">
      <c r="A100" s="26"/>
      <c r="B100" s="28"/>
      <c r="C100" s="34"/>
      <c r="D100" s="28"/>
      <c r="E100" s="22"/>
      <c r="F100" s="34"/>
      <c r="G100" s="28"/>
      <c r="H100" s="22"/>
      <c r="I100" s="28"/>
      <c r="J100" s="22"/>
      <c r="K100" s="35" t="str">
        <f t="shared" si="3"/>
        <v/>
      </c>
      <c r="L100" s="21">
        <f t="shared" si="4"/>
        <v>0</v>
      </c>
      <c r="M100" s="20" t="str">
        <f t="shared" si="5"/>
        <v/>
      </c>
      <c r="N100" s="28"/>
    </row>
    <row r="101" spans="1:14" ht="28.5" customHeight="1">
      <c r="A101" s="26"/>
      <c r="B101" s="28"/>
      <c r="C101" s="34"/>
      <c r="D101" s="28"/>
      <c r="E101" s="22"/>
      <c r="F101" s="34"/>
      <c r="G101" s="28"/>
      <c r="H101" s="22"/>
      <c r="I101" s="28"/>
      <c r="J101" s="22"/>
      <c r="K101" s="35" t="str">
        <f t="shared" si="3"/>
        <v/>
      </c>
      <c r="L101" s="21">
        <f t="shared" si="4"/>
        <v>0</v>
      </c>
      <c r="M101" s="20" t="str">
        <f t="shared" si="5"/>
        <v/>
      </c>
      <c r="N101" s="28"/>
    </row>
    <row r="102" spans="1:14" ht="28.5" customHeight="1">
      <c r="A102" s="26"/>
      <c r="B102" s="28"/>
      <c r="C102" s="34"/>
      <c r="D102" s="28"/>
      <c r="E102" s="22"/>
      <c r="F102" s="34"/>
      <c r="G102" s="28"/>
      <c r="H102" s="22"/>
      <c r="I102" s="28"/>
      <c r="J102" s="22"/>
      <c r="K102" s="35" t="str">
        <f t="shared" si="3"/>
        <v/>
      </c>
      <c r="L102" s="21">
        <f t="shared" si="4"/>
        <v>0</v>
      </c>
      <c r="M102" s="20" t="str">
        <f t="shared" si="5"/>
        <v/>
      </c>
      <c r="N102" s="28"/>
    </row>
    <row r="103" spans="1:14" ht="28.5" customHeight="1">
      <c r="A103" s="26"/>
      <c r="B103" s="28"/>
      <c r="C103" s="34"/>
      <c r="D103" s="28"/>
      <c r="E103" s="22"/>
      <c r="F103" s="34"/>
      <c r="G103" s="28"/>
      <c r="H103" s="22"/>
      <c r="I103" s="28"/>
      <c r="J103" s="22"/>
      <c r="K103" s="35" t="str">
        <f t="shared" si="3"/>
        <v/>
      </c>
      <c r="L103" s="21">
        <f t="shared" si="4"/>
        <v>0</v>
      </c>
      <c r="M103" s="20" t="str">
        <f t="shared" si="5"/>
        <v/>
      </c>
      <c r="N103" s="28"/>
    </row>
    <row r="104" spans="1:14" ht="28.5" customHeight="1">
      <c r="A104" s="26"/>
      <c r="B104" s="28"/>
      <c r="C104" s="34"/>
      <c r="D104" s="28"/>
      <c r="E104" s="22"/>
      <c r="F104" s="34"/>
      <c r="G104" s="28"/>
      <c r="H104" s="22"/>
      <c r="I104" s="28"/>
      <c r="J104" s="22"/>
      <c r="K104" s="35" t="str">
        <f t="shared" si="3"/>
        <v/>
      </c>
      <c r="L104" s="21">
        <f t="shared" si="4"/>
        <v>0</v>
      </c>
      <c r="M104" s="20" t="str">
        <f t="shared" si="5"/>
        <v/>
      </c>
      <c r="N104" s="28"/>
    </row>
    <row r="105" spans="1:14" ht="28.5" customHeight="1">
      <c r="A105" s="26"/>
      <c r="B105" s="28"/>
      <c r="C105" s="34"/>
      <c r="D105" s="28"/>
      <c r="E105" s="22"/>
      <c r="F105" s="34"/>
      <c r="G105" s="28"/>
      <c r="H105" s="22"/>
      <c r="I105" s="28"/>
      <c r="J105" s="22"/>
      <c r="K105" s="35" t="str">
        <f t="shared" si="3"/>
        <v/>
      </c>
      <c r="L105" s="21">
        <f t="shared" si="4"/>
        <v>0</v>
      </c>
      <c r="M105" s="20" t="str">
        <f t="shared" si="5"/>
        <v/>
      </c>
      <c r="N105" s="28"/>
    </row>
    <row r="106" spans="1:14" ht="28.5" customHeight="1">
      <c r="A106" s="26"/>
      <c r="B106" s="28"/>
      <c r="C106" s="34"/>
      <c r="D106" s="28"/>
      <c r="E106" s="22"/>
      <c r="F106" s="34"/>
      <c r="G106" s="28"/>
      <c r="H106" s="22"/>
      <c r="I106" s="28"/>
      <c r="J106" s="22"/>
      <c r="K106" s="35" t="str">
        <f t="shared" si="3"/>
        <v/>
      </c>
      <c r="L106" s="21">
        <f t="shared" si="4"/>
        <v>0</v>
      </c>
      <c r="M106" s="20" t="str">
        <f t="shared" si="5"/>
        <v/>
      </c>
      <c r="N106" s="28"/>
    </row>
    <row r="107" spans="1:14" ht="28.5" customHeight="1">
      <c r="A107" s="26"/>
      <c r="B107" s="28"/>
      <c r="C107" s="34"/>
      <c r="D107" s="28"/>
      <c r="E107" s="22"/>
      <c r="F107" s="34"/>
      <c r="G107" s="28"/>
      <c r="H107" s="22"/>
      <c r="I107" s="28"/>
      <c r="J107" s="22"/>
      <c r="K107" s="35" t="str">
        <f t="shared" si="3"/>
        <v/>
      </c>
      <c r="L107" s="21">
        <f t="shared" si="4"/>
        <v>0</v>
      </c>
      <c r="M107" s="20" t="str">
        <f t="shared" si="5"/>
        <v/>
      </c>
      <c r="N107" s="28"/>
    </row>
    <row r="108" spans="1:14" ht="28.5" customHeight="1">
      <c r="A108" s="26"/>
      <c r="B108" s="28"/>
      <c r="C108" s="34"/>
      <c r="D108" s="28"/>
      <c r="E108" s="22"/>
      <c r="F108" s="34"/>
      <c r="G108" s="28"/>
      <c r="H108" s="22"/>
      <c r="I108" s="28"/>
      <c r="J108" s="22"/>
      <c r="K108" s="35" t="str">
        <f t="shared" si="3"/>
        <v/>
      </c>
      <c r="L108" s="21">
        <f t="shared" si="4"/>
        <v>0</v>
      </c>
      <c r="M108" s="20" t="str">
        <f t="shared" si="5"/>
        <v/>
      </c>
      <c r="N108" s="28"/>
    </row>
    <row r="109" spans="1:14" ht="28.5" customHeight="1">
      <c r="A109" s="26"/>
      <c r="B109" s="28"/>
      <c r="C109" s="34"/>
      <c r="D109" s="28"/>
      <c r="E109" s="22"/>
      <c r="F109" s="34"/>
      <c r="G109" s="28"/>
      <c r="H109" s="22"/>
      <c r="I109" s="28"/>
      <c r="J109" s="22"/>
      <c r="K109" s="35" t="str">
        <f t="shared" si="3"/>
        <v/>
      </c>
      <c r="L109" s="21">
        <f t="shared" si="4"/>
        <v>0</v>
      </c>
      <c r="M109" s="20" t="str">
        <f t="shared" si="5"/>
        <v/>
      </c>
      <c r="N109" s="28"/>
    </row>
    <row r="110" spans="1:14" ht="28.5" customHeight="1">
      <c r="A110" s="26"/>
      <c r="B110" s="28"/>
      <c r="C110" s="34"/>
      <c r="D110" s="28"/>
      <c r="E110" s="22"/>
      <c r="F110" s="34"/>
      <c r="G110" s="28"/>
      <c r="H110" s="22"/>
      <c r="I110" s="28"/>
      <c r="J110" s="22"/>
      <c r="K110" s="35" t="str">
        <f t="shared" si="3"/>
        <v/>
      </c>
      <c r="L110" s="21">
        <f t="shared" si="4"/>
        <v>0</v>
      </c>
      <c r="M110" s="20" t="str">
        <f t="shared" si="5"/>
        <v/>
      </c>
      <c r="N110" s="28"/>
    </row>
    <row r="111" spans="1:14" ht="28.5" customHeight="1">
      <c r="A111" s="26"/>
      <c r="B111" s="28"/>
      <c r="C111" s="34"/>
      <c r="D111" s="28"/>
      <c r="E111" s="22"/>
      <c r="F111" s="34"/>
      <c r="G111" s="28"/>
      <c r="H111" s="22"/>
      <c r="I111" s="28"/>
      <c r="J111" s="22"/>
      <c r="K111" s="35" t="str">
        <f t="shared" si="3"/>
        <v/>
      </c>
      <c r="L111" s="21">
        <f t="shared" si="4"/>
        <v>0</v>
      </c>
      <c r="M111" s="20" t="str">
        <f t="shared" si="5"/>
        <v/>
      </c>
      <c r="N111" s="28"/>
    </row>
    <row r="112" spans="1:14" ht="28.5" customHeight="1">
      <c r="A112" s="26"/>
      <c r="B112" s="28"/>
      <c r="C112" s="34"/>
      <c r="D112" s="28"/>
      <c r="E112" s="22"/>
      <c r="F112" s="34"/>
      <c r="G112" s="28"/>
      <c r="H112" s="22"/>
      <c r="I112" s="28"/>
      <c r="J112" s="22"/>
      <c r="K112" s="35" t="str">
        <f t="shared" si="3"/>
        <v/>
      </c>
      <c r="L112" s="21">
        <f t="shared" si="4"/>
        <v>0</v>
      </c>
      <c r="M112" s="20" t="str">
        <f t="shared" si="5"/>
        <v/>
      </c>
      <c r="N112" s="28"/>
    </row>
    <row r="113" spans="1:14" ht="28.5" customHeight="1">
      <c r="A113" s="26"/>
      <c r="B113" s="28"/>
      <c r="C113" s="34"/>
      <c r="D113" s="28"/>
      <c r="E113" s="22"/>
      <c r="F113" s="34"/>
      <c r="G113" s="28"/>
      <c r="H113" s="22"/>
      <c r="I113" s="28"/>
      <c r="J113" s="22"/>
      <c r="K113" s="35" t="str">
        <f t="shared" si="3"/>
        <v/>
      </c>
      <c r="L113" s="21">
        <f t="shared" si="4"/>
        <v>0</v>
      </c>
      <c r="M113" s="20" t="str">
        <f t="shared" si="5"/>
        <v/>
      </c>
      <c r="N113" s="28"/>
    </row>
    <row r="114" spans="1:14" ht="28.5" customHeight="1">
      <c r="A114" s="26"/>
      <c r="B114" s="28"/>
      <c r="C114" s="34"/>
      <c r="D114" s="28"/>
      <c r="E114" s="22"/>
      <c r="F114" s="34"/>
      <c r="G114" s="28"/>
      <c r="H114" s="22"/>
      <c r="I114" s="28"/>
      <c r="J114" s="22"/>
      <c r="K114" s="35" t="str">
        <f t="shared" si="3"/>
        <v/>
      </c>
      <c r="L114" s="21">
        <f t="shared" si="4"/>
        <v>0</v>
      </c>
      <c r="M114" s="20" t="str">
        <f t="shared" si="5"/>
        <v/>
      </c>
      <c r="N114" s="28"/>
    </row>
    <row r="115" spans="1:14" ht="28.5" customHeight="1">
      <c r="A115" s="26"/>
      <c r="B115" s="28"/>
      <c r="C115" s="34"/>
      <c r="D115" s="28"/>
      <c r="E115" s="22"/>
      <c r="F115" s="34"/>
      <c r="G115" s="28"/>
      <c r="H115" s="22"/>
      <c r="I115" s="28"/>
      <c r="J115" s="22"/>
      <c r="K115" s="35" t="str">
        <f t="shared" si="3"/>
        <v/>
      </c>
      <c r="L115" s="21">
        <f t="shared" si="4"/>
        <v>0</v>
      </c>
      <c r="M115" s="20" t="str">
        <f t="shared" si="5"/>
        <v/>
      </c>
      <c r="N115" s="28"/>
    </row>
    <row r="116" spans="1:14" ht="28.5" customHeight="1">
      <c r="A116" s="26"/>
      <c r="B116" s="28"/>
      <c r="C116" s="34"/>
      <c r="D116" s="28"/>
      <c r="E116" s="22"/>
      <c r="F116" s="34"/>
      <c r="G116" s="28"/>
      <c r="H116" s="22"/>
      <c r="I116" s="28"/>
      <c r="J116" s="22"/>
      <c r="K116" s="35" t="str">
        <f t="shared" si="3"/>
        <v/>
      </c>
      <c r="L116" s="21">
        <f t="shared" si="4"/>
        <v>0</v>
      </c>
      <c r="M116" s="20" t="str">
        <f t="shared" si="5"/>
        <v/>
      </c>
      <c r="N116" s="28"/>
    </row>
    <row r="117" spans="1:14" ht="28.5" customHeight="1">
      <c r="A117" s="26"/>
      <c r="B117" s="28"/>
      <c r="C117" s="34"/>
      <c r="D117" s="28"/>
      <c r="E117" s="22"/>
      <c r="F117" s="34"/>
      <c r="G117" s="28"/>
      <c r="H117" s="22"/>
      <c r="I117" s="28"/>
      <c r="J117" s="22"/>
      <c r="K117" s="35" t="str">
        <f t="shared" si="3"/>
        <v/>
      </c>
      <c r="L117" s="21">
        <f t="shared" si="4"/>
        <v>0</v>
      </c>
      <c r="M117" s="20" t="str">
        <f t="shared" si="5"/>
        <v/>
      </c>
      <c r="N117" s="28"/>
    </row>
    <row r="118" spans="1:14" ht="28.5" customHeight="1">
      <c r="A118" s="26"/>
      <c r="B118" s="28"/>
      <c r="C118" s="34"/>
      <c r="D118" s="28"/>
      <c r="E118" s="22"/>
      <c r="F118" s="34"/>
      <c r="G118" s="28"/>
      <c r="H118" s="22"/>
      <c r="I118" s="28"/>
      <c r="J118" s="22"/>
      <c r="K118" s="35" t="str">
        <f t="shared" si="3"/>
        <v/>
      </c>
      <c r="L118" s="21">
        <f t="shared" si="4"/>
        <v>0</v>
      </c>
      <c r="M118" s="20" t="str">
        <f t="shared" si="5"/>
        <v/>
      </c>
      <c r="N118" s="28"/>
    </row>
    <row r="119" spans="1:14" ht="28.5" customHeight="1">
      <c r="A119" s="26"/>
      <c r="B119" s="28"/>
      <c r="C119" s="34"/>
      <c r="D119" s="28"/>
      <c r="E119" s="22"/>
      <c r="F119" s="34"/>
      <c r="G119" s="28"/>
      <c r="H119" s="22"/>
      <c r="I119" s="28"/>
      <c r="J119" s="22"/>
      <c r="K119" s="35" t="str">
        <f t="shared" si="3"/>
        <v/>
      </c>
      <c r="L119" s="21">
        <f t="shared" si="4"/>
        <v>0</v>
      </c>
      <c r="M119" s="20" t="str">
        <f t="shared" si="5"/>
        <v/>
      </c>
      <c r="N119" s="28"/>
    </row>
    <row r="120" spans="1:14" ht="28.5" customHeight="1">
      <c r="A120" s="26"/>
      <c r="B120" s="28"/>
      <c r="C120" s="34"/>
      <c r="D120" s="28"/>
      <c r="E120" s="22"/>
      <c r="F120" s="34"/>
      <c r="G120" s="28"/>
      <c r="H120" s="22"/>
      <c r="I120" s="28"/>
      <c r="J120" s="22"/>
      <c r="K120" s="35" t="str">
        <f t="shared" si="3"/>
        <v/>
      </c>
      <c r="L120" s="21">
        <f t="shared" si="4"/>
        <v>0</v>
      </c>
      <c r="M120" s="20" t="str">
        <f t="shared" si="5"/>
        <v/>
      </c>
      <c r="N120" s="28"/>
    </row>
    <row r="121" spans="1:14" ht="28.5" customHeight="1">
      <c r="A121" s="26"/>
      <c r="B121" s="28"/>
      <c r="C121" s="34"/>
      <c r="D121" s="28"/>
      <c r="E121" s="22"/>
      <c r="F121" s="34"/>
      <c r="G121" s="28"/>
      <c r="H121" s="22"/>
      <c r="I121" s="28"/>
      <c r="J121" s="22"/>
      <c r="K121" s="35" t="str">
        <f t="shared" si="3"/>
        <v/>
      </c>
      <c r="L121" s="21">
        <f t="shared" si="4"/>
        <v>0</v>
      </c>
      <c r="M121" s="20" t="str">
        <f t="shared" si="5"/>
        <v/>
      </c>
      <c r="N121" s="28"/>
    </row>
    <row r="122" spans="1:14" ht="28.5" customHeight="1">
      <c r="A122" s="26"/>
      <c r="B122" s="28"/>
      <c r="C122" s="34"/>
      <c r="D122" s="28"/>
      <c r="E122" s="22"/>
      <c r="F122" s="34"/>
      <c r="G122" s="28"/>
      <c r="H122" s="22"/>
      <c r="I122" s="28"/>
      <c r="J122" s="22"/>
      <c r="K122" s="35" t="str">
        <f t="shared" si="3"/>
        <v/>
      </c>
      <c r="L122" s="21">
        <f t="shared" si="4"/>
        <v>0</v>
      </c>
      <c r="M122" s="20" t="str">
        <f t="shared" si="5"/>
        <v/>
      </c>
      <c r="N122" s="28"/>
    </row>
    <row r="123" spans="1:14" ht="28.5" customHeight="1">
      <c r="A123" s="26"/>
      <c r="B123" s="28"/>
      <c r="C123" s="34"/>
      <c r="D123" s="28"/>
      <c r="E123" s="22"/>
      <c r="F123" s="34"/>
      <c r="G123" s="28"/>
      <c r="H123" s="22"/>
      <c r="I123" s="28"/>
      <c r="J123" s="22"/>
      <c r="K123" s="35" t="str">
        <f t="shared" si="3"/>
        <v/>
      </c>
      <c r="L123" s="21">
        <f t="shared" si="4"/>
        <v>0</v>
      </c>
      <c r="M123" s="20" t="str">
        <f t="shared" si="5"/>
        <v/>
      </c>
      <c r="N123" s="28"/>
    </row>
    <row r="124" spans="1:14" ht="28.5" customHeight="1">
      <c r="A124" s="26"/>
      <c r="B124" s="28"/>
      <c r="C124" s="34"/>
      <c r="D124" s="28"/>
      <c r="E124" s="22"/>
      <c r="F124" s="34"/>
      <c r="G124" s="28"/>
      <c r="H124" s="22"/>
      <c r="I124" s="28"/>
      <c r="J124" s="22"/>
      <c r="K124" s="35" t="str">
        <f t="shared" si="3"/>
        <v/>
      </c>
      <c r="L124" s="21">
        <f t="shared" si="4"/>
        <v>0</v>
      </c>
      <c r="M124" s="20" t="str">
        <f t="shared" si="5"/>
        <v/>
      </c>
      <c r="N124" s="28"/>
    </row>
    <row r="125" spans="1:14" ht="28.5" customHeight="1">
      <c r="A125" s="26"/>
      <c r="B125" s="28"/>
      <c r="C125" s="34"/>
      <c r="D125" s="28"/>
      <c r="E125" s="22"/>
      <c r="F125" s="34"/>
      <c r="G125" s="28"/>
      <c r="H125" s="22"/>
      <c r="I125" s="28"/>
      <c r="J125" s="22"/>
      <c r="K125" s="35" t="str">
        <f t="shared" si="3"/>
        <v/>
      </c>
      <c r="L125" s="21">
        <f t="shared" si="4"/>
        <v>0</v>
      </c>
      <c r="M125" s="20" t="str">
        <f t="shared" si="5"/>
        <v/>
      </c>
      <c r="N125" s="28"/>
    </row>
    <row r="126" spans="1:14" ht="28.5" customHeight="1">
      <c r="A126" s="26"/>
      <c r="B126" s="28"/>
      <c r="C126" s="34"/>
      <c r="D126" s="28"/>
      <c r="E126" s="22"/>
      <c r="F126" s="34"/>
      <c r="G126" s="28"/>
      <c r="H126" s="22"/>
      <c r="I126" s="28"/>
      <c r="J126" s="22"/>
      <c r="K126" s="35" t="str">
        <f t="shared" si="3"/>
        <v/>
      </c>
      <c r="L126" s="21">
        <f t="shared" si="4"/>
        <v>0</v>
      </c>
      <c r="M126" s="20" t="str">
        <f t="shared" si="5"/>
        <v/>
      </c>
      <c r="N126" s="28"/>
    </row>
    <row r="127" spans="1:14" ht="28.5" customHeight="1">
      <c r="A127" s="26"/>
      <c r="B127" s="28"/>
      <c r="C127" s="34"/>
      <c r="D127" s="28"/>
      <c r="E127" s="22"/>
      <c r="F127" s="34"/>
      <c r="G127" s="28"/>
      <c r="H127" s="22"/>
      <c r="I127" s="28"/>
      <c r="J127" s="22"/>
      <c r="K127" s="35" t="str">
        <f t="shared" si="3"/>
        <v/>
      </c>
      <c r="L127" s="21">
        <f t="shared" si="4"/>
        <v>0</v>
      </c>
      <c r="M127" s="20" t="str">
        <f t="shared" si="5"/>
        <v/>
      </c>
      <c r="N127" s="28"/>
    </row>
    <row r="128" spans="1:14" ht="28.5" customHeight="1">
      <c r="A128" s="26"/>
      <c r="B128" s="28"/>
      <c r="C128" s="34"/>
      <c r="D128" s="28"/>
      <c r="E128" s="22"/>
      <c r="F128" s="34"/>
      <c r="G128" s="28"/>
      <c r="H128" s="22"/>
      <c r="I128" s="28"/>
      <c r="J128" s="22"/>
      <c r="K128" s="35" t="str">
        <f t="shared" si="3"/>
        <v/>
      </c>
      <c r="L128" s="21">
        <f t="shared" si="4"/>
        <v>0</v>
      </c>
      <c r="M128" s="20" t="str">
        <f t="shared" si="5"/>
        <v/>
      </c>
      <c r="N128" s="28"/>
    </row>
    <row r="129" spans="1:14" ht="28.5" customHeight="1">
      <c r="A129" s="26"/>
      <c r="B129" s="28"/>
      <c r="C129" s="34"/>
      <c r="D129" s="28"/>
      <c r="E129" s="22"/>
      <c r="F129" s="34"/>
      <c r="G129" s="28"/>
      <c r="H129" s="22"/>
      <c r="I129" s="28"/>
      <c r="J129" s="22"/>
      <c r="K129" s="35" t="str">
        <f t="shared" si="3"/>
        <v/>
      </c>
      <c r="L129" s="21">
        <f t="shared" si="4"/>
        <v>0</v>
      </c>
      <c r="M129" s="20" t="str">
        <f t="shared" si="5"/>
        <v/>
      </c>
      <c r="N129" s="28"/>
    </row>
    <row r="130" spans="1:14" ht="28.5" customHeight="1">
      <c r="A130" s="26"/>
      <c r="B130" s="28"/>
      <c r="C130" s="34"/>
      <c r="D130" s="28"/>
      <c r="E130" s="22"/>
      <c r="F130" s="34"/>
      <c r="G130" s="28"/>
      <c r="H130" s="22"/>
      <c r="I130" s="28"/>
      <c r="J130" s="22"/>
      <c r="K130" s="35" t="str">
        <f t="shared" si="3"/>
        <v/>
      </c>
      <c r="L130" s="21">
        <f t="shared" si="4"/>
        <v>0</v>
      </c>
      <c r="M130" s="20" t="str">
        <f t="shared" si="5"/>
        <v/>
      </c>
      <c r="N130" s="28"/>
    </row>
    <row r="131" spans="1:14" ht="28.5" customHeight="1">
      <c r="A131" s="26"/>
      <c r="B131" s="28"/>
      <c r="C131" s="34"/>
      <c r="D131" s="28"/>
      <c r="E131" s="22"/>
      <c r="F131" s="34"/>
      <c r="G131" s="28"/>
      <c r="H131" s="22"/>
      <c r="I131" s="28"/>
      <c r="J131" s="22"/>
      <c r="K131" s="35" t="str">
        <f t="shared" si="3"/>
        <v/>
      </c>
      <c r="L131" s="21">
        <f t="shared" si="4"/>
        <v>0</v>
      </c>
      <c r="M131" s="20" t="str">
        <f t="shared" si="5"/>
        <v/>
      </c>
      <c r="N131" s="28"/>
    </row>
    <row r="132" spans="1:14" ht="28.5" customHeight="1">
      <c r="A132" s="26"/>
      <c r="B132" s="28"/>
      <c r="C132" s="34"/>
      <c r="D132" s="28"/>
      <c r="E132" s="22"/>
      <c r="F132" s="34"/>
      <c r="G132" s="28"/>
      <c r="H132" s="22"/>
      <c r="I132" s="28"/>
      <c r="J132" s="22"/>
      <c r="K132" s="35" t="str">
        <f t="shared" si="3"/>
        <v/>
      </c>
      <c r="L132" s="21">
        <f t="shared" si="4"/>
        <v>0</v>
      </c>
      <c r="M132" s="20" t="str">
        <f t="shared" si="5"/>
        <v/>
      </c>
      <c r="N132" s="28"/>
    </row>
    <row r="133" spans="1:14" ht="28.5" customHeight="1">
      <c r="A133" s="26"/>
      <c r="B133" s="28"/>
      <c r="C133" s="34"/>
      <c r="D133" s="28"/>
      <c r="E133" s="22"/>
      <c r="F133" s="34"/>
      <c r="G133" s="28"/>
      <c r="H133" s="22"/>
      <c r="I133" s="28"/>
      <c r="J133" s="22"/>
      <c r="K133" s="35" t="str">
        <f t="shared" si="3"/>
        <v/>
      </c>
      <c r="L133" s="21">
        <f t="shared" si="4"/>
        <v>0</v>
      </c>
      <c r="M133" s="20" t="str">
        <f t="shared" si="5"/>
        <v/>
      </c>
      <c r="N133" s="28"/>
    </row>
    <row r="134" spans="1:14" ht="28.5" customHeight="1">
      <c r="A134" s="26"/>
      <c r="B134" s="28"/>
      <c r="C134" s="34"/>
      <c r="D134" s="28"/>
      <c r="E134" s="22"/>
      <c r="F134" s="34"/>
      <c r="G134" s="28"/>
      <c r="H134" s="22"/>
      <c r="I134" s="28"/>
      <c r="J134" s="22"/>
      <c r="K134" s="35" t="str">
        <f t="shared" ref="K134:K197" si="6">IF(OR(E134="",H134="",H134&lt;=0),"",E134/H134)</f>
        <v/>
      </c>
      <c r="L134" s="21">
        <f t="shared" ref="L134:L197" si="7">IF(AND(ISNUMBER(A134),OR(F134="嘉信证券",F134="嘉信入金中转"),C134&lt;&gt;"嘉信证券",G134="USD",ISNUMBER(H134),H134&gt;0),H134,0)</f>
        <v>0</v>
      </c>
      <c r="M134" s="20" t="str">
        <f t="shared" ref="M134:M197" si="8">IF(COUNTA(A134:J134)=0,"",IF(OR(A134="",C134="",D134="",E134="",F134="",G134="",H134=""),"待补换汇信息",IF(OR(E134&lt;=0,H134&lt;=0,J134&lt;0,D134=G134,AND(J134&gt;0,I134="")),"请检查币种／金额／费用","已记录")))</f>
        <v/>
      </c>
      <c r="N134" s="28"/>
    </row>
    <row r="135" spans="1:14" ht="28.5" customHeight="1">
      <c r="A135" s="26"/>
      <c r="B135" s="28"/>
      <c r="C135" s="34"/>
      <c r="D135" s="28"/>
      <c r="E135" s="22"/>
      <c r="F135" s="34"/>
      <c r="G135" s="28"/>
      <c r="H135" s="22"/>
      <c r="I135" s="28"/>
      <c r="J135" s="22"/>
      <c r="K135" s="35" t="str">
        <f t="shared" si="6"/>
        <v/>
      </c>
      <c r="L135" s="21">
        <f t="shared" si="7"/>
        <v>0</v>
      </c>
      <c r="M135" s="20" t="str">
        <f t="shared" si="8"/>
        <v/>
      </c>
      <c r="N135" s="28"/>
    </row>
    <row r="136" spans="1:14" ht="28.5" customHeight="1">
      <c r="A136" s="26"/>
      <c r="B136" s="28"/>
      <c r="C136" s="34"/>
      <c r="D136" s="28"/>
      <c r="E136" s="22"/>
      <c r="F136" s="34"/>
      <c r="G136" s="28"/>
      <c r="H136" s="22"/>
      <c r="I136" s="28"/>
      <c r="J136" s="22"/>
      <c r="K136" s="35" t="str">
        <f t="shared" si="6"/>
        <v/>
      </c>
      <c r="L136" s="21">
        <f t="shared" si="7"/>
        <v>0</v>
      </c>
      <c r="M136" s="20" t="str">
        <f t="shared" si="8"/>
        <v/>
      </c>
      <c r="N136" s="28"/>
    </row>
    <row r="137" spans="1:14" ht="28.5" customHeight="1">
      <c r="A137" s="26"/>
      <c r="B137" s="28"/>
      <c r="C137" s="34"/>
      <c r="D137" s="28"/>
      <c r="E137" s="22"/>
      <c r="F137" s="34"/>
      <c r="G137" s="28"/>
      <c r="H137" s="22"/>
      <c r="I137" s="28"/>
      <c r="J137" s="22"/>
      <c r="K137" s="35" t="str">
        <f t="shared" si="6"/>
        <v/>
      </c>
      <c r="L137" s="21">
        <f t="shared" si="7"/>
        <v>0</v>
      </c>
      <c r="M137" s="20" t="str">
        <f t="shared" si="8"/>
        <v/>
      </c>
      <c r="N137" s="28"/>
    </row>
    <row r="138" spans="1:14" ht="28.5" customHeight="1">
      <c r="A138" s="26"/>
      <c r="B138" s="28"/>
      <c r="C138" s="34"/>
      <c r="D138" s="28"/>
      <c r="E138" s="22"/>
      <c r="F138" s="34"/>
      <c r="G138" s="28"/>
      <c r="H138" s="22"/>
      <c r="I138" s="28"/>
      <c r="J138" s="22"/>
      <c r="K138" s="35" t="str">
        <f t="shared" si="6"/>
        <v/>
      </c>
      <c r="L138" s="21">
        <f t="shared" si="7"/>
        <v>0</v>
      </c>
      <c r="M138" s="20" t="str">
        <f t="shared" si="8"/>
        <v/>
      </c>
      <c r="N138" s="28"/>
    </row>
    <row r="139" spans="1:14" ht="28.5" customHeight="1">
      <c r="A139" s="26"/>
      <c r="B139" s="28"/>
      <c r="C139" s="34"/>
      <c r="D139" s="28"/>
      <c r="E139" s="22"/>
      <c r="F139" s="34"/>
      <c r="G139" s="28"/>
      <c r="H139" s="22"/>
      <c r="I139" s="28"/>
      <c r="J139" s="22"/>
      <c r="K139" s="35" t="str">
        <f t="shared" si="6"/>
        <v/>
      </c>
      <c r="L139" s="21">
        <f t="shared" si="7"/>
        <v>0</v>
      </c>
      <c r="M139" s="20" t="str">
        <f t="shared" si="8"/>
        <v/>
      </c>
      <c r="N139" s="28"/>
    </row>
    <row r="140" spans="1:14" ht="28.5" customHeight="1">
      <c r="A140" s="26"/>
      <c r="B140" s="28"/>
      <c r="C140" s="34"/>
      <c r="D140" s="28"/>
      <c r="E140" s="22"/>
      <c r="F140" s="34"/>
      <c r="G140" s="28"/>
      <c r="H140" s="22"/>
      <c r="I140" s="28"/>
      <c r="J140" s="22"/>
      <c r="K140" s="35" t="str">
        <f t="shared" si="6"/>
        <v/>
      </c>
      <c r="L140" s="21">
        <f t="shared" si="7"/>
        <v>0</v>
      </c>
      <c r="M140" s="20" t="str">
        <f t="shared" si="8"/>
        <v/>
      </c>
      <c r="N140" s="28"/>
    </row>
    <row r="141" spans="1:14" ht="28.5" customHeight="1">
      <c r="A141" s="26"/>
      <c r="B141" s="28"/>
      <c r="C141" s="34"/>
      <c r="D141" s="28"/>
      <c r="E141" s="22"/>
      <c r="F141" s="34"/>
      <c r="G141" s="28"/>
      <c r="H141" s="22"/>
      <c r="I141" s="28"/>
      <c r="J141" s="22"/>
      <c r="K141" s="35" t="str">
        <f t="shared" si="6"/>
        <v/>
      </c>
      <c r="L141" s="21">
        <f t="shared" si="7"/>
        <v>0</v>
      </c>
      <c r="M141" s="20" t="str">
        <f t="shared" si="8"/>
        <v/>
      </c>
      <c r="N141" s="28"/>
    </row>
    <row r="142" spans="1:14" ht="28.5" customHeight="1">
      <c r="A142" s="26"/>
      <c r="B142" s="28"/>
      <c r="C142" s="34"/>
      <c r="D142" s="28"/>
      <c r="E142" s="22"/>
      <c r="F142" s="34"/>
      <c r="G142" s="28"/>
      <c r="H142" s="22"/>
      <c r="I142" s="28"/>
      <c r="J142" s="22"/>
      <c r="K142" s="35" t="str">
        <f t="shared" si="6"/>
        <v/>
      </c>
      <c r="L142" s="21">
        <f t="shared" si="7"/>
        <v>0</v>
      </c>
      <c r="M142" s="20" t="str">
        <f t="shared" si="8"/>
        <v/>
      </c>
      <c r="N142" s="28"/>
    </row>
    <row r="143" spans="1:14" ht="28.5" customHeight="1">
      <c r="A143" s="26"/>
      <c r="B143" s="28"/>
      <c r="C143" s="34"/>
      <c r="D143" s="28"/>
      <c r="E143" s="22"/>
      <c r="F143" s="34"/>
      <c r="G143" s="28"/>
      <c r="H143" s="22"/>
      <c r="I143" s="28"/>
      <c r="J143" s="22"/>
      <c r="K143" s="35" t="str">
        <f t="shared" si="6"/>
        <v/>
      </c>
      <c r="L143" s="21">
        <f t="shared" si="7"/>
        <v>0</v>
      </c>
      <c r="M143" s="20" t="str">
        <f t="shared" si="8"/>
        <v/>
      </c>
      <c r="N143" s="28"/>
    </row>
    <row r="144" spans="1:14" ht="28.5" customHeight="1">
      <c r="A144" s="26"/>
      <c r="B144" s="28"/>
      <c r="C144" s="34"/>
      <c r="D144" s="28"/>
      <c r="E144" s="22"/>
      <c r="F144" s="34"/>
      <c r="G144" s="28"/>
      <c r="H144" s="22"/>
      <c r="I144" s="28"/>
      <c r="J144" s="22"/>
      <c r="K144" s="35" t="str">
        <f t="shared" si="6"/>
        <v/>
      </c>
      <c r="L144" s="21">
        <f t="shared" si="7"/>
        <v>0</v>
      </c>
      <c r="M144" s="20" t="str">
        <f t="shared" si="8"/>
        <v/>
      </c>
      <c r="N144" s="28"/>
    </row>
    <row r="145" spans="1:14" ht="28.5" customHeight="1">
      <c r="A145" s="26"/>
      <c r="B145" s="28"/>
      <c r="C145" s="34"/>
      <c r="D145" s="28"/>
      <c r="E145" s="22"/>
      <c r="F145" s="34"/>
      <c r="G145" s="28"/>
      <c r="H145" s="22"/>
      <c r="I145" s="28"/>
      <c r="J145" s="22"/>
      <c r="K145" s="35" t="str">
        <f t="shared" si="6"/>
        <v/>
      </c>
      <c r="L145" s="21">
        <f t="shared" si="7"/>
        <v>0</v>
      </c>
      <c r="M145" s="20" t="str">
        <f t="shared" si="8"/>
        <v/>
      </c>
      <c r="N145" s="28"/>
    </row>
    <row r="146" spans="1:14" ht="28.5" customHeight="1">
      <c r="A146" s="26"/>
      <c r="B146" s="28"/>
      <c r="C146" s="34"/>
      <c r="D146" s="28"/>
      <c r="E146" s="22"/>
      <c r="F146" s="34"/>
      <c r="G146" s="28"/>
      <c r="H146" s="22"/>
      <c r="I146" s="28"/>
      <c r="J146" s="22"/>
      <c r="K146" s="35" t="str">
        <f t="shared" si="6"/>
        <v/>
      </c>
      <c r="L146" s="21">
        <f t="shared" si="7"/>
        <v>0</v>
      </c>
      <c r="M146" s="20" t="str">
        <f t="shared" si="8"/>
        <v/>
      </c>
      <c r="N146" s="28"/>
    </row>
    <row r="147" spans="1:14" ht="28.5" customHeight="1">
      <c r="A147" s="26"/>
      <c r="B147" s="28"/>
      <c r="C147" s="34"/>
      <c r="D147" s="28"/>
      <c r="E147" s="22"/>
      <c r="F147" s="34"/>
      <c r="G147" s="28"/>
      <c r="H147" s="22"/>
      <c r="I147" s="28"/>
      <c r="J147" s="22"/>
      <c r="K147" s="35" t="str">
        <f t="shared" si="6"/>
        <v/>
      </c>
      <c r="L147" s="21">
        <f t="shared" si="7"/>
        <v>0</v>
      </c>
      <c r="M147" s="20" t="str">
        <f t="shared" si="8"/>
        <v/>
      </c>
      <c r="N147" s="28"/>
    </row>
    <row r="148" spans="1:14" ht="28.5" customHeight="1">
      <c r="A148" s="26"/>
      <c r="B148" s="28"/>
      <c r="C148" s="34"/>
      <c r="D148" s="28"/>
      <c r="E148" s="22"/>
      <c r="F148" s="34"/>
      <c r="G148" s="28"/>
      <c r="H148" s="22"/>
      <c r="I148" s="28"/>
      <c r="J148" s="22"/>
      <c r="K148" s="35" t="str">
        <f t="shared" si="6"/>
        <v/>
      </c>
      <c r="L148" s="21">
        <f t="shared" si="7"/>
        <v>0</v>
      </c>
      <c r="M148" s="20" t="str">
        <f t="shared" si="8"/>
        <v/>
      </c>
      <c r="N148" s="28"/>
    </row>
    <row r="149" spans="1:14" ht="28.5" customHeight="1">
      <c r="A149" s="26"/>
      <c r="B149" s="28"/>
      <c r="C149" s="34"/>
      <c r="D149" s="28"/>
      <c r="E149" s="22"/>
      <c r="F149" s="34"/>
      <c r="G149" s="28"/>
      <c r="H149" s="22"/>
      <c r="I149" s="28"/>
      <c r="J149" s="22"/>
      <c r="K149" s="35" t="str">
        <f t="shared" si="6"/>
        <v/>
      </c>
      <c r="L149" s="21">
        <f t="shared" si="7"/>
        <v>0</v>
      </c>
      <c r="M149" s="20" t="str">
        <f t="shared" si="8"/>
        <v/>
      </c>
      <c r="N149" s="28"/>
    </row>
    <row r="150" spans="1:14" ht="28.5" customHeight="1">
      <c r="A150" s="26"/>
      <c r="B150" s="28"/>
      <c r="C150" s="34"/>
      <c r="D150" s="28"/>
      <c r="E150" s="22"/>
      <c r="F150" s="34"/>
      <c r="G150" s="28"/>
      <c r="H150" s="22"/>
      <c r="I150" s="28"/>
      <c r="J150" s="22"/>
      <c r="K150" s="35" t="str">
        <f t="shared" si="6"/>
        <v/>
      </c>
      <c r="L150" s="21">
        <f t="shared" si="7"/>
        <v>0</v>
      </c>
      <c r="M150" s="20" t="str">
        <f t="shared" si="8"/>
        <v/>
      </c>
      <c r="N150" s="28"/>
    </row>
    <row r="151" spans="1:14" ht="28.5" customHeight="1">
      <c r="A151" s="26"/>
      <c r="B151" s="28"/>
      <c r="C151" s="34"/>
      <c r="D151" s="28"/>
      <c r="E151" s="22"/>
      <c r="F151" s="34"/>
      <c r="G151" s="28"/>
      <c r="H151" s="22"/>
      <c r="I151" s="28"/>
      <c r="J151" s="22"/>
      <c r="K151" s="35" t="str">
        <f t="shared" si="6"/>
        <v/>
      </c>
      <c r="L151" s="21">
        <f t="shared" si="7"/>
        <v>0</v>
      </c>
      <c r="M151" s="20" t="str">
        <f t="shared" si="8"/>
        <v/>
      </c>
      <c r="N151" s="28"/>
    </row>
    <row r="152" spans="1:14" ht="28.5" customHeight="1">
      <c r="A152" s="26"/>
      <c r="B152" s="28"/>
      <c r="C152" s="34"/>
      <c r="D152" s="28"/>
      <c r="E152" s="22"/>
      <c r="F152" s="34"/>
      <c r="G152" s="28"/>
      <c r="H152" s="22"/>
      <c r="I152" s="28"/>
      <c r="J152" s="22"/>
      <c r="K152" s="35" t="str">
        <f t="shared" si="6"/>
        <v/>
      </c>
      <c r="L152" s="21">
        <f t="shared" si="7"/>
        <v>0</v>
      </c>
      <c r="M152" s="20" t="str">
        <f t="shared" si="8"/>
        <v/>
      </c>
      <c r="N152" s="28"/>
    </row>
    <row r="153" spans="1:14" ht="28.5" customHeight="1">
      <c r="A153" s="26"/>
      <c r="B153" s="28"/>
      <c r="C153" s="34"/>
      <c r="D153" s="28"/>
      <c r="E153" s="22"/>
      <c r="F153" s="34"/>
      <c r="G153" s="28"/>
      <c r="H153" s="22"/>
      <c r="I153" s="28"/>
      <c r="J153" s="22"/>
      <c r="K153" s="35" t="str">
        <f t="shared" si="6"/>
        <v/>
      </c>
      <c r="L153" s="21">
        <f t="shared" si="7"/>
        <v>0</v>
      </c>
      <c r="M153" s="20" t="str">
        <f t="shared" si="8"/>
        <v/>
      </c>
      <c r="N153" s="28"/>
    </row>
    <row r="154" spans="1:14" ht="28.5" customHeight="1">
      <c r="A154" s="26"/>
      <c r="B154" s="28"/>
      <c r="C154" s="34"/>
      <c r="D154" s="28"/>
      <c r="E154" s="22"/>
      <c r="F154" s="34"/>
      <c r="G154" s="28"/>
      <c r="H154" s="22"/>
      <c r="I154" s="28"/>
      <c r="J154" s="22"/>
      <c r="K154" s="35" t="str">
        <f t="shared" si="6"/>
        <v/>
      </c>
      <c r="L154" s="21">
        <f t="shared" si="7"/>
        <v>0</v>
      </c>
      <c r="M154" s="20" t="str">
        <f t="shared" si="8"/>
        <v/>
      </c>
      <c r="N154" s="28"/>
    </row>
    <row r="155" spans="1:14" ht="28.5" customHeight="1">
      <c r="A155" s="26"/>
      <c r="B155" s="28"/>
      <c r="C155" s="34"/>
      <c r="D155" s="28"/>
      <c r="E155" s="22"/>
      <c r="F155" s="34"/>
      <c r="G155" s="28"/>
      <c r="H155" s="22"/>
      <c r="I155" s="28"/>
      <c r="J155" s="22"/>
      <c r="K155" s="35" t="str">
        <f t="shared" si="6"/>
        <v/>
      </c>
      <c r="L155" s="21">
        <f t="shared" si="7"/>
        <v>0</v>
      </c>
      <c r="M155" s="20" t="str">
        <f t="shared" si="8"/>
        <v/>
      </c>
      <c r="N155" s="28"/>
    </row>
    <row r="156" spans="1:14" ht="28.5" customHeight="1">
      <c r="A156" s="26"/>
      <c r="B156" s="28"/>
      <c r="C156" s="34"/>
      <c r="D156" s="28"/>
      <c r="E156" s="22"/>
      <c r="F156" s="34"/>
      <c r="G156" s="28"/>
      <c r="H156" s="22"/>
      <c r="I156" s="28"/>
      <c r="J156" s="22"/>
      <c r="K156" s="35" t="str">
        <f t="shared" si="6"/>
        <v/>
      </c>
      <c r="L156" s="21">
        <f t="shared" si="7"/>
        <v>0</v>
      </c>
      <c r="M156" s="20" t="str">
        <f t="shared" si="8"/>
        <v/>
      </c>
      <c r="N156" s="28"/>
    </row>
    <row r="157" spans="1:14" ht="28.5" customHeight="1">
      <c r="A157" s="26"/>
      <c r="B157" s="28"/>
      <c r="C157" s="34"/>
      <c r="D157" s="28"/>
      <c r="E157" s="22"/>
      <c r="F157" s="34"/>
      <c r="G157" s="28"/>
      <c r="H157" s="22"/>
      <c r="I157" s="28"/>
      <c r="J157" s="22"/>
      <c r="K157" s="35" t="str">
        <f t="shared" si="6"/>
        <v/>
      </c>
      <c r="L157" s="21">
        <f t="shared" si="7"/>
        <v>0</v>
      </c>
      <c r="M157" s="20" t="str">
        <f t="shared" si="8"/>
        <v/>
      </c>
      <c r="N157" s="28"/>
    </row>
    <row r="158" spans="1:14" ht="28.5" customHeight="1">
      <c r="A158" s="26"/>
      <c r="B158" s="28"/>
      <c r="C158" s="34"/>
      <c r="D158" s="28"/>
      <c r="E158" s="22"/>
      <c r="F158" s="34"/>
      <c r="G158" s="28"/>
      <c r="H158" s="22"/>
      <c r="I158" s="28"/>
      <c r="J158" s="22"/>
      <c r="K158" s="35" t="str">
        <f t="shared" si="6"/>
        <v/>
      </c>
      <c r="L158" s="21">
        <f t="shared" si="7"/>
        <v>0</v>
      </c>
      <c r="M158" s="20" t="str">
        <f t="shared" si="8"/>
        <v/>
      </c>
      <c r="N158" s="28"/>
    </row>
    <row r="159" spans="1:14" ht="28.5" customHeight="1">
      <c r="A159" s="26"/>
      <c r="B159" s="28"/>
      <c r="C159" s="34"/>
      <c r="D159" s="28"/>
      <c r="E159" s="22"/>
      <c r="F159" s="34"/>
      <c r="G159" s="28"/>
      <c r="H159" s="22"/>
      <c r="I159" s="28"/>
      <c r="J159" s="22"/>
      <c r="K159" s="35" t="str">
        <f t="shared" si="6"/>
        <v/>
      </c>
      <c r="L159" s="21">
        <f t="shared" si="7"/>
        <v>0</v>
      </c>
      <c r="M159" s="20" t="str">
        <f t="shared" si="8"/>
        <v/>
      </c>
      <c r="N159" s="28"/>
    </row>
    <row r="160" spans="1:14" ht="28.5" customHeight="1">
      <c r="A160" s="26"/>
      <c r="B160" s="28"/>
      <c r="C160" s="34"/>
      <c r="D160" s="28"/>
      <c r="E160" s="22"/>
      <c r="F160" s="34"/>
      <c r="G160" s="28"/>
      <c r="H160" s="22"/>
      <c r="I160" s="28"/>
      <c r="J160" s="22"/>
      <c r="K160" s="35" t="str">
        <f t="shared" si="6"/>
        <v/>
      </c>
      <c r="L160" s="21">
        <f t="shared" si="7"/>
        <v>0</v>
      </c>
      <c r="M160" s="20" t="str">
        <f t="shared" si="8"/>
        <v/>
      </c>
      <c r="N160" s="28"/>
    </row>
    <row r="161" spans="1:14" ht="28.5" customHeight="1">
      <c r="A161" s="26"/>
      <c r="B161" s="28"/>
      <c r="C161" s="34"/>
      <c r="D161" s="28"/>
      <c r="E161" s="22"/>
      <c r="F161" s="34"/>
      <c r="G161" s="28"/>
      <c r="H161" s="22"/>
      <c r="I161" s="28"/>
      <c r="J161" s="22"/>
      <c r="K161" s="35" t="str">
        <f t="shared" si="6"/>
        <v/>
      </c>
      <c r="L161" s="21">
        <f t="shared" si="7"/>
        <v>0</v>
      </c>
      <c r="M161" s="20" t="str">
        <f t="shared" si="8"/>
        <v/>
      </c>
      <c r="N161" s="28"/>
    </row>
    <row r="162" spans="1:14" ht="28.5" customHeight="1">
      <c r="A162" s="26"/>
      <c r="B162" s="28"/>
      <c r="C162" s="34"/>
      <c r="D162" s="28"/>
      <c r="E162" s="22"/>
      <c r="F162" s="34"/>
      <c r="G162" s="28"/>
      <c r="H162" s="22"/>
      <c r="I162" s="28"/>
      <c r="J162" s="22"/>
      <c r="K162" s="35" t="str">
        <f t="shared" si="6"/>
        <v/>
      </c>
      <c r="L162" s="21">
        <f t="shared" si="7"/>
        <v>0</v>
      </c>
      <c r="M162" s="20" t="str">
        <f t="shared" si="8"/>
        <v/>
      </c>
      <c r="N162" s="28"/>
    </row>
    <row r="163" spans="1:14" ht="28.5" customHeight="1">
      <c r="A163" s="26"/>
      <c r="B163" s="28"/>
      <c r="C163" s="34"/>
      <c r="D163" s="28"/>
      <c r="E163" s="22"/>
      <c r="F163" s="34"/>
      <c r="G163" s="28"/>
      <c r="H163" s="22"/>
      <c r="I163" s="28"/>
      <c r="J163" s="22"/>
      <c r="K163" s="35" t="str">
        <f t="shared" si="6"/>
        <v/>
      </c>
      <c r="L163" s="21">
        <f t="shared" si="7"/>
        <v>0</v>
      </c>
      <c r="M163" s="20" t="str">
        <f t="shared" si="8"/>
        <v/>
      </c>
      <c r="N163" s="28"/>
    </row>
    <row r="164" spans="1:14" ht="28.5" customHeight="1">
      <c r="A164" s="26"/>
      <c r="B164" s="28"/>
      <c r="C164" s="34"/>
      <c r="D164" s="28"/>
      <c r="E164" s="22"/>
      <c r="F164" s="34"/>
      <c r="G164" s="28"/>
      <c r="H164" s="22"/>
      <c r="I164" s="28"/>
      <c r="J164" s="22"/>
      <c r="K164" s="35" t="str">
        <f t="shared" si="6"/>
        <v/>
      </c>
      <c r="L164" s="21">
        <f t="shared" si="7"/>
        <v>0</v>
      </c>
      <c r="M164" s="20" t="str">
        <f t="shared" si="8"/>
        <v/>
      </c>
      <c r="N164" s="28"/>
    </row>
    <row r="165" spans="1:14" ht="28.5" customHeight="1">
      <c r="A165" s="26"/>
      <c r="B165" s="28"/>
      <c r="C165" s="34"/>
      <c r="D165" s="28"/>
      <c r="E165" s="22"/>
      <c r="F165" s="34"/>
      <c r="G165" s="28"/>
      <c r="H165" s="22"/>
      <c r="I165" s="28"/>
      <c r="J165" s="22"/>
      <c r="K165" s="35" t="str">
        <f t="shared" si="6"/>
        <v/>
      </c>
      <c r="L165" s="21">
        <f t="shared" si="7"/>
        <v>0</v>
      </c>
      <c r="M165" s="20" t="str">
        <f t="shared" si="8"/>
        <v/>
      </c>
      <c r="N165" s="28"/>
    </row>
    <row r="166" spans="1:14" ht="28.5" customHeight="1">
      <c r="A166" s="26"/>
      <c r="B166" s="28"/>
      <c r="C166" s="34"/>
      <c r="D166" s="28"/>
      <c r="E166" s="22"/>
      <c r="F166" s="34"/>
      <c r="G166" s="28"/>
      <c r="H166" s="22"/>
      <c r="I166" s="28"/>
      <c r="J166" s="22"/>
      <c r="K166" s="35" t="str">
        <f t="shared" si="6"/>
        <v/>
      </c>
      <c r="L166" s="21">
        <f t="shared" si="7"/>
        <v>0</v>
      </c>
      <c r="M166" s="20" t="str">
        <f t="shared" si="8"/>
        <v/>
      </c>
      <c r="N166" s="28"/>
    </row>
    <row r="167" spans="1:14" ht="28.5" customHeight="1">
      <c r="A167" s="26"/>
      <c r="B167" s="28"/>
      <c r="C167" s="34"/>
      <c r="D167" s="28"/>
      <c r="E167" s="22"/>
      <c r="F167" s="34"/>
      <c r="G167" s="28"/>
      <c r="H167" s="22"/>
      <c r="I167" s="28"/>
      <c r="J167" s="22"/>
      <c r="K167" s="35" t="str">
        <f t="shared" si="6"/>
        <v/>
      </c>
      <c r="L167" s="21">
        <f t="shared" si="7"/>
        <v>0</v>
      </c>
      <c r="M167" s="20" t="str">
        <f t="shared" si="8"/>
        <v/>
      </c>
      <c r="N167" s="28"/>
    </row>
    <row r="168" spans="1:14" ht="28.5" customHeight="1">
      <c r="A168" s="26"/>
      <c r="B168" s="28"/>
      <c r="C168" s="34"/>
      <c r="D168" s="28"/>
      <c r="E168" s="22"/>
      <c r="F168" s="34"/>
      <c r="G168" s="28"/>
      <c r="H168" s="22"/>
      <c r="I168" s="28"/>
      <c r="J168" s="22"/>
      <c r="K168" s="35" t="str">
        <f t="shared" si="6"/>
        <v/>
      </c>
      <c r="L168" s="21">
        <f t="shared" si="7"/>
        <v>0</v>
      </c>
      <c r="M168" s="20" t="str">
        <f t="shared" si="8"/>
        <v/>
      </c>
      <c r="N168" s="28"/>
    </row>
    <row r="169" spans="1:14" ht="28.5" customHeight="1">
      <c r="A169" s="26"/>
      <c r="B169" s="28"/>
      <c r="C169" s="34"/>
      <c r="D169" s="28"/>
      <c r="E169" s="22"/>
      <c r="F169" s="34"/>
      <c r="G169" s="28"/>
      <c r="H169" s="22"/>
      <c r="I169" s="28"/>
      <c r="J169" s="22"/>
      <c r="K169" s="35" t="str">
        <f t="shared" si="6"/>
        <v/>
      </c>
      <c r="L169" s="21">
        <f t="shared" si="7"/>
        <v>0</v>
      </c>
      <c r="M169" s="20" t="str">
        <f t="shared" si="8"/>
        <v/>
      </c>
      <c r="N169" s="28"/>
    </row>
    <row r="170" spans="1:14" ht="28.5" customHeight="1">
      <c r="A170" s="26"/>
      <c r="B170" s="28"/>
      <c r="C170" s="34"/>
      <c r="D170" s="28"/>
      <c r="E170" s="22"/>
      <c r="F170" s="34"/>
      <c r="G170" s="28"/>
      <c r="H170" s="22"/>
      <c r="I170" s="28"/>
      <c r="J170" s="22"/>
      <c r="K170" s="35" t="str">
        <f t="shared" si="6"/>
        <v/>
      </c>
      <c r="L170" s="21">
        <f t="shared" si="7"/>
        <v>0</v>
      </c>
      <c r="M170" s="20" t="str">
        <f t="shared" si="8"/>
        <v/>
      </c>
      <c r="N170" s="28"/>
    </row>
    <row r="171" spans="1:14" ht="28.5" customHeight="1">
      <c r="A171" s="26"/>
      <c r="B171" s="28"/>
      <c r="C171" s="34"/>
      <c r="D171" s="28"/>
      <c r="E171" s="22"/>
      <c r="F171" s="34"/>
      <c r="G171" s="28"/>
      <c r="H171" s="22"/>
      <c r="I171" s="28"/>
      <c r="J171" s="22"/>
      <c r="K171" s="35" t="str">
        <f t="shared" si="6"/>
        <v/>
      </c>
      <c r="L171" s="21">
        <f t="shared" si="7"/>
        <v>0</v>
      </c>
      <c r="M171" s="20" t="str">
        <f t="shared" si="8"/>
        <v/>
      </c>
      <c r="N171" s="28"/>
    </row>
    <row r="172" spans="1:14" ht="28.5" customHeight="1">
      <c r="A172" s="26"/>
      <c r="B172" s="28"/>
      <c r="C172" s="34"/>
      <c r="D172" s="28"/>
      <c r="E172" s="22"/>
      <c r="F172" s="34"/>
      <c r="G172" s="28"/>
      <c r="H172" s="22"/>
      <c r="I172" s="28"/>
      <c r="J172" s="22"/>
      <c r="K172" s="35" t="str">
        <f t="shared" si="6"/>
        <v/>
      </c>
      <c r="L172" s="21">
        <f t="shared" si="7"/>
        <v>0</v>
      </c>
      <c r="M172" s="20" t="str">
        <f t="shared" si="8"/>
        <v/>
      </c>
      <c r="N172" s="28"/>
    </row>
    <row r="173" spans="1:14" ht="28.5" customHeight="1">
      <c r="A173" s="26"/>
      <c r="B173" s="28"/>
      <c r="C173" s="34"/>
      <c r="D173" s="28"/>
      <c r="E173" s="22"/>
      <c r="F173" s="34"/>
      <c r="G173" s="28"/>
      <c r="H173" s="22"/>
      <c r="I173" s="28"/>
      <c r="J173" s="22"/>
      <c r="K173" s="35" t="str">
        <f t="shared" si="6"/>
        <v/>
      </c>
      <c r="L173" s="21">
        <f t="shared" si="7"/>
        <v>0</v>
      </c>
      <c r="M173" s="20" t="str">
        <f t="shared" si="8"/>
        <v/>
      </c>
      <c r="N173" s="28"/>
    </row>
    <row r="174" spans="1:14" ht="28.5" customHeight="1">
      <c r="A174" s="26"/>
      <c r="B174" s="28"/>
      <c r="C174" s="34"/>
      <c r="D174" s="28"/>
      <c r="E174" s="22"/>
      <c r="F174" s="34"/>
      <c r="G174" s="28"/>
      <c r="H174" s="22"/>
      <c r="I174" s="28"/>
      <c r="J174" s="22"/>
      <c r="K174" s="35" t="str">
        <f t="shared" si="6"/>
        <v/>
      </c>
      <c r="L174" s="21">
        <f t="shared" si="7"/>
        <v>0</v>
      </c>
      <c r="M174" s="20" t="str">
        <f t="shared" si="8"/>
        <v/>
      </c>
      <c r="N174" s="28"/>
    </row>
    <row r="175" spans="1:14" ht="28.5" customHeight="1">
      <c r="A175" s="26"/>
      <c r="B175" s="28"/>
      <c r="C175" s="34"/>
      <c r="D175" s="28"/>
      <c r="E175" s="22"/>
      <c r="F175" s="34"/>
      <c r="G175" s="28"/>
      <c r="H175" s="22"/>
      <c r="I175" s="28"/>
      <c r="J175" s="22"/>
      <c r="K175" s="35" t="str">
        <f t="shared" si="6"/>
        <v/>
      </c>
      <c r="L175" s="21">
        <f t="shared" si="7"/>
        <v>0</v>
      </c>
      <c r="M175" s="20" t="str">
        <f t="shared" si="8"/>
        <v/>
      </c>
      <c r="N175" s="28"/>
    </row>
    <row r="176" spans="1:14" ht="28.5" customHeight="1">
      <c r="A176" s="26"/>
      <c r="B176" s="28"/>
      <c r="C176" s="34"/>
      <c r="D176" s="28"/>
      <c r="E176" s="22"/>
      <c r="F176" s="34"/>
      <c r="G176" s="28"/>
      <c r="H176" s="22"/>
      <c r="I176" s="28"/>
      <c r="J176" s="22"/>
      <c r="K176" s="35" t="str">
        <f t="shared" si="6"/>
        <v/>
      </c>
      <c r="L176" s="21">
        <f t="shared" si="7"/>
        <v>0</v>
      </c>
      <c r="M176" s="20" t="str">
        <f t="shared" si="8"/>
        <v/>
      </c>
      <c r="N176" s="28"/>
    </row>
    <row r="177" spans="1:14" ht="28.5" customHeight="1">
      <c r="A177" s="26"/>
      <c r="B177" s="28"/>
      <c r="C177" s="34"/>
      <c r="D177" s="28"/>
      <c r="E177" s="22"/>
      <c r="F177" s="34"/>
      <c r="G177" s="28"/>
      <c r="H177" s="22"/>
      <c r="I177" s="28"/>
      <c r="J177" s="22"/>
      <c r="K177" s="35" t="str">
        <f t="shared" si="6"/>
        <v/>
      </c>
      <c r="L177" s="21">
        <f t="shared" si="7"/>
        <v>0</v>
      </c>
      <c r="M177" s="20" t="str">
        <f t="shared" si="8"/>
        <v/>
      </c>
      <c r="N177" s="28"/>
    </row>
    <row r="178" spans="1:14" ht="28.5" customHeight="1">
      <c r="A178" s="26"/>
      <c r="B178" s="28"/>
      <c r="C178" s="34"/>
      <c r="D178" s="28"/>
      <c r="E178" s="22"/>
      <c r="F178" s="34"/>
      <c r="G178" s="28"/>
      <c r="H178" s="22"/>
      <c r="I178" s="28"/>
      <c r="J178" s="22"/>
      <c r="K178" s="35" t="str">
        <f t="shared" si="6"/>
        <v/>
      </c>
      <c r="L178" s="21">
        <f t="shared" si="7"/>
        <v>0</v>
      </c>
      <c r="M178" s="20" t="str">
        <f t="shared" si="8"/>
        <v/>
      </c>
      <c r="N178" s="28"/>
    </row>
    <row r="179" spans="1:14" ht="28.5" customHeight="1">
      <c r="A179" s="26"/>
      <c r="B179" s="28"/>
      <c r="C179" s="34"/>
      <c r="D179" s="28"/>
      <c r="E179" s="22"/>
      <c r="F179" s="34"/>
      <c r="G179" s="28"/>
      <c r="H179" s="22"/>
      <c r="I179" s="28"/>
      <c r="J179" s="22"/>
      <c r="K179" s="35" t="str">
        <f t="shared" si="6"/>
        <v/>
      </c>
      <c r="L179" s="21">
        <f t="shared" si="7"/>
        <v>0</v>
      </c>
      <c r="M179" s="20" t="str">
        <f t="shared" si="8"/>
        <v/>
      </c>
      <c r="N179" s="28"/>
    </row>
    <row r="180" spans="1:14" ht="28.5" customHeight="1">
      <c r="A180" s="26"/>
      <c r="B180" s="28"/>
      <c r="C180" s="34"/>
      <c r="D180" s="28"/>
      <c r="E180" s="22"/>
      <c r="F180" s="34"/>
      <c r="G180" s="28"/>
      <c r="H180" s="22"/>
      <c r="I180" s="28"/>
      <c r="J180" s="22"/>
      <c r="K180" s="35" t="str">
        <f t="shared" si="6"/>
        <v/>
      </c>
      <c r="L180" s="21">
        <f t="shared" si="7"/>
        <v>0</v>
      </c>
      <c r="M180" s="20" t="str">
        <f t="shared" si="8"/>
        <v/>
      </c>
      <c r="N180" s="28"/>
    </row>
    <row r="181" spans="1:14" ht="28.5" customHeight="1">
      <c r="A181" s="26"/>
      <c r="B181" s="28"/>
      <c r="C181" s="34"/>
      <c r="D181" s="28"/>
      <c r="E181" s="22"/>
      <c r="F181" s="34"/>
      <c r="G181" s="28"/>
      <c r="H181" s="22"/>
      <c r="I181" s="28"/>
      <c r="J181" s="22"/>
      <c r="K181" s="35" t="str">
        <f t="shared" si="6"/>
        <v/>
      </c>
      <c r="L181" s="21">
        <f t="shared" si="7"/>
        <v>0</v>
      </c>
      <c r="M181" s="20" t="str">
        <f t="shared" si="8"/>
        <v/>
      </c>
      <c r="N181" s="28"/>
    </row>
    <row r="182" spans="1:14" ht="28.5" customHeight="1">
      <c r="A182" s="26"/>
      <c r="B182" s="28"/>
      <c r="C182" s="34"/>
      <c r="D182" s="28"/>
      <c r="E182" s="22"/>
      <c r="F182" s="34"/>
      <c r="G182" s="28"/>
      <c r="H182" s="22"/>
      <c r="I182" s="28"/>
      <c r="J182" s="22"/>
      <c r="K182" s="35" t="str">
        <f t="shared" si="6"/>
        <v/>
      </c>
      <c r="L182" s="21">
        <f t="shared" si="7"/>
        <v>0</v>
      </c>
      <c r="M182" s="20" t="str">
        <f t="shared" si="8"/>
        <v/>
      </c>
      <c r="N182" s="28"/>
    </row>
    <row r="183" spans="1:14" ht="28.5" customHeight="1">
      <c r="A183" s="26"/>
      <c r="B183" s="28"/>
      <c r="C183" s="34"/>
      <c r="D183" s="28"/>
      <c r="E183" s="22"/>
      <c r="F183" s="34"/>
      <c r="G183" s="28"/>
      <c r="H183" s="22"/>
      <c r="I183" s="28"/>
      <c r="J183" s="22"/>
      <c r="K183" s="35" t="str">
        <f t="shared" si="6"/>
        <v/>
      </c>
      <c r="L183" s="21">
        <f t="shared" si="7"/>
        <v>0</v>
      </c>
      <c r="M183" s="20" t="str">
        <f t="shared" si="8"/>
        <v/>
      </c>
      <c r="N183" s="28"/>
    </row>
    <row r="184" spans="1:14" ht="28.5" customHeight="1">
      <c r="A184" s="26"/>
      <c r="B184" s="28"/>
      <c r="C184" s="34"/>
      <c r="D184" s="28"/>
      <c r="E184" s="22"/>
      <c r="F184" s="34"/>
      <c r="G184" s="28"/>
      <c r="H184" s="22"/>
      <c r="I184" s="28"/>
      <c r="J184" s="22"/>
      <c r="K184" s="35" t="str">
        <f t="shared" si="6"/>
        <v/>
      </c>
      <c r="L184" s="21">
        <f t="shared" si="7"/>
        <v>0</v>
      </c>
      <c r="M184" s="20" t="str">
        <f t="shared" si="8"/>
        <v/>
      </c>
      <c r="N184" s="28"/>
    </row>
    <row r="185" spans="1:14" ht="28.5" customHeight="1">
      <c r="A185" s="26"/>
      <c r="B185" s="28"/>
      <c r="C185" s="34"/>
      <c r="D185" s="28"/>
      <c r="E185" s="22"/>
      <c r="F185" s="34"/>
      <c r="G185" s="28"/>
      <c r="H185" s="22"/>
      <c r="I185" s="28"/>
      <c r="J185" s="22"/>
      <c r="K185" s="35" t="str">
        <f t="shared" si="6"/>
        <v/>
      </c>
      <c r="L185" s="21">
        <f t="shared" si="7"/>
        <v>0</v>
      </c>
      <c r="M185" s="20" t="str">
        <f t="shared" si="8"/>
        <v/>
      </c>
      <c r="N185" s="28"/>
    </row>
    <row r="186" spans="1:14" ht="28.5" customHeight="1">
      <c r="A186" s="26"/>
      <c r="B186" s="28"/>
      <c r="C186" s="34"/>
      <c r="D186" s="28"/>
      <c r="E186" s="22"/>
      <c r="F186" s="34"/>
      <c r="G186" s="28"/>
      <c r="H186" s="22"/>
      <c r="I186" s="28"/>
      <c r="J186" s="22"/>
      <c r="K186" s="35" t="str">
        <f t="shared" si="6"/>
        <v/>
      </c>
      <c r="L186" s="21">
        <f t="shared" si="7"/>
        <v>0</v>
      </c>
      <c r="M186" s="20" t="str">
        <f t="shared" si="8"/>
        <v/>
      </c>
      <c r="N186" s="28"/>
    </row>
    <row r="187" spans="1:14" ht="28.5" customHeight="1">
      <c r="A187" s="26"/>
      <c r="B187" s="28"/>
      <c r="C187" s="34"/>
      <c r="D187" s="28"/>
      <c r="E187" s="22"/>
      <c r="F187" s="34"/>
      <c r="G187" s="28"/>
      <c r="H187" s="22"/>
      <c r="I187" s="28"/>
      <c r="J187" s="22"/>
      <c r="K187" s="35" t="str">
        <f t="shared" si="6"/>
        <v/>
      </c>
      <c r="L187" s="21">
        <f t="shared" si="7"/>
        <v>0</v>
      </c>
      <c r="M187" s="20" t="str">
        <f t="shared" si="8"/>
        <v/>
      </c>
      <c r="N187" s="28"/>
    </row>
    <row r="188" spans="1:14" ht="28.5" customHeight="1">
      <c r="A188" s="26"/>
      <c r="B188" s="28"/>
      <c r="C188" s="34"/>
      <c r="D188" s="28"/>
      <c r="E188" s="22"/>
      <c r="F188" s="34"/>
      <c r="G188" s="28"/>
      <c r="H188" s="22"/>
      <c r="I188" s="28"/>
      <c r="J188" s="22"/>
      <c r="K188" s="35" t="str">
        <f t="shared" si="6"/>
        <v/>
      </c>
      <c r="L188" s="21">
        <f t="shared" si="7"/>
        <v>0</v>
      </c>
      <c r="M188" s="20" t="str">
        <f t="shared" si="8"/>
        <v/>
      </c>
      <c r="N188" s="28"/>
    </row>
    <row r="189" spans="1:14" ht="28.5" customHeight="1">
      <c r="A189" s="26"/>
      <c r="B189" s="28"/>
      <c r="C189" s="34"/>
      <c r="D189" s="28"/>
      <c r="E189" s="22"/>
      <c r="F189" s="34"/>
      <c r="G189" s="28"/>
      <c r="H189" s="22"/>
      <c r="I189" s="28"/>
      <c r="J189" s="22"/>
      <c r="K189" s="35" t="str">
        <f t="shared" si="6"/>
        <v/>
      </c>
      <c r="L189" s="21">
        <f t="shared" si="7"/>
        <v>0</v>
      </c>
      <c r="M189" s="20" t="str">
        <f t="shared" si="8"/>
        <v/>
      </c>
      <c r="N189" s="28"/>
    </row>
    <row r="190" spans="1:14" ht="28.5" customHeight="1">
      <c r="A190" s="26"/>
      <c r="B190" s="28"/>
      <c r="C190" s="34"/>
      <c r="D190" s="28"/>
      <c r="E190" s="22"/>
      <c r="F190" s="34"/>
      <c r="G190" s="28"/>
      <c r="H190" s="22"/>
      <c r="I190" s="28"/>
      <c r="J190" s="22"/>
      <c r="K190" s="35" t="str">
        <f t="shared" si="6"/>
        <v/>
      </c>
      <c r="L190" s="21">
        <f t="shared" si="7"/>
        <v>0</v>
      </c>
      <c r="M190" s="20" t="str">
        <f t="shared" si="8"/>
        <v/>
      </c>
      <c r="N190" s="28"/>
    </row>
    <row r="191" spans="1:14" ht="28.5" customHeight="1">
      <c r="A191" s="26"/>
      <c r="B191" s="28"/>
      <c r="C191" s="34"/>
      <c r="D191" s="28"/>
      <c r="E191" s="22"/>
      <c r="F191" s="34"/>
      <c r="G191" s="28"/>
      <c r="H191" s="22"/>
      <c r="I191" s="28"/>
      <c r="J191" s="22"/>
      <c r="K191" s="35" t="str">
        <f t="shared" si="6"/>
        <v/>
      </c>
      <c r="L191" s="21">
        <f t="shared" si="7"/>
        <v>0</v>
      </c>
      <c r="M191" s="20" t="str">
        <f t="shared" si="8"/>
        <v/>
      </c>
      <c r="N191" s="28"/>
    </row>
    <row r="192" spans="1:14" ht="28.5" customHeight="1">
      <c r="A192" s="26"/>
      <c r="B192" s="28"/>
      <c r="C192" s="34"/>
      <c r="D192" s="28"/>
      <c r="E192" s="22"/>
      <c r="F192" s="34"/>
      <c r="G192" s="28"/>
      <c r="H192" s="22"/>
      <c r="I192" s="28"/>
      <c r="J192" s="22"/>
      <c r="K192" s="35" t="str">
        <f t="shared" si="6"/>
        <v/>
      </c>
      <c r="L192" s="21">
        <f t="shared" si="7"/>
        <v>0</v>
      </c>
      <c r="M192" s="20" t="str">
        <f t="shared" si="8"/>
        <v/>
      </c>
      <c r="N192" s="28"/>
    </row>
    <row r="193" spans="1:14" ht="28.5" customHeight="1">
      <c r="A193" s="26"/>
      <c r="B193" s="28"/>
      <c r="C193" s="34"/>
      <c r="D193" s="28"/>
      <c r="E193" s="22"/>
      <c r="F193" s="34"/>
      <c r="G193" s="28"/>
      <c r="H193" s="22"/>
      <c r="I193" s="28"/>
      <c r="J193" s="22"/>
      <c r="K193" s="35" t="str">
        <f t="shared" si="6"/>
        <v/>
      </c>
      <c r="L193" s="21">
        <f t="shared" si="7"/>
        <v>0</v>
      </c>
      <c r="M193" s="20" t="str">
        <f t="shared" si="8"/>
        <v/>
      </c>
      <c r="N193" s="28"/>
    </row>
    <row r="194" spans="1:14" ht="28.5" customHeight="1">
      <c r="A194" s="26"/>
      <c r="B194" s="28"/>
      <c r="C194" s="34"/>
      <c r="D194" s="28"/>
      <c r="E194" s="22"/>
      <c r="F194" s="34"/>
      <c r="G194" s="28"/>
      <c r="H194" s="22"/>
      <c r="I194" s="28"/>
      <c r="J194" s="22"/>
      <c r="K194" s="35" t="str">
        <f t="shared" si="6"/>
        <v/>
      </c>
      <c r="L194" s="21">
        <f t="shared" si="7"/>
        <v>0</v>
      </c>
      <c r="M194" s="20" t="str">
        <f t="shared" si="8"/>
        <v/>
      </c>
      <c r="N194" s="28"/>
    </row>
    <row r="195" spans="1:14" ht="28.5" customHeight="1">
      <c r="A195" s="26"/>
      <c r="B195" s="28"/>
      <c r="C195" s="34"/>
      <c r="D195" s="28"/>
      <c r="E195" s="22"/>
      <c r="F195" s="34"/>
      <c r="G195" s="28"/>
      <c r="H195" s="22"/>
      <c r="I195" s="28"/>
      <c r="J195" s="22"/>
      <c r="K195" s="35" t="str">
        <f t="shared" si="6"/>
        <v/>
      </c>
      <c r="L195" s="21">
        <f t="shared" si="7"/>
        <v>0</v>
      </c>
      <c r="M195" s="20" t="str">
        <f t="shared" si="8"/>
        <v/>
      </c>
      <c r="N195" s="28"/>
    </row>
    <row r="196" spans="1:14" ht="28.5" customHeight="1">
      <c r="A196" s="26"/>
      <c r="B196" s="28"/>
      <c r="C196" s="34"/>
      <c r="D196" s="28"/>
      <c r="E196" s="22"/>
      <c r="F196" s="34"/>
      <c r="G196" s="28"/>
      <c r="H196" s="22"/>
      <c r="I196" s="28"/>
      <c r="J196" s="22"/>
      <c r="K196" s="35" t="str">
        <f t="shared" si="6"/>
        <v/>
      </c>
      <c r="L196" s="21">
        <f t="shared" si="7"/>
        <v>0</v>
      </c>
      <c r="M196" s="20" t="str">
        <f t="shared" si="8"/>
        <v/>
      </c>
      <c r="N196" s="28"/>
    </row>
    <row r="197" spans="1:14" ht="28.5" customHeight="1">
      <c r="A197" s="26"/>
      <c r="B197" s="28"/>
      <c r="C197" s="34"/>
      <c r="D197" s="28"/>
      <c r="E197" s="22"/>
      <c r="F197" s="34"/>
      <c r="G197" s="28"/>
      <c r="H197" s="22"/>
      <c r="I197" s="28"/>
      <c r="J197" s="22"/>
      <c r="K197" s="35" t="str">
        <f t="shared" si="6"/>
        <v/>
      </c>
      <c r="L197" s="21">
        <f t="shared" si="7"/>
        <v>0</v>
      </c>
      <c r="M197" s="20" t="str">
        <f t="shared" si="8"/>
        <v/>
      </c>
      <c r="N197" s="28"/>
    </row>
    <row r="198" spans="1:14" ht="28.5" customHeight="1">
      <c r="A198" s="26"/>
      <c r="B198" s="28"/>
      <c r="C198" s="34"/>
      <c r="D198" s="28"/>
      <c r="E198" s="22"/>
      <c r="F198" s="34"/>
      <c r="G198" s="28"/>
      <c r="H198" s="22"/>
      <c r="I198" s="28"/>
      <c r="J198" s="22"/>
      <c r="K198" s="35" t="str">
        <f t="shared" ref="K198:K246" si="9">IF(OR(E198="",H198="",H198&lt;=0),"",E198/H198)</f>
        <v/>
      </c>
      <c r="L198" s="21">
        <f t="shared" ref="L198:L246" si="10">IF(AND(ISNUMBER(A198),OR(F198="嘉信证券",F198="嘉信入金中转"),C198&lt;&gt;"嘉信证券",G198="USD",ISNUMBER(H198),H198&gt;0),H198,0)</f>
        <v>0</v>
      </c>
      <c r="M198" s="20" t="str">
        <f t="shared" ref="M198:M246" si="11">IF(COUNTA(A198:J198)=0,"",IF(OR(A198="",C198="",D198="",E198="",F198="",G198="",H198=""),"待补换汇信息",IF(OR(E198&lt;=0,H198&lt;=0,J198&lt;0,D198=G198,AND(J198&gt;0,I198="")),"请检查币种／金额／费用","已记录")))</f>
        <v/>
      </c>
      <c r="N198" s="28"/>
    </row>
    <row r="199" spans="1:14" ht="28.5" customHeight="1">
      <c r="A199" s="26"/>
      <c r="B199" s="28"/>
      <c r="C199" s="34"/>
      <c r="D199" s="28"/>
      <c r="E199" s="22"/>
      <c r="F199" s="34"/>
      <c r="G199" s="28"/>
      <c r="H199" s="22"/>
      <c r="I199" s="28"/>
      <c r="J199" s="22"/>
      <c r="K199" s="35" t="str">
        <f t="shared" si="9"/>
        <v/>
      </c>
      <c r="L199" s="21">
        <f t="shared" si="10"/>
        <v>0</v>
      </c>
      <c r="M199" s="20" t="str">
        <f t="shared" si="11"/>
        <v/>
      </c>
      <c r="N199" s="28"/>
    </row>
    <row r="200" spans="1:14" ht="28.5" customHeight="1">
      <c r="A200" s="26"/>
      <c r="B200" s="28"/>
      <c r="C200" s="34"/>
      <c r="D200" s="28"/>
      <c r="E200" s="22"/>
      <c r="F200" s="34"/>
      <c r="G200" s="28"/>
      <c r="H200" s="22"/>
      <c r="I200" s="28"/>
      <c r="J200" s="22"/>
      <c r="K200" s="35" t="str">
        <f t="shared" si="9"/>
        <v/>
      </c>
      <c r="L200" s="21">
        <f t="shared" si="10"/>
        <v>0</v>
      </c>
      <c r="M200" s="20" t="str">
        <f t="shared" si="11"/>
        <v/>
      </c>
      <c r="N200" s="28"/>
    </row>
    <row r="201" spans="1:14" ht="28.5" customHeight="1">
      <c r="A201" s="26"/>
      <c r="B201" s="28"/>
      <c r="C201" s="34"/>
      <c r="D201" s="28"/>
      <c r="E201" s="22"/>
      <c r="F201" s="34"/>
      <c r="G201" s="28"/>
      <c r="H201" s="22"/>
      <c r="I201" s="28"/>
      <c r="J201" s="22"/>
      <c r="K201" s="35" t="str">
        <f t="shared" si="9"/>
        <v/>
      </c>
      <c r="L201" s="21">
        <f t="shared" si="10"/>
        <v>0</v>
      </c>
      <c r="M201" s="20" t="str">
        <f t="shared" si="11"/>
        <v/>
      </c>
      <c r="N201" s="28"/>
    </row>
    <row r="202" spans="1:14" ht="28.5" customHeight="1">
      <c r="A202" s="26"/>
      <c r="B202" s="28"/>
      <c r="C202" s="34"/>
      <c r="D202" s="28"/>
      <c r="E202" s="22"/>
      <c r="F202" s="34"/>
      <c r="G202" s="28"/>
      <c r="H202" s="22"/>
      <c r="I202" s="28"/>
      <c r="J202" s="22"/>
      <c r="K202" s="35" t="str">
        <f t="shared" si="9"/>
        <v/>
      </c>
      <c r="L202" s="21">
        <f t="shared" si="10"/>
        <v>0</v>
      </c>
      <c r="M202" s="20" t="str">
        <f t="shared" si="11"/>
        <v/>
      </c>
      <c r="N202" s="28"/>
    </row>
    <row r="203" spans="1:14" ht="28.5" customHeight="1">
      <c r="A203" s="26"/>
      <c r="B203" s="28"/>
      <c r="C203" s="34"/>
      <c r="D203" s="28"/>
      <c r="E203" s="22"/>
      <c r="F203" s="34"/>
      <c r="G203" s="28"/>
      <c r="H203" s="22"/>
      <c r="I203" s="28"/>
      <c r="J203" s="22"/>
      <c r="K203" s="35" t="str">
        <f t="shared" si="9"/>
        <v/>
      </c>
      <c r="L203" s="21">
        <f t="shared" si="10"/>
        <v>0</v>
      </c>
      <c r="M203" s="20" t="str">
        <f t="shared" si="11"/>
        <v/>
      </c>
      <c r="N203" s="28"/>
    </row>
    <row r="204" spans="1:14" ht="28.5" customHeight="1">
      <c r="A204" s="26"/>
      <c r="B204" s="28"/>
      <c r="C204" s="34"/>
      <c r="D204" s="28"/>
      <c r="E204" s="22"/>
      <c r="F204" s="34"/>
      <c r="G204" s="28"/>
      <c r="H204" s="22"/>
      <c r="I204" s="28"/>
      <c r="J204" s="22"/>
      <c r="K204" s="35" t="str">
        <f t="shared" si="9"/>
        <v/>
      </c>
      <c r="L204" s="21">
        <f t="shared" si="10"/>
        <v>0</v>
      </c>
      <c r="M204" s="20" t="str">
        <f t="shared" si="11"/>
        <v/>
      </c>
      <c r="N204" s="28"/>
    </row>
    <row r="205" spans="1:14" ht="28.5" customHeight="1">
      <c r="A205" s="26"/>
      <c r="B205" s="28"/>
      <c r="C205" s="34"/>
      <c r="D205" s="28"/>
      <c r="E205" s="22"/>
      <c r="F205" s="34"/>
      <c r="G205" s="28"/>
      <c r="H205" s="22"/>
      <c r="I205" s="28"/>
      <c r="J205" s="22"/>
      <c r="K205" s="35" t="str">
        <f t="shared" si="9"/>
        <v/>
      </c>
      <c r="L205" s="21">
        <f t="shared" si="10"/>
        <v>0</v>
      </c>
      <c r="M205" s="20" t="str">
        <f t="shared" si="11"/>
        <v/>
      </c>
      <c r="N205" s="28"/>
    </row>
    <row r="206" spans="1:14" ht="28.5" customHeight="1">
      <c r="A206" s="26"/>
      <c r="B206" s="28"/>
      <c r="C206" s="34"/>
      <c r="D206" s="28"/>
      <c r="E206" s="22"/>
      <c r="F206" s="34"/>
      <c r="G206" s="28"/>
      <c r="H206" s="22"/>
      <c r="I206" s="28"/>
      <c r="J206" s="22"/>
      <c r="K206" s="35" t="str">
        <f t="shared" si="9"/>
        <v/>
      </c>
      <c r="L206" s="21">
        <f t="shared" si="10"/>
        <v>0</v>
      </c>
      <c r="M206" s="20" t="str">
        <f t="shared" si="11"/>
        <v/>
      </c>
      <c r="N206" s="28"/>
    </row>
    <row r="207" spans="1:14" ht="28.5" customHeight="1">
      <c r="A207" s="26"/>
      <c r="B207" s="28"/>
      <c r="C207" s="34"/>
      <c r="D207" s="28"/>
      <c r="E207" s="22"/>
      <c r="F207" s="34"/>
      <c r="G207" s="28"/>
      <c r="H207" s="22"/>
      <c r="I207" s="28"/>
      <c r="J207" s="22"/>
      <c r="K207" s="35" t="str">
        <f t="shared" si="9"/>
        <v/>
      </c>
      <c r="L207" s="21">
        <f t="shared" si="10"/>
        <v>0</v>
      </c>
      <c r="M207" s="20" t="str">
        <f t="shared" si="11"/>
        <v/>
      </c>
      <c r="N207" s="28"/>
    </row>
    <row r="208" spans="1:14" ht="28.5" customHeight="1">
      <c r="A208" s="26"/>
      <c r="B208" s="28"/>
      <c r="C208" s="34"/>
      <c r="D208" s="28"/>
      <c r="E208" s="22"/>
      <c r="F208" s="34"/>
      <c r="G208" s="28"/>
      <c r="H208" s="22"/>
      <c r="I208" s="28"/>
      <c r="J208" s="22"/>
      <c r="K208" s="35" t="str">
        <f t="shared" si="9"/>
        <v/>
      </c>
      <c r="L208" s="21">
        <f t="shared" si="10"/>
        <v>0</v>
      </c>
      <c r="M208" s="20" t="str">
        <f t="shared" si="11"/>
        <v/>
      </c>
      <c r="N208" s="28"/>
    </row>
    <row r="209" spans="1:14" ht="28.5" customHeight="1">
      <c r="A209" s="26"/>
      <c r="B209" s="28"/>
      <c r="C209" s="34"/>
      <c r="D209" s="28"/>
      <c r="E209" s="22"/>
      <c r="F209" s="34"/>
      <c r="G209" s="28"/>
      <c r="H209" s="22"/>
      <c r="I209" s="28"/>
      <c r="J209" s="22"/>
      <c r="K209" s="35" t="str">
        <f t="shared" si="9"/>
        <v/>
      </c>
      <c r="L209" s="21">
        <f t="shared" si="10"/>
        <v>0</v>
      </c>
      <c r="M209" s="20" t="str">
        <f t="shared" si="11"/>
        <v/>
      </c>
      <c r="N209" s="28"/>
    </row>
    <row r="210" spans="1:14" ht="28.5" customHeight="1">
      <c r="A210" s="26"/>
      <c r="B210" s="28"/>
      <c r="C210" s="34"/>
      <c r="D210" s="28"/>
      <c r="E210" s="22"/>
      <c r="F210" s="34"/>
      <c r="G210" s="28"/>
      <c r="H210" s="22"/>
      <c r="I210" s="28"/>
      <c r="J210" s="22"/>
      <c r="K210" s="35" t="str">
        <f t="shared" si="9"/>
        <v/>
      </c>
      <c r="L210" s="21">
        <f t="shared" si="10"/>
        <v>0</v>
      </c>
      <c r="M210" s="20" t="str">
        <f t="shared" si="11"/>
        <v/>
      </c>
      <c r="N210" s="28"/>
    </row>
    <row r="211" spans="1:14" ht="28.5" customHeight="1">
      <c r="A211" s="26"/>
      <c r="B211" s="28"/>
      <c r="C211" s="34"/>
      <c r="D211" s="28"/>
      <c r="E211" s="22"/>
      <c r="F211" s="34"/>
      <c r="G211" s="28"/>
      <c r="H211" s="22"/>
      <c r="I211" s="28"/>
      <c r="J211" s="22"/>
      <c r="K211" s="35" t="str">
        <f t="shared" si="9"/>
        <v/>
      </c>
      <c r="L211" s="21">
        <f t="shared" si="10"/>
        <v>0</v>
      </c>
      <c r="M211" s="20" t="str">
        <f t="shared" si="11"/>
        <v/>
      </c>
      <c r="N211" s="28"/>
    </row>
    <row r="212" spans="1:14" ht="28.5" customHeight="1">
      <c r="A212" s="26"/>
      <c r="B212" s="28"/>
      <c r="C212" s="34"/>
      <c r="D212" s="28"/>
      <c r="E212" s="22"/>
      <c r="F212" s="34"/>
      <c r="G212" s="28"/>
      <c r="H212" s="22"/>
      <c r="I212" s="28"/>
      <c r="J212" s="22"/>
      <c r="K212" s="35" t="str">
        <f t="shared" si="9"/>
        <v/>
      </c>
      <c r="L212" s="21">
        <f t="shared" si="10"/>
        <v>0</v>
      </c>
      <c r="M212" s="20" t="str">
        <f t="shared" si="11"/>
        <v/>
      </c>
      <c r="N212" s="28"/>
    </row>
    <row r="213" spans="1:14" ht="28.5" customHeight="1">
      <c r="A213" s="26"/>
      <c r="B213" s="28"/>
      <c r="C213" s="34"/>
      <c r="D213" s="28"/>
      <c r="E213" s="22"/>
      <c r="F213" s="34"/>
      <c r="G213" s="28"/>
      <c r="H213" s="22"/>
      <c r="I213" s="28"/>
      <c r="J213" s="22"/>
      <c r="K213" s="35" t="str">
        <f t="shared" si="9"/>
        <v/>
      </c>
      <c r="L213" s="21">
        <f t="shared" si="10"/>
        <v>0</v>
      </c>
      <c r="M213" s="20" t="str">
        <f t="shared" si="11"/>
        <v/>
      </c>
      <c r="N213" s="28"/>
    </row>
    <row r="214" spans="1:14" ht="28.5" customHeight="1">
      <c r="A214" s="26"/>
      <c r="B214" s="28"/>
      <c r="C214" s="34"/>
      <c r="D214" s="28"/>
      <c r="E214" s="22"/>
      <c r="F214" s="34"/>
      <c r="G214" s="28"/>
      <c r="H214" s="22"/>
      <c r="I214" s="28"/>
      <c r="J214" s="22"/>
      <c r="K214" s="35" t="str">
        <f t="shared" si="9"/>
        <v/>
      </c>
      <c r="L214" s="21">
        <f t="shared" si="10"/>
        <v>0</v>
      </c>
      <c r="M214" s="20" t="str">
        <f t="shared" si="11"/>
        <v/>
      </c>
      <c r="N214" s="28"/>
    </row>
    <row r="215" spans="1:14" ht="28.5" customHeight="1">
      <c r="A215" s="26"/>
      <c r="B215" s="28"/>
      <c r="C215" s="34"/>
      <c r="D215" s="28"/>
      <c r="E215" s="22"/>
      <c r="F215" s="34"/>
      <c r="G215" s="28"/>
      <c r="H215" s="22"/>
      <c r="I215" s="28"/>
      <c r="J215" s="22"/>
      <c r="K215" s="35" t="str">
        <f t="shared" si="9"/>
        <v/>
      </c>
      <c r="L215" s="21">
        <f t="shared" si="10"/>
        <v>0</v>
      </c>
      <c r="M215" s="20" t="str">
        <f t="shared" si="11"/>
        <v/>
      </c>
      <c r="N215" s="28"/>
    </row>
    <row r="216" spans="1:14" ht="28.5" customHeight="1">
      <c r="A216" s="26"/>
      <c r="B216" s="28"/>
      <c r="C216" s="34"/>
      <c r="D216" s="28"/>
      <c r="E216" s="22"/>
      <c r="F216" s="34"/>
      <c r="G216" s="28"/>
      <c r="H216" s="22"/>
      <c r="I216" s="28"/>
      <c r="J216" s="22"/>
      <c r="K216" s="35" t="str">
        <f t="shared" si="9"/>
        <v/>
      </c>
      <c r="L216" s="21">
        <f t="shared" si="10"/>
        <v>0</v>
      </c>
      <c r="M216" s="20" t="str">
        <f t="shared" si="11"/>
        <v/>
      </c>
      <c r="N216" s="28"/>
    </row>
    <row r="217" spans="1:14" ht="28.5" customHeight="1">
      <c r="A217" s="26"/>
      <c r="B217" s="28"/>
      <c r="C217" s="34"/>
      <c r="D217" s="28"/>
      <c r="E217" s="22"/>
      <c r="F217" s="34"/>
      <c r="G217" s="28"/>
      <c r="H217" s="22"/>
      <c r="I217" s="28"/>
      <c r="J217" s="22"/>
      <c r="K217" s="35" t="str">
        <f t="shared" si="9"/>
        <v/>
      </c>
      <c r="L217" s="21">
        <f t="shared" si="10"/>
        <v>0</v>
      </c>
      <c r="M217" s="20" t="str">
        <f t="shared" si="11"/>
        <v/>
      </c>
      <c r="N217" s="28"/>
    </row>
    <row r="218" spans="1:14" ht="28.5" customHeight="1">
      <c r="A218" s="26"/>
      <c r="B218" s="28"/>
      <c r="C218" s="34"/>
      <c r="D218" s="28"/>
      <c r="E218" s="22"/>
      <c r="F218" s="34"/>
      <c r="G218" s="28"/>
      <c r="H218" s="22"/>
      <c r="I218" s="28"/>
      <c r="J218" s="22"/>
      <c r="K218" s="35" t="str">
        <f t="shared" si="9"/>
        <v/>
      </c>
      <c r="L218" s="21">
        <f t="shared" si="10"/>
        <v>0</v>
      </c>
      <c r="M218" s="20" t="str">
        <f t="shared" si="11"/>
        <v/>
      </c>
      <c r="N218" s="28"/>
    </row>
    <row r="219" spans="1:14" ht="28.5" customHeight="1">
      <c r="A219" s="26"/>
      <c r="B219" s="28"/>
      <c r="C219" s="34"/>
      <c r="D219" s="28"/>
      <c r="E219" s="22"/>
      <c r="F219" s="34"/>
      <c r="G219" s="28"/>
      <c r="H219" s="22"/>
      <c r="I219" s="28"/>
      <c r="J219" s="22"/>
      <c r="K219" s="35" t="str">
        <f t="shared" si="9"/>
        <v/>
      </c>
      <c r="L219" s="21">
        <f t="shared" si="10"/>
        <v>0</v>
      </c>
      <c r="M219" s="20" t="str">
        <f t="shared" si="11"/>
        <v/>
      </c>
      <c r="N219" s="28"/>
    </row>
    <row r="220" spans="1:14" ht="28.5" customHeight="1">
      <c r="A220" s="26"/>
      <c r="B220" s="28"/>
      <c r="C220" s="34"/>
      <c r="D220" s="28"/>
      <c r="E220" s="22"/>
      <c r="F220" s="34"/>
      <c r="G220" s="28"/>
      <c r="H220" s="22"/>
      <c r="I220" s="28"/>
      <c r="J220" s="22"/>
      <c r="K220" s="35" t="str">
        <f t="shared" si="9"/>
        <v/>
      </c>
      <c r="L220" s="21">
        <f t="shared" si="10"/>
        <v>0</v>
      </c>
      <c r="M220" s="20" t="str">
        <f t="shared" si="11"/>
        <v/>
      </c>
      <c r="N220" s="28"/>
    </row>
    <row r="221" spans="1:14" ht="28.5" customHeight="1">
      <c r="A221" s="26"/>
      <c r="B221" s="28"/>
      <c r="C221" s="34"/>
      <c r="D221" s="28"/>
      <c r="E221" s="22"/>
      <c r="F221" s="34"/>
      <c r="G221" s="28"/>
      <c r="H221" s="22"/>
      <c r="I221" s="28"/>
      <c r="J221" s="22"/>
      <c r="K221" s="35" t="str">
        <f t="shared" si="9"/>
        <v/>
      </c>
      <c r="L221" s="21">
        <f t="shared" si="10"/>
        <v>0</v>
      </c>
      <c r="M221" s="20" t="str">
        <f t="shared" si="11"/>
        <v/>
      </c>
      <c r="N221" s="28"/>
    </row>
    <row r="222" spans="1:14" ht="28.5" customHeight="1">
      <c r="A222" s="26"/>
      <c r="B222" s="28"/>
      <c r="C222" s="34"/>
      <c r="D222" s="28"/>
      <c r="E222" s="22"/>
      <c r="F222" s="34"/>
      <c r="G222" s="28"/>
      <c r="H222" s="22"/>
      <c r="I222" s="28"/>
      <c r="J222" s="22"/>
      <c r="K222" s="35" t="str">
        <f t="shared" si="9"/>
        <v/>
      </c>
      <c r="L222" s="21">
        <f t="shared" si="10"/>
        <v>0</v>
      </c>
      <c r="M222" s="20" t="str">
        <f t="shared" si="11"/>
        <v/>
      </c>
      <c r="N222" s="28"/>
    </row>
    <row r="223" spans="1:14" ht="28.5" customHeight="1">
      <c r="A223" s="26"/>
      <c r="B223" s="28"/>
      <c r="C223" s="34"/>
      <c r="D223" s="28"/>
      <c r="E223" s="22"/>
      <c r="F223" s="34"/>
      <c r="G223" s="28"/>
      <c r="H223" s="22"/>
      <c r="I223" s="28"/>
      <c r="J223" s="22"/>
      <c r="K223" s="35" t="str">
        <f t="shared" si="9"/>
        <v/>
      </c>
      <c r="L223" s="21">
        <f t="shared" si="10"/>
        <v>0</v>
      </c>
      <c r="M223" s="20" t="str">
        <f t="shared" si="11"/>
        <v/>
      </c>
      <c r="N223" s="28"/>
    </row>
    <row r="224" spans="1:14" ht="28.5" customHeight="1">
      <c r="A224" s="26"/>
      <c r="B224" s="28"/>
      <c r="C224" s="34"/>
      <c r="D224" s="28"/>
      <c r="E224" s="22"/>
      <c r="F224" s="34"/>
      <c r="G224" s="28"/>
      <c r="H224" s="22"/>
      <c r="I224" s="28"/>
      <c r="J224" s="22"/>
      <c r="K224" s="35" t="str">
        <f t="shared" si="9"/>
        <v/>
      </c>
      <c r="L224" s="21">
        <f t="shared" si="10"/>
        <v>0</v>
      </c>
      <c r="M224" s="20" t="str">
        <f t="shared" si="11"/>
        <v/>
      </c>
      <c r="N224" s="28"/>
    </row>
    <row r="225" spans="1:14" ht="28.5" customHeight="1">
      <c r="A225" s="26"/>
      <c r="B225" s="28"/>
      <c r="C225" s="34"/>
      <c r="D225" s="28"/>
      <c r="E225" s="22"/>
      <c r="F225" s="34"/>
      <c r="G225" s="28"/>
      <c r="H225" s="22"/>
      <c r="I225" s="28"/>
      <c r="J225" s="22"/>
      <c r="K225" s="35" t="str">
        <f t="shared" si="9"/>
        <v/>
      </c>
      <c r="L225" s="21">
        <f t="shared" si="10"/>
        <v>0</v>
      </c>
      <c r="M225" s="20" t="str">
        <f t="shared" si="11"/>
        <v/>
      </c>
      <c r="N225" s="28"/>
    </row>
    <row r="226" spans="1:14" ht="28.5" customHeight="1">
      <c r="A226" s="26"/>
      <c r="B226" s="28"/>
      <c r="C226" s="34"/>
      <c r="D226" s="28"/>
      <c r="E226" s="22"/>
      <c r="F226" s="34"/>
      <c r="G226" s="28"/>
      <c r="H226" s="22"/>
      <c r="I226" s="28"/>
      <c r="J226" s="22"/>
      <c r="K226" s="35" t="str">
        <f t="shared" si="9"/>
        <v/>
      </c>
      <c r="L226" s="21">
        <f t="shared" si="10"/>
        <v>0</v>
      </c>
      <c r="M226" s="20" t="str">
        <f t="shared" si="11"/>
        <v/>
      </c>
      <c r="N226" s="28"/>
    </row>
    <row r="227" spans="1:14" ht="28.5" customHeight="1">
      <c r="A227" s="26"/>
      <c r="B227" s="28"/>
      <c r="C227" s="34"/>
      <c r="D227" s="28"/>
      <c r="E227" s="22"/>
      <c r="F227" s="34"/>
      <c r="G227" s="28"/>
      <c r="H227" s="22"/>
      <c r="I227" s="28"/>
      <c r="J227" s="22"/>
      <c r="K227" s="35" t="str">
        <f t="shared" si="9"/>
        <v/>
      </c>
      <c r="L227" s="21">
        <f t="shared" si="10"/>
        <v>0</v>
      </c>
      <c r="M227" s="20" t="str">
        <f t="shared" si="11"/>
        <v/>
      </c>
      <c r="N227" s="28"/>
    </row>
    <row r="228" spans="1:14" ht="28.5" customHeight="1">
      <c r="A228" s="26"/>
      <c r="B228" s="28"/>
      <c r="C228" s="34"/>
      <c r="D228" s="28"/>
      <c r="E228" s="22"/>
      <c r="F228" s="34"/>
      <c r="G228" s="28"/>
      <c r="H228" s="22"/>
      <c r="I228" s="28"/>
      <c r="J228" s="22"/>
      <c r="K228" s="35" t="str">
        <f t="shared" si="9"/>
        <v/>
      </c>
      <c r="L228" s="21">
        <f t="shared" si="10"/>
        <v>0</v>
      </c>
      <c r="M228" s="20" t="str">
        <f t="shared" si="11"/>
        <v/>
      </c>
      <c r="N228" s="28"/>
    </row>
    <row r="229" spans="1:14" ht="28.5" customHeight="1">
      <c r="A229" s="26"/>
      <c r="B229" s="28"/>
      <c r="C229" s="34"/>
      <c r="D229" s="28"/>
      <c r="E229" s="22"/>
      <c r="F229" s="34"/>
      <c r="G229" s="28"/>
      <c r="H229" s="22"/>
      <c r="I229" s="28"/>
      <c r="J229" s="22"/>
      <c r="K229" s="35" t="str">
        <f t="shared" si="9"/>
        <v/>
      </c>
      <c r="L229" s="21">
        <f t="shared" si="10"/>
        <v>0</v>
      </c>
      <c r="M229" s="20" t="str">
        <f t="shared" si="11"/>
        <v/>
      </c>
      <c r="N229" s="28"/>
    </row>
    <row r="230" spans="1:14" ht="28.5" customHeight="1">
      <c r="A230" s="26"/>
      <c r="B230" s="28"/>
      <c r="C230" s="34"/>
      <c r="D230" s="28"/>
      <c r="E230" s="22"/>
      <c r="F230" s="34"/>
      <c r="G230" s="28"/>
      <c r="H230" s="22"/>
      <c r="I230" s="28"/>
      <c r="J230" s="22"/>
      <c r="K230" s="35" t="str">
        <f t="shared" si="9"/>
        <v/>
      </c>
      <c r="L230" s="21">
        <f t="shared" si="10"/>
        <v>0</v>
      </c>
      <c r="M230" s="20" t="str">
        <f t="shared" si="11"/>
        <v/>
      </c>
      <c r="N230" s="28"/>
    </row>
    <row r="231" spans="1:14" ht="28.5" customHeight="1">
      <c r="A231" s="26"/>
      <c r="B231" s="28"/>
      <c r="C231" s="34"/>
      <c r="D231" s="28"/>
      <c r="E231" s="22"/>
      <c r="F231" s="34"/>
      <c r="G231" s="28"/>
      <c r="H231" s="22"/>
      <c r="I231" s="28"/>
      <c r="J231" s="22"/>
      <c r="K231" s="35" t="str">
        <f t="shared" si="9"/>
        <v/>
      </c>
      <c r="L231" s="21">
        <f t="shared" si="10"/>
        <v>0</v>
      </c>
      <c r="M231" s="20" t="str">
        <f t="shared" si="11"/>
        <v/>
      </c>
      <c r="N231" s="28"/>
    </row>
    <row r="232" spans="1:14" ht="28.5" customHeight="1">
      <c r="A232" s="26"/>
      <c r="B232" s="28"/>
      <c r="C232" s="34"/>
      <c r="D232" s="28"/>
      <c r="E232" s="22"/>
      <c r="F232" s="34"/>
      <c r="G232" s="28"/>
      <c r="H232" s="22"/>
      <c r="I232" s="28"/>
      <c r="J232" s="22"/>
      <c r="K232" s="35" t="str">
        <f t="shared" si="9"/>
        <v/>
      </c>
      <c r="L232" s="21">
        <f t="shared" si="10"/>
        <v>0</v>
      </c>
      <c r="M232" s="20" t="str">
        <f t="shared" si="11"/>
        <v/>
      </c>
      <c r="N232" s="28"/>
    </row>
    <row r="233" spans="1:14" ht="28.5" customHeight="1">
      <c r="A233" s="26"/>
      <c r="B233" s="28"/>
      <c r="C233" s="34"/>
      <c r="D233" s="28"/>
      <c r="E233" s="22"/>
      <c r="F233" s="34"/>
      <c r="G233" s="28"/>
      <c r="H233" s="22"/>
      <c r="I233" s="28"/>
      <c r="J233" s="22"/>
      <c r="K233" s="35" t="str">
        <f t="shared" si="9"/>
        <v/>
      </c>
      <c r="L233" s="21">
        <f t="shared" si="10"/>
        <v>0</v>
      </c>
      <c r="M233" s="20" t="str">
        <f t="shared" si="11"/>
        <v/>
      </c>
      <c r="N233" s="28"/>
    </row>
    <row r="234" spans="1:14" ht="28.5" customHeight="1">
      <c r="A234" s="26"/>
      <c r="B234" s="28"/>
      <c r="C234" s="34"/>
      <c r="D234" s="28"/>
      <c r="E234" s="22"/>
      <c r="F234" s="34"/>
      <c r="G234" s="28"/>
      <c r="H234" s="22"/>
      <c r="I234" s="28"/>
      <c r="J234" s="22"/>
      <c r="K234" s="35" t="str">
        <f t="shared" si="9"/>
        <v/>
      </c>
      <c r="L234" s="21">
        <f t="shared" si="10"/>
        <v>0</v>
      </c>
      <c r="M234" s="20" t="str">
        <f t="shared" si="11"/>
        <v/>
      </c>
      <c r="N234" s="28"/>
    </row>
    <row r="235" spans="1:14" ht="28.5" customHeight="1">
      <c r="A235" s="26"/>
      <c r="B235" s="28"/>
      <c r="C235" s="34"/>
      <c r="D235" s="28"/>
      <c r="E235" s="22"/>
      <c r="F235" s="34"/>
      <c r="G235" s="28"/>
      <c r="H235" s="22"/>
      <c r="I235" s="28"/>
      <c r="J235" s="22"/>
      <c r="K235" s="35" t="str">
        <f t="shared" si="9"/>
        <v/>
      </c>
      <c r="L235" s="21">
        <f t="shared" si="10"/>
        <v>0</v>
      </c>
      <c r="M235" s="20" t="str">
        <f t="shared" si="11"/>
        <v/>
      </c>
      <c r="N235" s="28"/>
    </row>
    <row r="236" spans="1:14" ht="28.5" customHeight="1">
      <c r="A236" s="26"/>
      <c r="B236" s="28"/>
      <c r="C236" s="34"/>
      <c r="D236" s="28"/>
      <c r="E236" s="22"/>
      <c r="F236" s="34"/>
      <c r="G236" s="28"/>
      <c r="H236" s="22"/>
      <c r="I236" s="28"/>
      <c r="J236" s="22"/>
      <c r="K236" s="35" t="str">
        <f t="shared" si="9"/>
        <v/>
      </c>
      <c r="L236" s="21">
        <f t="shared" si="10"/>
        <v>0</v>
      </c>
      <c r="M236" s="20" t="str">
        <f t="shared" si="11"/>
        <v/>
      </c>
      <c r="N236" s="28"/>
    </row>
    <row r="237" spans="1:14" ht="28.5" customHeight="1">
      <c r="A237" s="26"/>
      <c r="B237" s="28"/>
      <c r="C237" s="34"/>
      <c r="D237" s="28"/>
      <c r="E237" s="22"/>
      <c r="F237" s="34"/>
      <c r="G237" s="28"/>
      <c r="H237" s="22"/>
      <c r="I237" s="28"/>
      <c r="J237" s="22"/>
      <c r="K237" s="35" t="str">
        <f t="shared" si="9"/>
        <v/>
      </c>
      <c r="L237" s="21">
        <f t="shared" si="10"/>
        <v>0</v>
      </c>
      <c r="M237" s="20" t="str">
        <f t="shared" si="11"/>
        <v/>
      </c>
      <c r="N237" s="28"/>
    </row>
    <row r="238" spans="1:14" ht="28.5" customHeight="1">
      <c r="A238" s="26"/>
      <c r="B238" s="28"/>
      <c r="C238" s="34"/>
      <c r="D238" s="28"/>
      <c r="E238" s="22"/>
      <c r="F238" s="34"/>
      <c r="G238" s="28"/>
      <c r="H238" s="22"/>
      <c r="I238" s="28"/>
      <c r="J238" s="22"/>
      <c r="K238" s="35" t="str">
        <f t="shared" si="9"/>
        <v/>
      </c>
      <c r="L238" s="21">
        <f t="shared" si="10"/>
        <v>0</v>
      </c>
      <c r="M238" s="20" t="str">
        <f t="shared" si="11"/>
        <v/>
      </c>
      <c r="N238" s="28"/>
    </row>
    <row r="239" spans="1:14" ht="28.5" customHeight="1">
      <c r="A239" s="26"/>
      <c r="B239" s="28"/>
      <c r="C239" s="34"/>
      <c r="D239" s="28"/>
      <c r="E239" s="22"/>
      <c r="F239" s="34"/>
      <c r="G239" s="28"/>
      <c r="H239" s="22"/>
      <c r="I239" s="28"/>
      <c r="J239" s="22"/>
      <c r="K239" s="35" t="str">
        <f t="shared" si="9"/>
        <v/>
      </c>
      <c r="L239" s="21">
        <f t="shared" si="10"/>
        <v>0</v>
      </c>
      <c r="M239" s="20" t="str">
        <f t="shared" si="11"/>
        <v/>
      </c>
      <c r="N239" s="28"/>
    </row>
    <row r="240" spans="1:14" ht="28.5" customHeight="1">
      <c r="A240" s="26"/>
      <c r="B240" s="28"/>
      <c r="C240" s="34"/>
      <c r="D240" s="28"/>
      <c r="E240" s="22"/>
      <c r="F240" s="34"/>
      <c r="G240" s="28"/>
      <c r="H240" s="22"/>
      <c r="I240" s="28"/>
      <c r="J240" s="22"/>
      <c r="K240" s="35" t="str">
        <f t="shared" si="9"/>
        <v/>
      </c>
      <c r="L240" s="21">
        <f t="shared" si="10"/>
        <v>0</v>
      </c>
      <c r="M240" s="20" t="str">
        <f t="shared" si="11"/>
        <v/>
      </c>
      <c r="N240" s="28"/>
    </row>
    <row r="241" spans="1:14" ht="28.5" customHeight="1">
      <c r="A241" s="26"/>
      <c r="B241" s="28"/>
      <c r="C241" s="34"/>
      <c r="D241" s="28"/>
      <c r="E241" s="22"/>
      <c r="F241" s="34"/>
      <c r="G241" s="28"/>
      <c r="H241" s="22"/>
      <c r="I241" s="28"/>
      <c r="J241" s="22"/>
      <c r="K241" s="35" t="str">
        <f t="shared" si="9"/>
        <v/>
      </c>
      <c r="L241" s="21">
        <f t="shared" si="10"/>
        <v>0</v>
      </c>
      <c r="M241" s="20" t="str">
        <f t="shared" si="11"/>
        <v/>
      </c>
      <c r="N241" s="28"/>
    </row>
    <row r="242" spans="1:14" ht="28.5" customHeight="1">
      <c r="A242" s="26"/>
      <c r="B242" s="28"/>
      <c r="C242" s="34"/>
      <c r="D242" s="28"/>
      <c r="E242" s="22"/>
      <c r="F242" s="34"/>
      <c r="G242" s="28"/>
      <c r="H242" s="22"/>
      <c r="I242" s="28"/>
      <c r="J242" s="22"/>
      <c r="K242" s="35" t="str">
        <f t="shared" si="9"/>
        <v/>
      </c>
      <c r="L242" s="21">
        <f t="shared" si="10"/>
        <v>0</v>
      </c>
      <c r="M242" s="20" t="str">
        <f t="shared" si="11"/>
        <v/>
      </c>
      <c r="N242" s="28"/>
    </row>
    <row r="243" spans="1:14" ht="28.5" customHeight="1">
      <c r="A243" s="26"/>
      <c r="B243" s="28"/>
      <c r="C243" s="34"/>
      <c r="D243" s="28"/>
      <c r="E243" s="22"/>
      <c r="F243" s="34"/>
      <c r="G243" s="28"/>
      <c r="H243" s="22"/>
      <c r="I243" s="28"/>
      <c r="J243" s="22"/>
      <c r="K243" s="35" t="str">
        <f t="shared" si="9"/>
        <v/>
      </c>
      <c r="L243" s="21">
        <f t="shared" si="10"/>
        <v>0</v>
      </c>
      <c r="M243" s="20" t="str">
        <f t="shared" si="11"/>
        <v/>
      </c>
      <c r="N243" s="28"/>
    </row>
    <row r="244" spans="1:14" ht="28.5" customHeight="1">
      <c r="A244" s="26"/>
      <c r="B244" s="28"/>
      <c r="C244" s="34"/>
      <c r="D244" s="28"/>
      <c r="E244" s="22"/>
      <c r="F244" s="34"/>
      <c r="G244" s="28"/>
      <c r="H244" s="22"/>
      <c r="I244" s="28"/>
      <c r="J244" s="22"/>
      <c r="K244" s="35" t="str">
        <f t="shared" si="9"/>
        <v/>
      </c>
      <c r="L244" s="21">
        <f t="shared" si="10"/>
        <v>0</v>
      </c>
      <c r="M244" s="20" t="str">
        <f t="shared" si="11"/>
        <v/>
      </c>
      <c r="N244" s="28"/>
    </row>
    <row r="245" spans="1:14" ht="28.5" customHeight="1">
      <c r="A245" s="26"/>
      <c r="B245" s="28"/>
      <c r="C245" s="34"/>
      <c r="D245" s="28"/>
      <c r="E245" s="22"/>
      <c r="F245" s="34"/>
      <c r="G245" s="28"/>
      <c r="H245" s="22"/>
      <c r="I245" s="28"/>
      <c r="J245" s="22"/>
      <c r="K245" s="35" t="str">
        <f t="shared" si="9"/>
        <v/>
      </c>
      <c r="L245" s="21">
        <f t="shared" si="10"/>
        <v>0</v>
      </c>
      <c r="M245" s="20" t="str">
        <f t="shared" si="11"/>
        <v/>
      </c>
      <c r="N245" s="28"/>
    </row>
    <row r="246" spans="1:14" ht="28.5" customHeight="1">
      <c r="A246" s="26"/>
      <c r="B246" s="28"/>
      <c r="C246" s="34"/>
      <c r="D246" s="28"/>
      <c r="E246" s="22"/>
      <c r="F246" s="34"/>
      <c r="G246" s="28"/>
      <c r="H246" s="22"/>
      <c r="I246" s="28"/>
      <c r="J246" s="22"/>
      <c r="K246" s="35" t="str">
        <f t="shared" si="9"/>
        <v/>
      </c>
      <c r="L246" s="21">
        <f t="shared" si="10"/>
        <v>0</v>
      </c>
      <c r="M246" s="20" t="str">
        <f t="shared" si="11"/>
        <v/>
      </c>
      <c r="N246" s="28"/>
    </row>
  </sheetData>
  <autoFilter ref="A5:N246" xr:uid="{00000000-0009-0000-0000-000004000000}"/>
  <mergeCells count="2">
    <mergeCell ref="A1:N2"/>
    <mergeCell ref="A3:N3"/>
  </mergeCells>
  <phoneticPr fontId="29" type="noConversion"/>
  <conditionalFormatting sqref="M6:M246">
    <cfRule type="expression" dxfId="3" priority="2">
      <formula>AND(M6&lt;&gt;"",M6&lt;&gt;"已记录")</formula>
    </cfRule>
  </conditionalFormatting>
  <dataValidations count="3">
    <dataValidation type="list" allowBlank="1" showErrorMessage="1" errorTitle="请选择列表值" error="请使用下拉列表中的值。" sqref="C6:C246 F6:F246" xr:uid="{00000000-0002-0000-0400-000000000000}">
      <formula1>"国内银行,香港汇丰,嘉信入金中转,嘉信证券,其他银行"</formula1>
      <formula2>0</formula2>
    </dataValidation>
    <dataValidation type="list" allowBlank="1" showErrorMessage="1" errorTitle="请选择列表值" error="请使用下拉列表中的值。" sqref="D6:D246 G6:G246 I6:I246" xr:uid="{00000000-0002-0000-0400-000001000000}">
      <formula1>"RMB,HKD,USD"</formula1>
      <formula2>0</formula2>
    </dataValidation>
    <dataValidation type="decimal" operator="greaterThanOrEqual" allowBlank="1" showErrorMessage="1" error="请填非负数。" sqref="E6:E246 H6:H246 J6:J246" xr:uid="{00000000-0002-0000-0400-000002000000}">
      <formula1>0</formula1>
      <formula2>0</formula2>
    </dataValidation>
  </dataValidations>
  <printOptions horizontalCentered="1"/>
  <pageMargins left="0.75" right="0.75" top="1" bottom="1" header="0.511811023622047" footer="0.511811023622047"/>
  <pageSetup paperSize="8"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7E8B"/>
    <pageSetUpPr fitToPage="1"/>
  </sheetPr>
  <dimension ref="A1:M24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J9" sqref="J9"/>
    </sheetView>
  </sheetViews>
  <sheetFormatPr defaultColWidth="8.59765625" defaultRowHeight="13.5"/>
  <cols>
    <col min="1" max="1" width="15" customWidth="1"/>
    <col min="2" max="2" width="20" customWidth="1"/>
    <col min="3" max="3" width="21" customWidth="1"/>
    <col min="4" max="4" width="11" customWidth="1"/>
    <col min="5" max="5" width="17" customWidth="1"/>
    <col min="6" max="6" width="21" customWidth="1"/>
    <col min="7" max="7" width="17" customWidth="1"/>
    <col min="8" max="8" width="15" customWidth="1"/>
    <col min="9" max="9" width="13" customWidth="1"/>
    <col min="10" max="10" width="15" customWidth="1"/>
    <col min="11" max="11" width="17" customWidth="1"/>
    <col min="12" max="12" width="30" customWidth="1"/>
    <col min="13" max="13" width="40" customWidth="1"/>
  </cols>
  <sheetData>
    <row r="1" spans="1:13" ht="25.5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45" customHeight="1">
      <c r="A3" s="7" t="s">
        <v>114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5" spans="1:13" ht="42" customHeight="1">
      <c r="A5" s="23" t="s">
        <v>115</v>
      </c>
      <c r="B5" s="23" t="s">
        <v>94</v>
      </c>
      <c r="C5" s="23" t="s">
        <v>116</v>
      </c>
      <c r="D5" s="23" t="s">
        <v>117</v>
      </c>
      <c r="E5" s="23" t="s">
        <v>118</v>
      </c>
      <c r="F5" s="23" t="s">
        <v>119</v>
      </c>
      <c r="G5" s="23" t="s">
        <v>120</v>
      </c>
      <c r="H5" s="23" t="s">
        <v>121</v>
      </c>
      <c r="I5" s="23" t="s">
        <v>101</v>
      </c>
      <c r="J5" s="23" t="s">
        <v>102</v>
      </c>
      <c r="K5" s="23" t="s">
        <v>122</v>
      </c>
      <c r="L5" s="23" t="s">
        <v>84</v>
      </c>
      <c r="M5" s="23" t="s">
        <v>60</v>
      </c>
    </row>
    <row r="6" spans="1:13" ht="28.5" customHeight="1">
      <c r="A6" s="26">
        <v>46273</v>
      </c>
      <c r="B6" s="28">
        <v>1</v>
      </c>
      <c r="C6" s="34" t="s">
        <v>110</v>
      </c>
      <c r="D6" s="28" t="s">
        <v>111</v>
      </c>
      <c r="E6" s="22">
        <v>12.73</v>
      </c>
      <c r="F6" s="34" t="s">
        <v>123</v>
      </c>
      <c r="G6" s="22">
        <v>12.73</v>
      </c>
      <c r="H6" s="26">
        <v>46273</v>
      </c>
      <c r="I6" s="28" t="s">
        <v>106</v>
      </c>
      <c r="J6" s="22">
        <v>0</v>
      </c>
      <c r="K6" s="21">
        <f t="shared" ref="K6:K69" si="0">IF(OR(E6="",G6=""),"",E6-G6)</f>
        <v>0</v>
      </c>
      <c r="L6" s="20" t="str">
        <f t="shared" ref="L6:L69" si="1">IF(COUNTA(A6:J6)=0,"",IF(OR(A6="",C6="",D6="",E6="",F6=""),"待补汇出信息",IF(OR(E6&lt;=0,J6&lt;0,AND(J6&gt;0,I6=""),C6=F6),"请检查本金／费用／账户",IF(OR(G6="",H6=""),"在途／待补到账",IF(OR(G6&lt;0,H6&lt;A6),"请检查到账信息","已记录")))))</f>
        <v>已记录</v>
      </c>
      <c r="M6" s="28"/>
    </row>
    <row r="7" spans="1:13" ht="28.5" customHeight="1">
      <c r="A7" s="26">
        <v>46274</v>
      </c>
      <c r="B7" s="28">
        <v>2</v>
      </c>
      <c r="C7" s="34" t="s">
        <v>110</v>
      </c>
      <c r="D7" s="28" t="s">
        <v>111</v>
      </c>
      <c r="E7" s="22">
        <v>1273.18</v>
      </c>
      <c r="F7" s="34" t="s">
        <v>123</v>
      </c>
      <c r="G7" s="22">
        <v>1273.18</v>
      </c>
      <c r="H7" s="26">
        <v>46274</v>
      </c>
      <c r="I7" s="28" t="s">
        <v>106</v>
      </c>
      <c r="J7" s="22">
        <v>0</v>
      </c>
      <c r="K7" s="21">
        <f t="shared" si="0"/>
        <v>0</v>
      </c>
      <c r="L7" s="20" t="str">
        <f t="shared" si="1"/>
        <v>已记录</v>
      </c>
      <c r="M7" s="28"/>
    </row>
    <row r="8" spans="1:13" ht="28.5" customHeight="1">
      <c r="A8" s="26">
        <v>46300</v>
      </c>
      <c r="B8" s="28">
        <v>3</v>
      </c>
      <c r="C8" s="34" t="s">
        <v>110</v>
      </c>
      <c r="D8" s="28" t="s">
        <v>111</v>
      </c>
      <c r="E8" s="22">
        <v>1017.89</v>
      </c>
      <c r="F8" s="34" t="s">
        <v>123</v>
      </c>
      <c r="G8" s="22">
        <v>1017.89</v>
      </c>
      <c r="H8" s="26">
        <v>46300</v>
      </c>
      <c r="I8" s="28" t="s">
        <v>106</v>
      </c>
      <c r="J8" s="22">
        <v>0</v>
      </c>
      <c r="K8" s="21">
        <f t="shared" si="0"/>
        <v>0</v>
      </c>
      <c r="L8" s="20" t="str">
        <f t="shared" si="1"/>
        <v>已记录</v>
      </c>
      <c r="M8" s="28"/>
    </row>
    <row r="9" spans="1:13" ht="28.5" customHeight="1">
      <c r="A9" s="26"/>
      <c r="B9" s="28"/>
      <c r="C9" s="34"/>
      <c r="D9" s="28"/>
      <c r="E9" s="22"/>
      <c r="F9" s="34"/>
      <c r="G9" s="22"/>
      <c r="H9" s="26"/>
      <c r="I9" s="28"/>
      <c r="J9" s="22"/>
      <c r="K9" s="21" t="str">
        <f t="shared" si="0"/>
        <v/>
      </c>
      <c r="L9" s="20" t="str">
        <f t="shared" si="1"/>
        <v/>
      </c>
      <c r="M9" s="28"/>
    </row>
    <row r="10" spans="1:13" ht="28.5" customHeight="1">
      <c r="A10" s="26"/>
      <c r="B10" s="28"/>
      <c r="C10" s="34"/>
      <c r="D10" s="28"/>
      <c r="E10" s="22"/>
      <c r="F10" s="34"/>
      <c r="G10" s="22"/>
      <c r="H10" s="26"/>
      <c r="I10" s="28"/>
      <c r="J10" s="22"/>
      <c r="K10" s="21" t="str">
        <f t="shared" si="0"/>
        <v/>
      </c>
      <c r="L10" s="20" t="str">
        <f t="shared" si="1"/>
        <v/>
      </c>
      <c r="M10" s="28"/>
    </row>
    <row r="11" spans="1:13" ht="28.5" customHeight="1">
      <c r="A11" s="26"/>
      <c r="B11" s="28"/>
      <c r="C11" s="34"/>
      <c r="D11" s="28"/>
      <c r="E11" s="22"/>
      <c r="F11" s="34"/>
      <c r="G11" s="22"/>
      <c r="H11" s="26"/>
      <c r="I11" s="28"/>
      <c r="J11" s="22"/>
      <c r="K11" s="21" t="str">
        <f t="shared" si="0"/>
        <v/>
      </c>
      <c r="L11" s="20" t="str">
        <f t="shared" si="1"/>
        <v/>
      </c>
      <c r="M11" s="28"/>
    </row>
    <row r="12" spans="1:13" ht="28.5" customHeight="1">
      <c r="A12" s="26"/>
      <c r="B12" s="28"/>
      <c r="C12" s="34"/>
      <c r="D12" s="28"/>
      <c r="E12" s="22"/>
      <c r="F12" s="34"/>
      <c r="G12" s="22"/>
      <c r="H12" s="26"/>
      <c r="I12" s="28"/>
      <c r="J12" s="22"/>
      <c r="K12" s="21" t="str">
        <f t="shared" si="0"/>
        <v/>
      </c>
      <c r="L12" s="20" t="str">
        <f t="shared" si="1"/>
        <v/>
      </c>
      <c r="M12" s="28"/>
    </row>
    <row r="13" spans="1:13" ht="28.5" customHeight="1">
      <c r="A13" s="26"/>
      <c r="B13" s="28"/>
      <c r="C13" s="34"/>
      <c r="D13" s="28"/>
      <c r="E13" s="22"/>
      <c r="F13" s="34"/>
      <c r="G13" s="22"/>
      <c r="H13" s="26"/>
      <c r="I13" s="28"/>
      <c r="J13" s="22"/>
      <c r="K13" s="21" t="str">
        <f t="shared" si="0"/>
        <v/>
      </c>
      <c r="L13" s="20" t="str">
        <f t="shared" si="1"/>
        <v/>
      </c>
      <c r="M13" s="28"/>
    </row>
    <row r="14" spans="1:13" ht="28.5" customHeight="1">
      <c r="A14" s="26"/>
      <c r="B14" s="28"/>
      <c r="C14" s="34"/>
      <c r="D14" s="28"/>
      <c r="E14" s="22"/>
      <c r="F14" s="34"/>
      <c r="G14" s="22"/>
      <c r="H14" s="26"/>
      <c r="I14" s="28"/>
      <c r="J14" s="22"/>
      <c r="K14" s="21" t="str">
        <f t="shared" si="0"/>
        <v/>
      </c>
      <c r="L14" s="20" t="str">
        <f t="shared" si="1"/>
        <v/>
      </c>
      <c r="M14" s="28"/>
    </row>
    <row r="15" spans="1:13" ht="28.5" customHeight="1">
      <c r="A15" s="26"/>
      <c r="B15" s="28"/>
      <c r="C15" s="34"/>
      <c r="D15" s="28"/>
      <c r="E15" s="22"/>
      <c r="F15" s="34"/>
      <c r="G15" s="22"/>
      <c r="H15" s="26"/>
      <c r="I15" s="28"/>
      <c r="J15" s="22"/>
      <c r="K15" s="21" t="str">
        <f t="shared" si="0"/>
        <v/>
      </c>
      <c r="L15" s="20" t="str">
        <f t="shared" si="1"/>
        <v/>
      </c>
      <c r="M15" s="28"/>
    </row>
    <row r="16" spans="1:13" ht="28.5" customHeight="1">
      <c r="A16" s="26"/>
      <c r="B16" s="28"/>
      <c r="C16" s="34"/>
      <c r="D16" s="28"/>
      <c r="E16" s="22"/>
      <c r="F16" s="34"/>
      <c r="G16" s="22"/>
      <c r="H16" s="26"/>
      <c r="I16" s="28"/>
      <c r="J16" s="22"/>
      <c r="K16" s="21" t="str">
        <f t="shared" si="0"/>
        <v/>
      </c>
      <c r="L16" s="20" t="str">
        <f t="shared" si="1"/>
        <v/>
      </c>
      <c r="M16" s="28"/>
    </row>
    <row r="17" spans="1:13" ht="28.5" customHeight="1">
      <c r="A17" s="26"/>
      <c r="B17" s="28"/>
      <c r="C17" s="34"/>
      <c r="D17" s="28"/>
      <c r="E17" s="22"/>
      <c r="F17" s="34"/>
      <c r="G17" s="22"/>
      <c r="H17" s="26"/>
      <c r="I17" s="28"/>
      <c r="J17" s="22"/>
      <c r="K17" s="21" t="str">
        <f t="shared" si="0"/>
        <v/>
      </c>
      <c r="L17" s="20" t="str">
        <f t="shared" si="1"/>
        <v/>
      </c>
      <c r="M17" s="28"/>
    </row>
    <row r="18" spans="1:13" ht="28.5" customHeight="1">
      <c r="A18" s="26"/>
      <c r="B18" s="28"/>
      <c r="C18" s="34"/>
      <c r="D18" s="28"/>
      <c r="E18" s="22"/>
      <c r="F18" s="34"/>
      <c r="G18" s="22"/>
      <c r="H18" s="26"/>
      <c r="I18" s="28"/>
      <c r="J18" s="22"/>
      <c r="K18" s="21" t="str">
        <f t="shared" si="0"/>
        <v/>
      </c>
      <c r="L18" s="20" t="str">
        <f t="shared" si="1"/>
        <v/>
      </c>
      <c r="M18" s="28"/>
    </row>
    <row r="19" spans="1:13" ht="28.5" customHeight="1">
      <c r="A19" s="26"/>
      <c r="B19" s="28"/>
      <c r="C19" s="34"/>
      <c r="D19" s="28"/>
      <c r="E19" s="22"/>
      <c r="F19" s="34"/>
      <c r="G19" s="22"/>
      <c r="H19" s="26"/>
      <c r="I19" s="28"/>
      <c r="J19" s="22"/>
      <c r="K19" s="21" t="str">
        <f t="shared" si="0"/>
        <v/>
      </c>
      <c r="L19" s="20" t="str">
        <f t="shared" si="1"/>
        <v/>
      </c>
      <c r="M19" s="28"/>
    </row>
    <row r="20" spans="1:13" ht="28.5" customHeight="1">
      <c r="A20" s="26"/>
      <c r="B20" s="28"/>
      <c r="C20" s="34"/>
      <c r="D20" s="28"/>
      <c r="E20" s="22"/>
      <c r="F20" s="34"/>
      <c r="G20" s="22"/>
      <c r="H20" s="26"/>
      <c r="I20" s="28"/>
      <c r="J20" s="22"/>
      <c r="K20" s="21" t="str">
        <f t="shared" si="0"/>
        <v/>
      </c>
      <c r="L20" s="20" t="str">
        <f t="shared" si="1"/>
        <v/>
      </c>
      <c r="M20" s="28"/>
    </row>
    <row r="21" spans="1:13" ht="28.5" customHeight="1">
      <c r="A21" s="26"/>
      <c r="B21" s="28"/>
      <c r="C21" s="34"/>
      <c r="D21" s="28"/>
      <c r="E21" s="22"/>
      <c r="F21" s="34"/>
      <c r="G21" s="22"/>
      <c r="H21" s="26"/>
      <c r="I21" s="28"/>
      <c r="J21" s="22"/>
      <c r="K21" s="21" t="str">
        <f t="shared" si="0"/>
        <v/>
      </c>
      <c r="L21" s="20" t="str">
        <f t="shared" si="1"/>
        <v/>
      </c>
      <c r="M21" s="28"/>
    </row>
    <row r="22" spans="1:13" ht="28.5" customHeight="1">
      <c r="A22" s="26"/>
      <c r="B22" s="28"/>
      <c r="C22" s="34"/>
      <c r="D22" s="28"/>
      <c r="E22" s="22"/>
      <c r="F22" s="34"/>
      <c r="G22" s="22"/>
      <c r="H22" s="26"/>
      <c r="I22" s="28"/>
      <c r="J22" s="22"/>
      <c r="K22" s="21" t="str">
        <f t="shared" si="0"/>
        <v/>
      </c>
      <c r="L22" s="20" t="str">
        <f t="shared" si="1"/>
        <v/>
      </c>
      <c r="M22" s="28"/>
    </row>
    <row r="23" spans="1:13" ht="28.5" customHeight="1">
      <c r="A23" s="26"/>
      <c r="B23" s="28"/>
      <c r="C23" s="34"/>
      <c r="D23" s="28"/>
      <c r="E23" s="22"/>
      <c r="F23" s="34"/>
      <c r="G23" s="22"/>
      <c r="H23" s="26"/>
      <c r="I23" s="28"/>
      <c r="J23" s="22"/>
      <c r="K23" s="21" t="str">
        <f t="shared" si="0"/>
        <v/>
      </c>
      <c r="L23" s="20" t="str">
        <f t="shared" si="1"/>
        <v/>
      </c>
      <c r="M23" s="28"/>
    </row>
    <row r="24" spans="1:13" ht="28.5" customHeight="1">
      <c r="A24" s="26"/>
      <c r="B24" s="28"/>
      <c r="C24" s="34"/>
      <c r="D24" s="28"/>
      <c r="E24" s="22"/>
      <c r="F24" s="34"/>
      <c r="G24" s="22"/>
      <c r="H24" s="26"/>
      <c r="I24" s="28"/>
      <c r="J24" s="22"/>
      <c r="K24" s="21" t="str">
        <f t="shared" si="0"/>
        <v/>
      </c>
      <c r="L24" s="20" t="str">
        <f t="shared" si="1"/>
        <v/>
      </c>
      <c r="M24" s="28"/>
    </row>
    <row r="25" spans="1:13" ht="28.5" customHeight="1">
      <c r="A25" s="26"/>
      <c r="B25" s="28"/>
      <c r="C25" s="34"/>
      <c r="D25" s="28"/>
      <c r="E25" s="22"/>
      <c r="F25" s="34"/>
      <c r="G25" s="22"/>
      <c r="H25" s="26"/>
      <c r="I25" s="28"/>
      <c r="J25" s="22"/>
      <c r="K25" s="21" t="str">
        <f t="shared" si="0"/>
        <v/>
      </c>
      <c r="L25" s="20" t="str">
        <f t="shared" si="1"/>
        <v/>
      </c>
      <c r="M25" s="28"/>
    </row>
    <row r="26" spans="1:13" ht="28.5" customHeight="1">
      <c r="A26" s="26"/>
      <c r="B26" s="28"/>
      <c r="C26" s="34"/>
      <c r="D26" s="28"/>
      <c r="E26" s="22"/>
      <c r="F26" s="34"/>
      <c r="G26" s="22"/>
      <c r="H26" s="26"/>
      <c r="I26" s="28"/>
      <c r="J26" s="22"/>
      <c r="K26" s="21" t="str">
        <f t="shared" si="0"/>
        <v/>
      </c>
      <c r="L26" s="20" t="str">
        <f t="shared" si="1"/>
        <v/>
      </c>
      <c r="M26" s="28"/>
    </row>
    <row r="27" spans="1:13" ht="28.5" customHeight="1">
      <c r="A27" s="26"/>
      <c r="B27" s="28"/>
      <c r="C27" s="34"/>
      <c r="D27" s="28"/>
      <c r="E27" s="22"/>
      <c r="F27" s="34"/>
      <c r="G27" s="22"/>
      <c r="H27" s="26"/>
      <c r="I27" s="28"/>
      <c r="J27" s="22"/>
      <c r="K27" s="21" t="str">
        <f t="shared" si="0"/>
        <v/>
      </c>
      <c r="L27" s="20" t="str">
        <f t="shared" si="1"/>
        <v/>
      </c>
      <c r="M27" s="28"/>
    </row>
    <row r="28" spans="1:13" ht="28.5" customHeight="1">
      <c r="A28" s="26"/>
      <c r="B28" s="28"/>
      <c r="C28" s="34"/>
      <c r="D28" s="28"/>
      <c r="E28" s="22"/>
      <c r="F28" s="34"/>
      <c r="G28" s="22"/>
      <c r="H28" s="26"/>
      <c r="I28" s="28"/>
      <c r="J28" s="22"/>
      <c r="K28" s="21" t="str">
        <f t="shared" si="0"/>
        <v/>
      </c>
      <c r="L28" s="20" t="str">
        <f t="shared" si="1"/>
        <v/>
      </c>
      <c r="M28" s="28"/>
    </row>
    <row r="29" spans="1:13" ht="28.5" customHeight="1">
      <c r="A29" s="26"/>
      <c r="B29" s="28"/>
      <c r="C29" s="34"/>
      <c r="D29" s="28"/>
      <c r="E29" s="22"/>
      <c r="F29" s="34"/>
      <c r="G29" s="22"/>
      <c r="H29" s="26"/>
      <c r="I29" s="28"/>
      <c r="J29" s="22"/>
      <c r="K29" s="21" t="str">
        <f t="shared" si="0"/>
        <v/>
      </c>
      <c r="L29" s="20" t="str">
        <f t="shared" si="1"/>
        <v/>
      </c>
      <c r="M29" s="28"/>
    </row>
    <row r="30" spans="1:13" ht="28.5" customHeight="1">
      <c r="A30" s="26"/>
      <c r="B30" s="28"/>
      <c r="C30" s="34"/>
      <c r="D30" s="28"/>
      <c r="E30" s="22"/>
      <c r="F30" s="34"/>
      <c r="G30" s="22"/>
      <c r="H30" s="26"/>
      <c r="I30" s="28"/>
      <c r="J30" s="22"/>
      <c r="K30" s="21" t="str">
        <f t="shared" si="0"/>
        <v/>
      </c>
      <c r="L30" s="20" t="str">
        <f t="shared" si="1"/>
        <v/>
      </c>
      <c r="M30" s="28"/>
    </row>
    <row r="31" spans="1:13" ht="28.5" customHeight="1">
      <c r="A31" s="26"/>
      <c r="B31" s="28"/>
      <c r="C31" s="34"/>
      <c r="D31" s="28"/>
      <c r="E31" s="22"/>
      <c r="F31" s="34"/>
      <c r="G31" s="22"/>
      <c r="H31" s="26"/>
      <c r="I31" s="28"/>
      <c r="J31" s="22"/>
      <c r="K31" s="21" t="str">
        <f t="shared" si="0"/>
        <v/>
      </c>
      <c r="L31" s="20" t="str">
        <f t="shared" si="1"/>
        <v/>
      </c>
      <c r="M31" s="28"/>
    </row>
    <row r="32" spans="1:13" ht="28.5" customHeight="1">
      <c r="A32" s="26"/>
      <c r="B32" s="28"/>
      <c r="C32" s="34"/>
      <c r="D32" s="28"/>
      <c r="E32" s="22"/>
      <c r="F32" s="34"/>
      <c r="G32" s="22"/>
      <c r="H32" s="26"/>
      <c r="I32" s="28"/>
      <c r="J32" s="22"/>
      <c r="K32" s="21" t="str">
        <f t="shared" si="0"/>
        <v/>
      </c>
      <c r="L32" s="20" t="str">
        <f t="shared" si="1"/>
        <v/>
      </c>
      <c r="M32" s="28"/>
    </row>
    <row r="33" spans="1:13" ht="28.5" customHeight="1">
      <c r="A33" s="26"/>
      <c r="B33" s="28"/>
      <c r="C33" s="34"/>
      <c r="D33" s="28"/>
      <c r="E33" s="22"/>
      <c r="F33" s="34"/>
      <c r="G33" s="22"/>
      <c r="H33" s="26"/>
      <c r="I33" s="28"/>
      <c r="J33" s="22"/>
      <c r="K33" s="21" t="str">
        <f t="shared" si="0"/>
        <v/>
      </c>
      <c r="L33" s="20" t="str">
        <f t="shared" si="1"/>
        <v/>
      </c>
      <c r="M33" s="28"/>
    </row>
    <row r="34" spans="1:13" ht="28.5" customHeight="1">
      <c r="A34" s="26"/>
      <c r="B34" s="28"/>
      <c r="C34" s="34"/>
      <c r="D34" s="28"/>
      <c r="E34" s="22"/>
      <c r="F34" s="34"/>
      <c r="G34" s="22"/>
      <c r="H34" s="26"/>
      <c r="I34" s="28"/>
      <c r="J34" s="22"/>
      <c r="K34" s="21" t="str">
        <f t="shared" si="0"/>
        <v/>
      </c>
      <c r="L34" s="20" t="str">
        <f t="shared" si="1"/>
        <v/>
      </c>
      <c r="M34" s="28"/>
    </row>
    <row r="35" spans="1:13" ht="28.5" customHeight="1">
      <c r="A35" s="26"/>
      <c r="B35" s="28"/>
      <c r="C35" s="34"/>
      <c r="D35" s="28"/>
      <c r="E35" s="22"/>
      <c r="F35" s="34"/>
      <c r="G35" s="22"/>
      <c r="H35" s="26"/>
      <c r="I35" s="28"/>
      <c r="J35" s="22"/>
      <c r="K35" s="21" t="str">
        <f t="shared" si="0"/>
        <v/>
      </c>
      <c r="L35" s="20" t="str">
        <f t="shared" si="1"/>
        <v/>
      </c>
      <c r="M35" s="28"/>
    </row>
    <row r="36" spans="1:13" ht="28.5" customHeight="1">
      <c r="A36" s="26"/>
      <c r="B36" s="28"/>
      <c r="C36" s="34"/>
      <c r="D36" s="28"/>
      <c r="E36" s="22"/>
      <c r="F36" s="34"/>
      <c r="G36" s="22"/>
      <c r="H36" s="26"/>
      <c r="I36" s="28"/>
      <c r="J36" s="22"/>
      <c r="K36" s="21" t="str">
        <f t="shared" si="0"/>
        <v/>
      </c>
      <c r="L36" s="20" t="str">
        <f t="shared" si="1"/>
        <v/>
      </c>
      <c r="M36" s="28"/>
    </row>
    <row r="37" spans="1:13" ht="28.5" customHeight="1">
      <c r="A37" s="26"/>
      <c r="B37" s="28"/>
      <c r="C37" s="34"/>
      <c r="D37" s="28"/>
      <c r="E37" s="22"/>
      <c r="F37" s="34"/>
      <c r="G37" s="22"/>
      <c r="H37" s="26"/>
      <c r="I37" s="28"/>
      <c r="J37" s="22"/>
      <c r="K37" s="21" t="str">
        <f t="shared" si="0"/>
        <v/>
      </c>
      <c r="L37" s="20" t="str">
        <f t="shared" si="1"/>
        <v/>
      </c>
      <c r="M37" s="28"/>
    </row>
    <row r="38" spans="1:13" ht="28.5" customHeight="1">
      <c r="A38" s="26"/>
      <c r="B38" s="28"/>
      <c r="C38" s="34"/>
      <c r="D38" s="28"/>
      <c r="E38" s="22"/>
      <c r="F38" s="34"/>
      <c r="G38" s="22"/>
      <c r="H38" s="26"/>
      <c r="I38" s="28"/>
      <c r="J38" s="22"/>
      <c r="K38" s="21" t="str">
        <f t="shared" si="0"/>
        <v/>
      </c>
      <c r="L38" s="20" t="str">
        <f t="shared" si="1"/>
        <v/>
      </c>
      <c r="M38" s="28"/>
    </row>
    <row r="39" spans="1:13" ht="28.5" customHeight="1">
      <c r="A39" s="26"/>
      <c r="B39" s="28"/>
      <c r="C39" s="34"/>
      <c r="D39" s="28"/>
      <c r="E39" s="22"/>
      <c r="F39" s="34"/>
      <c r="G39" s="22"/>
      <c r="H39" s="26"/>
      <c r="I39" s="28"/>
      <c r="J39" s="22"/>
      <c r="K39" s="21" t="str">
        <f t="shared" si="0"/>
        <v/>
      </c>
      <c r="L39" s="20" t="str">
        <f t="shared" si="1"/>
        <v/>
      </c>
      <c r="M39" s="28"/>
    </row>
    <row r="40" spans="1:13" ht="28.5" customHeight="1">
      <c r="A40" s="26"/>
      <c r="B40" s="28"/>
      <c r="C40" s="34"/>
      <c r="D40" s="28"/>
      <c r="E40" s="22"/>
      <c r="F40" s="34"/>
      <c r="G40" s="22"/>
      <c r="H40" s="26"/>
      <c r="I40" s="28"/>
      <c r="J40" s="22"/>
      <c r="K40" s="21" t="str">
        <f t="shared" si="0"/>
        <v/>
      </c>
      <c r="L40" s="20" t="str">
        <f t="shared" si="1"/>
        <v/>
      </c>
      <c r="M40" s="28"/>
    </row>
    <row r="41" spans="1:13" ht="28.5" customHeight="1">
      <c r="A41" s="26"/>
      <c r="B41" s="28"/>
      <c r="C41" s="34"/>
      <c r="D41" s="28"/>
      <c r="E41" s="22"/>
      <c r="F41" s="34"/>
      <c r="G41" s="22"/>
      <c r="H41" s="26"/>
      <c r="I41" s="28"/>
      <c r="J41" s="22"/>
      <c r="K41" s="21" t="str">
        <f t="shared" si="0"/>
        <v/>
      </c>
      <c r="L41" s="20" t="str">
        <f t="shared" si="1"/>
        <v/>
      </c>
      <c r="M41" s="28"/>
    </row>
    <row r="42" spans="1:13" ht="28.5" customHeight="1">
      <c r="A42" s="26"/>
      <c r="B42" s="28"/>
      <c r="C42" s="34"/>
      <c r="D42" s="28"/>
      <c r="E42" s="22"/>
      <c r="F42" s="34"/>
      <c r="G42" s="22"/>
      <c r="H42" s="26"/>
      <c r="I42" s="28"/>
      <c r="J42" s="22"/>
      <c r="K42" s="21" t="str">
        <f t="shared" si="0"/>
        <v/>
      </c>
      <c r="L42" s="20" t="str">
        <f t="shared" si="1"/>
        <v/>
      </c>
      <c r="M42" s="28"/>
    </row>
    <row r="43" spans="1:13" ht="28.5" customHeight="1">
      <c r="A43" s="26"/>
      <c r="B43" s="28"/>
      <c r="C43" s="34"/>
      <c r="D43" s="28"/>
      <c r="E43" s="22"/>
      <c r="F43" s="34"/>
      <c r="G43" s="22"/>
      <c r="H43" s="26"/>
      <c r="I43" s="28"/>
      <c r="J43" s="22"/>
      <c r="K43" s="21" t="str">
        <f t="shared" si="0"/>
        <v/>
      </c>
      <c r="L43" s="20" t="str">
        <f t="shared" si="1"/>
        <v/>
      </c>
      <c r="M43" s="28"/>
    </row>
    <row r="44" spans="1:13" ht="28.5" customHeight="1">
      <c r="A44" s="26"/>
      <c r="B44" s="28"/>
      <c r="C44" s="34"/>
      <c r="D44" s="28"/>
      <c r="E44" s="22"/>
      <c r="F44" s="34"/>
      <c r="G44" s="22"/>
      <c r="H44" s="26"/>
      <c r="I44" s="28"/>
      <c r="J44" s="22"/>
      <c r="K44" s="21" t="str">
        <f t="shared" si="0"/>
        <v/>
      </c>
      <c r="L44" s="20" t="str">
        <f t="shared" si="1"/>
        <v/>
      </c>
      <c r="M44" s="28"/>
    </row>
    <row r="45" spans="1:13" ht="28.5" customHeight="1">
      <c r="A45" s="26"/>
      <c r="B45" s="28"/>
      <c r="C45" s="34"/>
      <c r="D45" s="28"/>
      <c r="E45" s="22"/>
      <c r="F45" s="34"/>
      <c r="G45" s="22"/>
      <c r="H45" s="26"/>
      <c r="I45" s="28"/>
      <c r="J45" s="22"/>
      <c r="K45" s="21" t="str">
        <f t="shared" si="0"/>
        <v/>
      </c>
      <c r="L45" s="20" t="str">
        <f t="shared" si="1"/>
        <v/>
      </c>
      <c r="M45" s="28"/>
    </row>
    <row r="46" spans="1:13" ht="28.5" customHeight="1">
      <c r="A46" s="26"/>
      <c r="B46" s="28"/>
      <c r="C46" s="34"/>
      <c r="D46" s="28"/>
      <c r="E46" s="22"/>
      <c r="F46" s="34"/>
      <c r="G46" s="22"/>
      <c r="H46" s="26"/>
      <c r="I46" s="28"/>
      <c r="J46" s="22"/>
      <c r="K46" s="21" t="str">
        <f t="shared" si="0"/>
        <v/>
      </c>
      <c r="L46" s="20" t="str">
        <f t="shared" si="1"/>
        <v/>
      </c>
      <c r="M46" s="28"/>
    </row>
    <row r="47" spans="1:13" ht="28.5" customHeight="1">
      <c r="A47" s="26"/>
      <c r="B47" s="28"/>
      <c r="C47" s="34"/>
      <c r="D47" s="28"/>
      <c r="E47" s="22"/>
      <c r="F47" s="34"/>
      <c r="G47" s="22"/>
      <c r="H47" s="26"/>
      <c r="I47" s="28"/>
      <c r="J47" s="22"/>
      <c r="K47" s="21" t="str">
        <f t="shared" si="0"/>
        <v/>
      </c>
      <c r="L47" s="20" t="str">
        <f t="shared" si="1"/>
        <v/>
      </c>
      <c r="M47" s="28"/>
    </row>
    <row r="48" spans="1:13" ht="28.5" customHeight="1">
      <c r="A48" s="26"/>
      <c r="B48" s="28"/>
      <c r="C48" s="34"/>
      <c r="D48" s="28"/>
      <c r="E48" s="22"/>
      <c r="F48" s="34"/>
      <c r="G48" s="22"/>
      <c r="H48" s="26"/>
      <c r="I48" s="28"/>
      <c r="J48" s="22"/>
      <c r="K48" s="21" t="str">
        <f t="shared" si="0"/>
        <v/>
      </c>
      <c r="L48" s="20" t="str">
        <f t="shared" si="1"/>
        <v/>
      </c>
      <c r="M48" s="28"/>
    </row>
    <row r="49" spans="1:13" ht="28.5" customHeight="1">
      <c r="A49" s="26"/>
      <c r="B49" s="28"/>
      <c r="C49" s="34"/>
      <c r="D49" s="28"/>
      <c r="E49" s="22"/>
      <c r="F49" s="34"/>
      <c r="G49" s="22"/>
      <c r="H49" s="26"/>
      <c r="I49" s="28"/>
      <c r="J49" s="22"/>
      <c r="K49" s="21" t="str">
        <f t="shared" si="0"/>
        <v/>
      </c>
      <c r="L49" s="20" t="str">
        <f t="shared" si="1"/>
        <v/>
      </c>
      <c r="M49" s="28"/>
    </row>
    <row r="50" spans="1:13" ht="28.5" customHeight="1">
      <c r="A50" s="26"/>
      <c r="B50" s="28"/>
      <c r="C50" s="34"/>
      <c r="D50" s="28"/>
      <c r="E50" s="22"/>
      <c r="F50" s="34"/>
      <c r="G50" s="22"/>
      <c r="H50" s="26"/>
      <c r="I50" s="28"/>
      <c r="J50" s="22"/>
      <c r="K50" s="21" t="str">
        <f t="shared" si="0"/>
        <v/>
      </c>
      <c r="L50" s="20" t="str">
        <f t="shared" si="1"/>
        <v/>
      </c>
      <c r="M50" s="28"/>
    </row>
    <row r="51" spans="1:13" ht="28.5" customHeight="1">
      <c r="A51" s="26"/>
      <c r="B51" s="28"/>
      <c r="C51" s="34"/>
      <c r="D51" s="28"/>
      <c r="E51" s="22"/>
      <c r="F51" s="34"/>
      <c r="G51" s="22"/>
      <c r="H51" s="26"/>
      <c r="I51" s="28"/>
      <c r="J51" s="22"/>
      <c r="K51" s="21" t="str">
        <f t="shared" si="0"/>
        <v/>
      </c>
      <c r="L51" s="20" t="str">
        <f t="shared" si="1"/>
        <v/>
      </c>
      <c r="M51" s="28"/>
    </row>
    <row r="52" spans="1:13" ht="28.5" customHeight="1">
      <c r="A52" s="26"/>
      <c r="B52" s="28"/>
      <c r="C52" s="34"/>
      <c r="D52" s="28"/>
      <c r="E52" s="22"/>
      <c r="F52" s="34"/>
      <c r="G52" s="22"/>
      <c r="H52" s="26"/>
      <c r="I52" s="28"/>
      <c r="J52" s="22"/>
      <c r="K52" s="21" t="str">
        <f t="shared" si="0"/>
        <v/>
      </c>
      <c r="L52" s="20" t="str">
        <f t="shared" si="1"/>
        <v/>
      </c>
      <c r="M52" s="28"/>
    </row>
    <row r="53" spans="1:13" ht="28.5" customHeight="1">
      <c r="A53" s="26"/>
      <c r="B53" s="28"/>
      <c r="C53" s="34"/>
      <c r="D53" s="28"/>
      <c r="E53" s="22"/>
      <c r="F53" s="34"/>
      <c r="G53" s="22"/>
      <c r="H53" s="26"/>
      <c r="I53" s="28"/>
      <c r="J53" s="22"/>
      <c r="K53" s="21" t="str">
        <f t="shared" si="0"/>
        <v/>
      </c>
      <c r="L53" s="20" t="str">
        <f t="shared" si="1"/>
        <v/>
      </c>
      <c r="M53" s="28"/>
    </row>
    <row r="54" spans="1:13" ht="28.5" customHeight="1">
      <c r="A54" s="26"/>
      <c r="B54" s="28"/>
      <c r="C54" s="34"/>
      <c r="D54" s="28"/>
      <c r="E54" s="22"/>
      <c r="F54" s="34"/>
      <c r="G54" s="22"/>
      <c r="H54" s="26"/>
      <c r="I54" s="28"/>
      <c r="J54" s="22"/>
      <c r="K54" s="21" t="str">
        <f t="shared" si="0"/>
        <v/>
      </c>
      <c r="L54" s="20" t="str">
        <f t="shared" si="1"/>
        <v/>
      </c>
      <c r="M54" s="28"/>
    </row>
    <row r="55" spans="1:13" ht="28.5" customHeight="1">
      <c r="A55" s="26"/>
      <c r="B55" s="28"/>
      <c r="C55" s="34"/>
      <c r="D55" s="28"/>
      <c r="E55" s="22"/>
      <c r="F55" s="34"/>
      <c r="G55" s="22"/>
      <c r="H55" s="26"/>
      <c r="I55" s="28"/>
      <c r="J55" s="22"/>
      <c r="K55" s="21" t="str">
        <f t="shared" si="0"/>
        <v/>
      </c>
      <c r="L55" s="20" t="str">
        <f t="shared" si="1"/>
        <v/>
      </c>
      <c r="M55" s="28"/>
    </row>
    <row r="56" spans="1:13" ht="28.5" customHeight="1">
      <c r="A56" s="26"/>
      <c r="B56" s="28"/>
      <c r="C56" s="34"/>
      <c r="D56" s="28"/>
      <c r="E56" s="22"/>
      <c r="F56" s="34"/>
      <c r="G56" s="22"/>
      <c r="H56" s="26"/>
      <c r="I56" s="28"/>
      <c r="J56" s="22"/>
      <c r="K56" s="21" t="str">
        <f t="shared" si="0"/>
        <v/>
      </c>
      <c r="L56" s="20" t="str">
        <f t="shared" si="1"/>
        <v/>
      </c>
      <c r="M56" s="28"/>
    </row>
    <row r="57" spans="1:13" ht="28.5" customHeight="1">
      <c r="A57" s="26"/>
      <c r="B57" s="28"/>
      <c r="C57" s="34"/>
      <c r="D57" s="28"/>
      <c r="E57" s="22"/>
      <c r="F57" s="34"/>
      <c r="G57" s="22"/>
      <c r="H57" s="26"/>
      <c r="I57" s="28"/>
      <c r="J57" s="22"/>
      <c r="K57" s="21" t="str">
        <f t="shared" si="0"/>
        <v/>
      </c>
      <c r="L57" s="20" t="str">
        <f t="shared" si="1"/>
        <v/>
      </c>
      <c r="M57" s="28"/>
    </row>
    <row r="58" spans="1:13" ht="28.5" customHeight="1">
      <c r="A58" s="26"/>
      <c r="B58" s="28"/>
      <c r="C58" s="34"/>
      <c r="D58" s="28"/>
      <c r="E58" s="22"/>
      <c r="F58" s="34"/>
      <c r="G58" s="22"/>
      <c r="H58" s="26"/>
      <c r="I58" s="28"/>
      <c r="J58" s="22"/>
      <c r="K58" s="21" t="str">
        <f t="shared" si="0"/>
        <v/>
      </c>
      <c r="L58" s="20" t="str">
        <f t="shared" si="1"/>
        <v/>
      </c>
      <c r="M58" s="28"/>
    </row>
    <row r="59" spans="1:13" ht="28.5" customHeight="1">
      <c r="A59" s="26"/>
      <c r="B59" s="28"/>
      <c r="C59" s="34"/>
      <c r="D59" s="28"/>
      <c r="E59" s="22"/>
      <c r="F59" s="34"/>
      <c r="G59" s="22"/>
      <c r="H59" s="26"/>
      <c r="I59" s="28"/>
      <c r="J59" s="22"/>
      <c r="K59" s="21" t="str">
        <f t="shared" si="0"/>
        <v/>
      </c>
      <c r="L59" s="20" t="str">
        <f t="shared" si="1"/>
        <v/>
      </c>
      <c r="M59" s="28"/>
    </row>
    <row r="60" spans="1:13" ht="28.5" customHeight="1">
      <c r="A60" s="26"/>
      <c r="B60" s="28"/>
      <c r="C60" s="34"/>
      <c r="D60" s="28"/>
      <c r="E60" s="22"/>
      <c r="F60" s="34"/>
      <c r="G60" s="22"/>
      <c r="H60" s="26"/>
      <c r="I60" s="28"/>
      <c r="J60" s="22"/>
      <c r="K60" s="21" t="str">
        <f t="shared" si="0"/>
        <v/>
      </c>
      <c r="L60" s="20" t="str">
        <f t="shared" si="1"/>
        <v/>
      </c>
      <c r="M60" s="28"/>
    </row>
    <row r="61" spans="1:13" ht="28.5" customHeight="1">
      <c r="A61" s="26"/>
      <c r="B61" s="28"/>
      <c r="C61" s="34"/>
      <c r="D61" s="28"/>
      <c r="E61" s="22"/>
      <c r="F61" s="34"/>
      <c r="G61" s="22"/>
      <c r="H61" s="26"/>
      <c r="I61" s="28"/>
      <c r="J61" s="22"/>
      <c r="K61" s="21" t="str">
        <f t="shared" si="0"/>
        <v/>
      </c>
      <c r="L61" s="20" t="str">
        <f t="shared" si="1"/>
        <v/>
      </c>
      <c r="M61" s="28"/>
    </row>
    <row r="62" spans="1:13" ht="28.5" customHeight="1">
      <c r="A62" s="26"/>
      <c r="B62" s="28"/>
      <c r="C62" s="34"/>
      <c r="D62" s="28"/>
      <c r="E62" s="22"/>
      <c r="F62" s="34"/>
      <c r="G62" s="22"/>
      <c r="H62" s="26"/>
      <c r="I62" s="28"/>
      <c r="J62" s="22"/>
      <c r="K62" s="21" t="str">
        <f t="shared" si="0"/>
        <v/>
      </c>
      <c r="L62" s="20" t="str">
        <f t="shared" si="1"/>
        <v/>
      </c>
      <c r="M62" s="28"/>
    </row>
    <row r="63" spans="1:13" ht="28.5" customHeight="1">
      <c r="A63" s="26"/>
      <c r="B63" s="28"/>
      <c r="C63" s="34"/>
      <c r="D63" s="28"/>
      <c r="E63" s="22"/>
      <c r="F63" s="34"/>
      <c r="G63" s="22"/>
      <c r="H63" s="26"/>
      <c r="I63" s="28"/>
      <c r="J63" s="22"/>
      <c r="K63" s="21" t="str">
        <f t="shared" si="0"/>
        <v/>
      </c>
      <c r="L63" s="20" t="str">
        <f t="shared" si="1"/>
        <v/>
      </c>
      <c r="M63" s="28"/>
    </row>
    <row r="64" spans="1:13" ht="28.5" customHeight="1">
      <c r="A64" s="26"/>
      <c r="B64" s="28"/>
      <c r="C64" s="34"/>
      <c r="D64" s="28"/>
      <c r="E64" s="22"/>
      <c r="F64" s="34"/>
      <c r="G64" s="22"/>
      <c r="H64" s="26"/>
      <c r="I64" s="28"/>
      <c r="J64" s="22"/>
      <c r="K64" s="21" t="str">
        <f t="shared" si="0"/>
        <v/>
      </c>
      <c r="L64" s="20" t="str">
        <f t="shared" si="1"/>
        <v/>
      </c>
      <c r="M64" s="28"/>
    </row>
    <row r="65" spans="1:13" ht="28.5" customHeight="1">
      <c r="A65" s="26"/>
      <c r="B65" s="28"/>
      <c r="C65" s="34"/>
      <c r="D65" s="28"/>
      <c r="E65" s="22"/>
      <c r="F65" s="34"/>
      <c r="G65" s="22"/>
      <c r="H65" s="26"/>
      <c r="I65" s="28"/>
      <c r="J65" s="22"/>
      <c r="K65" s="21" t="str">
        <f t="shared" si="0"/>
        <v/>
      </c>
      <c r="L65" s="20" t="str">
        <f t="shared" si="1"/>
        <v/>
      </c>
      <c r="M65" s="28"/>
    </row>
    <row r="66" spans="1:13" ht="28.5" customHeight="1">
      <c r="A66" s="26"/>
      <c r="B66" s="28"/>
      <c r="C66" s="34"/>
      <c r="D66" s="28"/>
      <c r="E66" s="22"/>
      <c r="F66" s="34"/>
      <c r="G66" s="22"/>
      <c r="H66" s="26"/>
      <c r="I66" s="28"/>
      <c r="J66" s="22"/>
      <c r="K66" s="21" t="str">
        <f t="shared" si="0"/>
        <v/>
      </c>
      <c r="L66" s="20" t="str">
        <f t="shared" si="1"/>
        <v/>
      </c>
      <c r="M66" s="28"/>
    </row>
    <row r="67" spans="1:13" ht="28.5" customHeight="1">
      <c r="A67" s="26"/>
      <c r="B67" s="28"/>
      <c r="C67" s="34"/>
      <c r="D67" s="28"/>
      <c r="E67" s="22"/>
      <c r="F67" s="34"/>
      <c r="G67" s="22"/>
      <c r="H67" s="26"/>
      <c r="I67" s="28"/>
      <c r="J67" s="22"/>
      <c r="K67" s="21" t="str">
        <f t="shared" si="0"/>
        <v/>
      </c>
      <c r="L67" s="20" t="str">
        <f t="shared" si="1"/>
        <v/>
      </c>
      <c r="M67" s="28"/>
    </row>
    <row r="68" spans="1:13" ht="28.5" customHeight="1">
      <c r="A68" s="26"/>
      <c r="B68" s="28"/>
      <c r="C68" s="34"/>
      <c r="D68" s="28"/>
      <c r="E68" s="22"/>
      <c r="F68" s="34"/>
      <c r="G68" s="22"/>
      <c r="H68" s="26"/>
      <c r="I68" s="28"/>
      <c r="J68" s="22"/>
      <c r="K68" s="21" t="str">
        <f t="shared" si="0"/>
        <v/>
      </c>
      <c r="L68" s="20" t="str">
        <f t="shared" si="1"/>
        <v/>
      </c>
      <c r="M68" s="28"/>
    </row>
    <row r="69" spans="1:13" ht="28.5" customHeight="1">
      <c r="A69" s="26"/>
      <c r="B69" s="28"/>
      <c r="C69" s="34"/>
      <c r="D69" s="28"/>
      <c r="E69" s="22"/>
      <c r="F69" s="34"/>
      <c r="G69" s="22"/>
      <c r="H69" s="26"/>
      <c r="I69" s="28"/>
      <c r="J69" s="22"/>
      <c r="K69" s="21" t="str">
        <f t="shared" si="0"/>
        <v/>
      </c>
      <c r="L69" s="20" t="str">
        <f t="shared" si="1"/>
        <v/>
      </c>
      <c r="M69" s="28"/>
    </row>
    <row r="70" spans="1:13" ht="28.5" customHeight="1">
      <c r="A70" s="26"/>
      <c r="B70" s="28"/>
      <c r="C70" s="34"/>
      <c r="D70" s="28"/>
      <c r="E70" s="22"/>
      <c r="F70" s="34"/>
      <c r="G70" s="22"/>
      <c r="H70" s="26"/>
      <c r="I70" s="28"/>
      <c r="J70" s="22"/>
      <c r="K70" s="21" t="str">
        <f t="shared" ref="K70:K133" si="2">IF(OR(E70="",G70=""),"",E70-G70)</f>
        <v/>
      </c>
      <c r="L70" s="20" t="str">
        <f t="shared" ref="L70:L133" si="3">IF(COUNTA(A70:J70)=0,"",IF(OR(A70="",C70="",D70="",E70="",F70=""),"待补汇出信息",IF(OR(E70&lt;=0,J70&lt;0,AND(J70&gt;0,I70=""),C70=F70),"请检查本金／费用／账户",IF(OR(G70="",H70=""),"在途／待补到账",IF(OR(G70&lt;0,H70&lt;A70),"请检查到账信息","已记录")))))</f>
        <v/>
      </c>
      <c r="M70" s="28"/>
    </row>
    <row r="71" spans="1:13" ht="28.5" customHeight="1">
      <c r="A71" s="26"/>
      <c r="B71" s="28"/>
      <c r="C71" s="34"/>
      <c r="D71" s="28"/>
      <c r="E71" s="22"/>
      <c r="F71" s="34"/>
      <c r="G71" s="22"/>
      <c r="H71" s="26"/>
      <c r="I71" s="28"/>
      <c r="J71" s="22"/>
      <c r="K71" s="21" t="str">
        <f t="shared" si="2"/>
        <v/>
      </c>
      <c r="L71" s="20" t="str">
        <f t="shared" si="3"/>
        <v/>
      </c>
      <c r="M71" s="28"/>
    </row>
    <row r="72" spans="1:13" ht="28.5" customHeight="1">
      <c r="A72" s="26"/>
      <c r="B72" s="28"/>
      <c r="C72" s="34"/>
      <c r="D72" s="28"/>
      <c r="E72" s="22"/>
      <c r="F72" s="34"/>
      <c r="G72" s="22"/>
      <c r="H72" s="26"/>
      <c r="I72" s="28"/>
      <c r="J72" s="22"/>
      <c r="K72" s="21" t="str">
        <f t="shared" si="2"/>
        <v/>
      </c>
      <c r="L72" s="20" t="str">
        <f t="shared" si="3"/>
        <v/>
      </c>
      <c r="M72" s="28"/>
    </row>
    <row r="73" spans="1:13" ht="28.5" customHeight="1">
      <c r="A73" s="26"/>
      <c r="B73" s="28"/>
      <c r="C73" s="34"/>
      <c r="D73" s="28"/>
      <c r="E73" s="22"/>
      <c r="F73" s="34"/>
      <c r="G73" s="22"/>
      <c r="H73" s="26"/>
      <c r="I73" s="28"/>
      <c r="J73" s="22"/>
      <c r="K73" s="21" t="str">
        <f t="shared" si="2"/>
        <v/>
      </c>
      <c r="L73" s="20" t="str">
        <f t="shared" si="3"/>
        <v/>
      </c>
      <c r="M73" s="28"/>
    </row>
    <row r="74" spans="1:13" ht="28.5" customHeight="1">
      <c r="A74" s="26"/>
      <c r="B74" s="28"/>
      <c r="C74" s="34"/>
      <c r="D74" s="28"/>
      <c r="E74" s="22"/>
      <c r="F74" s="34"/>
      <c r="G74" s="22"/>
      <c r="H74" s="26"/>
      <c r="I74" s="28"/>
      <c r="J74" s="22"/>
      <c r="K74" s="21" t="str">
        <f t="shared" si="2"/>
        <v/>
      </c>
      <c r="L74" s="20" t="str">
        <f t="shared" si="3"/>
        <v/>
      </c>
      <c r="M74" s="28"/>
    </row>
    <row r="75" spans="1:13" ht="28.5" customHeight="1">
      <c r="A75" s="26"/>
      <c r="B75" s="28"/>
      <c r="C75" s="34"/>
      <c r="D75" s="28"/>
      <c r="E75" s="22"/>
      <c r="F75" s="34"/>
      <c r="G75" s="22"/>
      <c r="H75" s="26"/>
      <c r="I75" s="28"/>
      <c r="J75" s="22"/>
      <c r="K75" s="21" t="str">
        <f t="shared" si="2"/>
        <v/>
      </c>
      <c r="L75" s="20" t="str">
        <f t="shared" si="3"/>
        <v/>
      </c>
      <c r="M75" s="28"/>
    </row>
    <row r="76" spans="1:13" ht="28.5" customHeight="1">
      <c r="A76" s="26"/>
      <c r="B76" s="28"/>
      <c r="C76" s="34"/>
      <c r="D76" s="28"/>
      <c r="E76" s="22"/>
      <c r="F76" s="34"/>
      <c r="G76" s="22"/>
      <c r="H76" s="26"/>
      <c r="I76" s="28"/>
      <c r="J76" s="22"/>
      <c r="K76" s="21" t="str">
        <f t="shared" si="2"/>
        <v/>
      </c>
      <c r="L76" s="20" t="str">
        <f t="shared" si="3"/>
        <v/>
      </c>
      <c r="M76" s="28"/>
    </row>
    <row r="77" spans="1:13" ht="28.5" customHeight="1">
      <c r="A77" s="26"/>
      <c r="B77" s="28"/>
      <c r="C77" s="34"/>
      <c r="D77" s="28"/>
      <c r="E77" s="22"/>
      <c r="F77" s="34"/>
      <c r="G77" s="22"/>
      <c r="H77" s="26"/>
      <c r="I77" s="28"/>
      <c r="J77" s="22"/>
      <c r="K77" s="21" t="str">
        <f t="shared" si="2"/>
        <v/>
      </c>
      <c r="L77" s="20" t="str">
        <f t="shared" si="3"/>
        <v/>
      </c>
      <c r="M77" s="28"/>
    </row>
    <row r="78" spans="1:13" ht="28.5" customHeight="1">
      <c r="A78" s="26"/>
      <c r="B78" s="28"/>
      <c r="C78" s="34"/>
      <c r="D78" s="28"/>
      <c r="E78" s="22"/>
      <c r="F78" s="34"/>
      <c r="G78" s="22"/>
      <c r="H78" s="26"/>
      <c r="I78" s="28"/>
      <c r="J78" s="22"/>
      <c r="K78" s="21" t="str">
        <f t="shared" si="2"/>
        <v/>
      </c>
      <c r="L78" s="20" t="str">
        <f t="shared" si="3"/>
        <v/>
      </c>
      <c r="M78" s="28"/>
    </row>
    <row r="79" spans="1:13" ht="28.5" customHeight="1">
      <c r="A79" s="26"/>
      <c r="B79" s="28"/>
      <c r="C79" s="34"/>
      <c r="D79" s="28"/>
      <c r="E79" s="22"/>
      <c r="F79" s="34"/>
      <c r="G79" s="22"/>
      <c r="H79" s="26"/>
      <c r="I79" s="28"/>
      <c r="J79" s="22"/>
      <c r="K79" s="21" t="str">
        <f t="shared" si="2"/>
        <v/>
      </c>
      <c r="L79" s="20" t="str">
        <f t="shared" si="3"/>
        <v/>
      </c>
      <c r="M79" s="28"/>
    </row>
    <row r="80" spans="1:13" ht="28.5" customHeight="1">
      <c r="A80" s="26"/>
      <c r="B80" s="28"/>
      <c r="C80" s="34"/>
      <c r="D80" s="28"/>
      <c r="E80" s="22"/>
      <c r="F80" s="34"/>
      <c r="G80" s="22"/>
      <c r="H80" s="26"/>
      <c r="I80" s="28"/>
      <c r="J80" s="22"/>
      <c r="K80" s="21" t="str">
        <f t="shared" si="2"/>
        <v/>
      </c>
      <c r="L80" s="20" t="str">
        <f t="shared" si="3"/>
        <v/>
      </c>
      <c r="M80" s="28"/>
    </row>
    <row r="81" spans="1:13" ht="28.5" customHeight="1">
      <c r="A81" s="26"/>
      <c r="B81" s="28"/>
      <c r="C81" s="34"/>
      <c r="D81" s="28"/>
      <c r="E81" s="22"/>
      <c r="F81" s="34"/>
      <c r="G81" s="22"/>
      <c r="H81" s="26"/>
      <c r="I81" s="28"/>
      <c r="J81" s="22"/>
      <c r="K81" s="21" t="str">
        <f t="shared" si="2"/>
        <v/>
      </c>
      <c r="L81" s="20" t="str">
        <f t="shared" si="3"/>
        <v/>
      </c>
      <c r="M81" s="28"/>
    </row>
    <row r="82" spans="1:13" ht="28.5" customHeight="1">
      <c r="A82" s="26"/>
      <c r="B82" s="28"/>
      <c r="C82" s="34"/>
      <c r="D82" s="28"/>
      <c r="E82" s="22"/>
      <c r="F82" s="34"/>
      <c r="G82" s="22"/>
      <c r="H82" s="26"/>
      <c r="I82" s="28"/>
      <c r="J82" s="22"/>
      <c r="K82" s="21" t="str">
        <f t="shared" si="2"/>
        <v/>
      </c>
      <c r="L82" s="20" t="str">
        <f t="shared" si="3"/>
        <v/>
      </c>
      <c r="M82" s="28"/>
    </row>
    <row r="83" spans="1:13" ht="28.5" customHeight="1">
      <c r="A83" s="26"/>
      <c r="B83" s="28"/>
      <c r="C83" s="34"/>
      <c r="D83" s="28"/>
      <c r="E83" s="22"/>
      <c r="F83" s="34"/>
      <c r="G83" s="22"/>
      <c r="H83" s="26"/>
      <c r="I83" s="28"/>
      <c r="J83" s="22"/>
      <c r="K83" s="21" t="str">
        <f t="shared" si="2"/>
        <v/>
      </c>
      <c r="L83" s="20" t="str">
        <f t="shared" si="3"/>
        <v/>
      </c>
      <c r="M83" s="28"/>
    </row>
    <row r="84" spans="1:13" ht="28.5" customHeight="1">
      <c r="A84" s="26"/>
      <c r="B84" s="28"/>
      <c r="C84" s="34"/>
      <c r="D84" s="28"/>
      <c r="E84" s="22"/>
      <c r="F84" s="34"/>
      <c r="G84" s="22"/>
      <c r="H84" s="26"/>
      <c r="I84" s="28"/>
      <c r="J84" s="22"/>
      <c r="K84" s="21" t="str">
        <f t="shared" si="2"/>
        <v/>
      </c>
      <c r="L84" s="20" t="str">
        <f t="shared" si="3"/>
        <v/>
      </c>
      <c r="M84" s="28"/>
    </row>
    <row r="85" spans="1:13" ht="28.5" customHeight="1">
      <c r="A85" s="26"/>
      <c r="B85" s="28"/>
      <c r="C85" s="34"/>
      <c r="D85" s="28"/>
      <c r="E85" s="22"/>
      <c r="F85" s="34"/>
      <c r="G85" s="22"/>
      <c r="H85" s="26"/>
      <c r="I85" s="28"/>
      <c r="J85" s="22"/>
      <c r="K85" s="21" t="str">
        <f t="shared" si="2"/>
        <v/>
      </c>
      <c r="L85" s="20" t="str">
        <f t="shared" si="3"/>
        <v/>
      </c>
      <c r="M85" s="28"/>
    </row>
    <row r="86" spans="1:13" ht="28.5" customHeight="1">
      <c r="A86" s="26"/>
      <c r="B86" s="28"/>
      <c r="C86" s="34"/>
      <c r="D86" s="28"/>
      <c r="E86" s="22"/>
      <c r="F86" s="34"/>
      <c r="G86" s="22"/>
      <c r="H86" s="26"/>
      <c r="I86" s="28"/>
      <c r="J86" s="22"/>
      <c r="K86" s="21" t="str">
        <f t="shared" si="2"/>
        <v/>
      </c>
      <c r="L86" s="20" t="str">
        <f t="shared" si="3"/>
        <v/>
      </c>
      <c r="M86" s="28"/>
    </row>
    <row r="87" spans="1:13" ht="28.5" customHeight="1">
      <c r="A87" s="26"/>
      <c r="B87" s="28"/>
      <c r="C87" s="34"/>
      <c r="D87" s="28"/>
      <c r="E87" s="22"/>
      <c r="F87" s="34"/>
      <c r="G87" s="22"/>
      <c r="H87" s="26"/>
      <c r="I87" s="28"/>
      <c r="J87" s="22"/>
      <c r="K87" s="21" t="str">
        <f t="shared" si="2"/>
        <v/>
      </c>
      <c r="L87" s="20" t="str">
        <f t="shared" si="3"/>
        <v/>
      </c>
      <c r="M87" s="28"/>
    </row>
    <row r="88" spans="1:13" ht="28.5" customHeight="1">
      <c r="A88" s="26"/>
      <c r="B88" s="28"/>
      <c r="C88" s="34"/>
      <c r="D88" s="28"/>
      <c r="E88" s="22"/>
      <c r="F88" s="34"/>
      <c r="G88" s="22"/>
      <c r="H88" s="26"/>
      <c r="I88" s="28"/>
      <c r="J88" s="22"/>
      <c r="K88" s="21" t="str">
        <f t="shared" si="2"/>
        <v/>
      </c>
      <c r="L88" s="20" t="str">
        <f t="shared" si="3"/>
        <v/>
      </c>
      <c r="M88" s="28"/>
    </row>
    <row r="89" spans="1:13" ht="28.5" customHeight="1">
      <c r="A89" s="26"/>
      <c r="B89" s="28"/>
      <c r="C89" s="34"/>
      <c r="D89" s="28"/>
      <c r="E89" s="22"/>
      <c r="F89" s="34"/>
      <c r="G89" s="22"/>
      <c r="H89" s="26"/>
      <c r="I89" s="28"/>
      <c r="J89" s="22"/>
      <c r="K89" s="21" t="str">
        <f t="shared" si="2"/>
        <v/>
      </c>
      <c r="L89" s="20" t="str">
        <f t="shared" si="3"/>
        <v/>
      </c>
      <c r="M89" s="28"/>
    </row>
    <row r="90" spans="1:13" ht="28.5" customHeight="1">
      <c r="A90" s="26"/>
      <c r="B90" s="28"/>
      <c r="C90" s="34"/>
      <c r="D90" s="28"/>
      <c r="E90" s="22"/>
      <c r="F90" s="34"/>
      <c r="G90" s="22"/>
      <c r="H90" s="26"/>
      <c r="I90" s="28"/>
      <c r="J90" s="22"/>
      <c r="K90" s="21" t="str">
        <f t="shared" si="2"/>
        <v/>
      </c>
      <c r="L90" s="20" t="str">
        <f t="shared" si="3"/>
        <v/>
      </c>
      <c r="M90" s="28"/>
    </row>
    <row r="91" spans="1:13" ht="28.5" customHeight="1">
      <c r="A91" s="26"/>
      <c r="B91" s="28"/>
      <c r="C91" s="34"/>
      <c r="D91" s="28"/>
      <c r="E91" s="22"/>
      <c r="F91" s="34"/>
      <c r="G91" s="22"/>
      <c r="H91" s="26"/>
      <c r="I91" s="28"/>
      <c r="J91" s="22"/>
      <c r="K91" s="21" t="str">
        <f t="shared" si="2"/>
        <v/>
      </c>
      <c r="L91" s="20" t="str">
        <f t="shared" si="3"/>
        <v/>
      </c>
      <c r="M91" s="28"/>
    </row>
    <row r="92" spans="1:13" ht="28.5" customHeight="1">
      <c r="A92" s="26"/>
      <c r="B92" s="28"/>
      <c r="C92" s="34"/>
      <c r="D92" s="28"/>
      <c r="E92" s="22"/>
      <c r="F92" s="34"/>
      <c r="G92" s="22"/>
      <c r="H92" s="26"/>
      <c r="I92" s="28"/>
      <c r="J92" s="22"/>
      <c r="K92" s="21" t="str">
        <f t="shared" si="2"/>
        <v/>
      </c>
      <c r="L92" s="20" t="str">
        <f t="shared" si="3"/>
        <v/>
      </c>
      <c r="M92" s="28"/>
    </row>
    <row r="93" spans="1:13" ht="28.5" customHeight="1">
      <c r="A93" s="26"/>
      <c r="B93" s="28"/>
      <c r="C93" s="34"/>
      <c r="D93" s="28"/>
      <c r="E93" s="22"/>
      <c r="F93" s="34"/>
      <c r="G93" s="22"/>
      <c r="H93" s="26"/>
      <c r="I93" s="28"/>
      <c r="J93" s="22"/>
      <c r="K93" s="21" t="str">
        <f t="shared" si="2"/>
        <v/>
      </c>
      <c r="L93" s="20" t="str">
        <f t="shared" si="3"/>
        <v/>
      </c>
      <c r="M93" s="28"/>
    </row>
    <row r="94" spans="1:13" ht="28.5" customHeight="1">
      <c r="A94" s="26"/>
      <c r="B94" s="28"/>
      <c r="C94" s="34"/>
      <c r="D94" s="28"/>
      <c r="E94" s="22"/>
      <c r="F94" s="34"/>
      <c r="G94" s="22"/>
      <c r="H94" s="26"/>
      <c r="I94" s="28"/>
      <c r="J94" s="22"/>
      <c r="K94" s="21" t="str">
        <f t="shared" si="2"/>
        <v/>
      </c>
      <c r="L94" s="20" t="str">
        <f t="shared" si="3"/>
        <v/>
      </c>
      <c r="M94" s="28"/>
    </row>
    <row r="95" spans="1:13" ht="28.5" customHeight="1">
      <c r="A95" s="26"/>
      <c r="B95" s="28"/>
      <c r="C95" s="34"/>
      <c r="D95" s="28"/>
      <c r="E95" s="22"/>
      <c r="F95" s="34"/>
      <c r="G95" s="22"/>
      <c r="H95" s="26"/>
      <c r="I95" s="28"/>
      <c r="J95" s="22"/>
      <c r="K95" s="21" t="str">
        <f t="shared" si="2"/>
        <v/>
      </c>
      <c r="L95" s="20" t="str">
        <f t="shared" si="3"/>
        <v/>
      </c>
      <c r="M95" s="28"/>
    </row>
    <row r="96" spans="1:13" ht="28.5" customHeight="1">
      <c r="A96" s="26"/>
      <c r="B96" s="28"/>
      <c r="C96" s="34"/>
      <c r="D96" s="28"/>
      <c r="E96" s="22"/>
      <c r="F96" s="34"/>
      <c r="G96" s="22"/>
      <c r="H96" s="26"/>
      <c r="I96" s="28"/>
      <c r="J96" s="22"/>
      <c r="K96" s="21" t="str">
        <f t="shared" si="2"/>
        <v/>
      </c>
      <c r="L96" s="20" t="str">
        <f t="shared" si="3"/>
        <v/>
      </c>
      <c r="M96" s="28"/>
    </row>
    <row r="97" spans="1:13" ht="28.5" customHeight="1">
      <c r="A97" s="26"/>
      <c r="B97" s="28"/>
      <c r="C97" s="34"/>
      <c r="D97" s="28"/>
      <c r="E97" s="22"/>
      <c r="F97" s="34"/>
      <c r="G97" s="22"/>
      <c r="H97" s="26"/>
      <c r="I97" s="28"/>
      <c r="J97" s="22"/>
      <c r="K97" s="21" t="str">
        <f t="shared" si="2"/>
        <v/>
      </c>
      <c r="L97" s="20" t="str">
        <f t="shared" si="3"/>
        <v/>
      </c>
      <c r="M97" s="28"/>
    </row>
    <row r="98" spans="1:13" ht="28.5" customHeight="1">
      <c r="A98" s="26"/>
      <c r="B98" s="28"/>
      <c r="C98" s="34"/>
      <c r="D98" s="28"/>
      <c r="E98" s="22"/>
      <c r="F98" s="34"/>
      <c r="G98" s="22"/>
      <c r="H98" s="26"/>
      <c r="I98" s="28"/>
      <c r="J98" s="22"/>
      <c r="K98" s="21" t="str">
        <f t="shared" si="2"/>
        <v/>
      </c>
      <c r="L98" s="20" t="str">
        <f t="shared" si="3"/>
        <v/>
      </c>
      <c r="M98" s="28"/>
    </row>
    <row r="99" spans="1:13" ht="28.5" customHeight="1">
      <c r="A99" s="26"/>
      <c r="B99" s="28"/>
      <c r="C99" s="34"/>
      <c r="D99" s="28"/>
      <c r="E99" s="22"/>
      <c r="F99" s="34"/>
      <c r="G99" s="22"/>
      <c r="H99" s="26"/>
      <c r="I99" s="28"/>
      <c r="J99" s="22"/>
      <c r="K99" s="21" t="str">
        <f t="shared" si="2"/>
        <v/>
      </c>
      <c r="L99" s="20" t="str">
        <f t="shared" si="3"/>
        <v/>
      </c>
      <c r="M99" s="28"/>
    </row>
    <row r="100" spans="1:13" ht="28.5" customHeight="1">
      <c r="A100" s="26"/>
      <c r="B100" s="28"/>
      <c r="C100" s="34"/>
      <c r="D100" s="28"/>
      <c r="E100" s="22"/>
      <c r="F100" s="34"/>
      <c r="G100" s="22"/>
      <c r="H100" s="26"/>
      <c r="I100" s="28"/>
      <c r="J100" s="22"/>
      <c r="K100" s="21" t="str">
        <f t="shared" si="2"/>
        <v/>
      </c>
      <c r="L100" s="20" t="str">
        <f t="shared" si="3"/>
        <v/>
      </c>
      <c r="M100" s="28"/>
    </row>
    <row r="101" spans="1:13" ht="28.5" customHeight="1">
      <c r="A101" s="26"/>
      <c r="B101" s="28"/>
      <c r="C101" s="34"/>
      <c r="D101" s="28"/>
      <c r="E101" s="22"/>
      <c r="F101" s="34"/>
      <c r="G101" s="22"/>
      <c r="H101" s="26"/>
      <c r="I101" s="28"/>
      <c r="J101" s="22"/>
      <c r="K101" s="21" t="str">
        <f t="shared" si="2"/>
        <v/>
      </c>
      <c r="L101" s="20" t="str">
        <f t="shared" si="3"/>
        <v/>
      </c>
      <c r="M101" s="28"/>
    </row>
    <row r="102" spans="1:13" ht="28.5" customHeight="1">
      <c r="A102" s="26"/>
      <c r="B102" s="28"/>
      <c r="C102" s="34"/>
      <c r="D102" s="28"/>
      <c r="E102" s="22"/>
      <c r="F102" s="34"/>
      <c r="G102" s="22"/>
      <c r="H102" s="26"/>
      <c r="I102" s="28"/>
      <c r="J102" s="22"/>
      <c r="K102" s="21" t="str">
        <f t="shared" si="2"/>
        <v/>
      </c>
      <c r="L102" s="20" t="str">
        <f t="shared" si="3"/>
        <v/>
      </c>
      <c r="M102" s="28"/>
    </row>
    <row r="103" spans="1:13" ht="28.5" customHeight="1">
      <c r="A103" s="26"/>
      <c r="B103" s="28"/>
      <c r="C103" s="34"/>
      <c r="D103" s="28"/>
      <c r="E103" s="22"/>
      <c r="F103" s="34"/>
      <c r="G103" s="22"/>
      <c r="H103" s="26"/>
      <c r="I103" s="28"/>
      <c r="J103" s="22"/>
      <c r="K103" s="21" t="str">
        <f t="shared" si="2"/>
        <v/>
      </c>
      <c r="L103" s="20" t="str">
        <f t="shared" si="3"/>
        <v/>
      </c>
      <c r="M103" s="28"/>
    </row>
    <row r="104" spans="1:13" ht="28.5" customHeight="1">
      <c r="A104" s="26"/>
      <c r="B104" s="28"/>
      <c r="C104" s="34"/>
      <c r="D104" s="28"/>
      <c r="E104" s="22"/>
      <c r="F104" s="34"/>
      <c r="G104" s="22"/>
      <c r="H104" s="26"/>
      <c r="I104" s="28"/>
      <c r="J104" s="22"/>
      <c r="K104" s="21" t="str">
        <f t="shared" si="2"/>
        <v/>
      </c>
      <c r="L104" s="20" t="str">
        <f t="shared" si="3"/>
        <v/>
      </c>
      <c r="M104" s="28"/>
    </row>
    <row r="105" spans="1:13" ht="28.5" customHeight="1">
      <c r="A105" s="26"/>
      <c r="B105" s="28"/>
      <c r="C105" s="34"/>
      <c r="D105" s="28"/>
      <c r="E105" s="22"/>
      <c r="F105" s="34"/>
      <c r="G105" s="22"/>
      <c r="H105" s="26"/>
      <c r="I105" s="28"/>
      <c r="J105" s="22"/>
      <c r="K105" s="21" t="str">
        <f t="shared" si="2"/>
        <v/>
      </c>
      <c r="L105" s="20" t="str">
        <f t="shared" si="3"/>
        <v/>
      </c>
      <c r="M105" s="28"/>
    </row>
    <row r="106" spans="1:13" ht="28.5" customHeight="1">
      <c r="A106" s="26"/>
      <c r="B106" s="28"/>
      <c r="C106" s="34"/>
      <c r="D106" s="28"/>
      <c r="E106" s="22"/>
      <c r="F106" s="34"/>
      <c r="G106" s="22"/>
      <c r="H106" s="26"/>
      <c r="I106" s="28"/>
      <c r="J106" s="22"/>
      <c r="K106" s="21" t="str">
        <f t="shared" si="2"/>
        <v/>
      </c>
      <c r="L106" s="20" t="str">
        <f t="shared" si="3"/>
        <v/>
      </c>
      <c r="M106" s="28"/>
    </row>
    <row r="107" spans="1:13" ht="28.5" customHeight="1">
      <c r="A107" s="26"/>
      <c r="B107" s="28"/>
      <c r="C107" s="34"/>
      <c r="D107" s="28"/>
      <c r="E107" s="22"/>
      <c r="F107" s="34"/>
      <c r="G107" s="22"/>
      <c r="H107" s="26"/>
      <c r="I107" s="28"/>
      <c r="J107" s="22"/>
      <c r="K107" s="21" t="str">
        <f t="shared" si="2"/>
        <v/>
      </c>
      <c r="L107" s="20" t="str">
        <f t="shared" si="3"/>
        <v/>
      </c>
      <c r="M107" s="28"/>
    </row>
    <row r="108" spans="1:13" ht="28.5" customHeight="1">
      <c r="A108" s="26"/>
      <c r="B108" s="28"/>
      <c r="C108" s="34"/>
      <c r="D108" s="28"/>
      <c r="E108" s="22"/>
      <c r="F108" s="34"/>
      <c r="G108" s="22"/>
      <c r="H108" s="26"/>
      <c r="I108" s="28"/>
      <c r="J108" s="22"/>
      <c r="K108" s="21" t="str">
        <f t="shared" si="2"/>
        <v/>
      </c>
      <c r="L108" s="20" t="str">
        <f t="shared" si="3"/>
        <v/>
      </c>
      <c r="M108" s="28"/>
    </row>
    <row r="109" spans="1:13" ht="28.5" customHeight="1">
      <c r="A109" s="26"/>
      <c r="B109" s="28"/>
      <c r="C109" s="34"/>
      <c r="D109" s="28"/>
      <c r="E109" s="22"/>
      <c r="F109" s="34"/>
      <c r="G109" s="22"/>
      <c r="H109" s="26"/>
      <c r="I109" s="28"/>
      <c r="J109" s="22"/>
      <c r="K109" s="21" t="str">
        <f t="shared" si="2"/>
        <v/>
      </c>
      <c r="L109" s="20" t="str">
        <f t="shared" si="3"/>
        <v/>
      </c>
      <c r="M109" s="28"/>
    </row>
    <row r="110" spans="1:13" ht="28.5" customHeight="1">
      <c r="A110" s="26"/>
      <c r="B110" s="28"/>
      <c r="C110" s="34"/>
      <c r="D110" s="28"/>
      <c r="E110" s="22"/>
      <c r="F110" s="34"/>
      <c r="G110" s="22"/>
      <c r="H110" s="26"/>
      <c r="I110" s="28"/>
      <c r="J110" s="22"/>
      <c r="K110" s="21" t="str">
        <f t="shared" si="2"/>
        <v/>
      </c>
      <c r="L110" s="20" t="str">
        <f t="shared" si="3"/>
        <v/>
      </c>
      <c r="M110" s="28"/>
    </row>
    <row r="111" spans="1:13" ht="28.5" customHeight="1">
      <c r="A111" s="26"/>
      <c r="B111" s="28"/>
      <c r="C111" s="34"/>
      <c r="D111" s="28"/>
      <c r="E111" s="22"/>
      <c r="F111" s="34"/>
      <c r="G111" s="22"/>
      <c r="H111" s="26"/>
      <c r="I111" s="28"/>
      <c r="J111" s="22"/>
      <c r="K111" s="21" t="str">
        <f t="shared" si="2"/>
        <v/>
      </c>
      <c r="L111" s="20" t="str">
        <f t="shared" si="3"/>
        <v/>
      </c>
      <c r="M111" s="28"/>
    </row>
    <row r="112" spans="1:13" ht="28.5" customHeight="1">
      <c r="A112" s="26"/>
      <c r="B112" s="28"/>
      <c r="C112" s="34"/>
      <c r="D112" s="28"/>
      <c r="E112" s="22"/>
      <c r="F112" s="34"/>
      <c r="G112" s="22"/>
      <c r="H112" s="26"/>
      <c r="I112" s="28"/>
      <c r="J112" s="22"/>
      <c r="K112" s="21" t="str">
        <f t="shared" si="2"/>
        <v/>
      </c>
      <c r="L112" s="20" t="str">
        <f t="shared" si="3"/>
        <v/>
      </c>
      <c r="M112" s="28"/>
    </row>
    <row r="113" spans="1:13" ht="28.5" customHeight="1">
      <c r="A113" s="26"/>
      <c r="B113" s="28"/>
      <c r="C113" s="34"/>
      <c r="D113" s="28"/>
      <c r="E113" s="22"/>
      <c r="F113" s="34"/>
      <c r="G113" s="22"/>
      <c r="H113" s="26"/>
      <c r="I113" s="28"/>
      <c r="J113" s="22"/>
      <c r="K113" s="21" t="str">
        <f t="shared" si="2"/>
        <v/>
      </c>
      <c r="L113" s="20" t="str">
        <f t="shared" si="3"/>
        <v/>
      </c>
      <c r="M113" s="28"/>
    </row>
    <row r="114" spans="1:13" ht="28.5" customHeight="1">
      <c r="A114" s="26"/>
      <c r="B114" s="28"/>
      <c r="C114" s="34"/>
      <c r="D114" s="28"/>
      <c r="E114" s="22"/>
      <c r="F114" s="34"/>
      <c r="G114" s="22"/>
      <c r="H114" s="26"/>
      <c r="I114" s="28"/>
      <c r="J114" s="22"/>
      <c r="K114" s="21" t="str">
        <f t="shared" si="2"/>
        <v/>
      </c>
      <c r="L114" s="20" t="str">
        <f t="shared" si="3"/>
        <v/>
      </c>
      <c r="M114" s="28"/>
    </row>
    <row r="115" spans="1:13" ht="28.5" customHeight="1">
      <c r="A115" s="26"/>
      <c r="B115" s="28"/>
      <c r="C115" s="34"/>
      <c r="D115" s="28"/>
      <c r="E115" s="22"/>
      <c r="F115" s="34"/>
      <c r="G115" s="22"/>
      <c r="H115" s="26"/>
      <c r="I115" s="28"/>
      <c r="J115" s="22"/>
      <c r="K115" s="21" t="str">
        <f t="shared" si="2"/>
        <v/>
      </c>
      <c r="L115" s="20" t="str">
        <f t="shared" si="3"/>
        <v/>
      </c>
      <c r="M115" s="28"/>
    </row>
    <row r="116" spans="1:13" ht="28.5" customHeight="1">
      <c r="A116" s="26"/>
      <c r="B116" s="28"/>
      <c r="C116" s="34"/>
      <c r="D116" s="28"/>
      <c r="E116" s="22"/>
      <c r="F116" s="34"/>
      <c r="G116" s="22"/>
      <c r="H116" s="26"/>
      <c r="I116" s="28"/>
      <c r="J116" s="22"/>
      <c r="K116" s="21" t="str">
        <f t="shared" si="2"/>
        <v/>
      </c>
      <c r="L116" s="20" t="str">
        <f t="shared" si="3"/>
        <v/>
      </c>
      <c r="M116" s="28"/>
    </row>
    <row r="117" spans="1:13" ht="28.5" customHeight="1">
      <c r="A117" s="26"/>
      <c r="B117" s="28"/>
      <c r="C117" s="34"/>
      <c r="D117" s="28"/>
      <c r="E117" s="22"/>
      <c r="F117" s="34"/>
      <c r="G117" s="22"/>
      <c r="H117" s="26"/>
      <c r="I117" s="28"/>
      <c r="J117" s="22"/>
      <c r="K117" s="21" t="str">
        <f t="shared" si="2"/>
        <v/>
      </c>
      <c r="L117" s="20" t="str">
        <f t="shared" si="3"/>
        <v/>
      </c>
      <c r="M117" s="28"/>
    </row>
    <row r="118" spans="1:13" ht="28.5" customHeight="1">
      <c r="A118" s="26"/>
      <c r="B118" s="28"/>
      <c r="C118" s="34"/>
      <c r="D118" s="28"/>
      <c r="E118" s="22"/>
      <c r="F118" s="34"/>
      <c r="G118" s="22"/>
      <c r="H118" s="26"/>
      <c r="I118" s="28"/>
      <c r="J118" s="22"/>
      <c r="K118" s="21" t="str">
        <f t="shared" si="2"/>
        <v/>
      </c>
      <c r="L118" s="20" t="str">
        <f t="shared" si="3"/>
        <v/>
      </c>
      <c r="M118" s="28"/>
    </row>
    <row r="119" spans="1:13" ht="28.5" customHeight="1">
      <c r="A119" s="26"/>
      <c r="B119" s="28"/>
      <c r="C119" s="34"/>
      <c r="D119" s="28"/>
      <c r="E119" s="22"/>
      <c r="F119" s="34"/>
      <c r="G119" s="22"/>
      <c r="H119" s="26"/>
      <c r="I119" s="28"/>
      <c r="J119" s="22"/>
      <c r="K119" s="21" t="str">
        <f t="shared" si="2"/>
        <v/>
      </c>
      <c r="L119" s="20" t="str">
        <f t="shared" si="3"/>
        <v/>
      </c>
      <c r="M119" s="28"/>
    </row>
    <row r="120" spans="1:13" ht="28.5" customHeight="1">
      <c r="A120" s="26"/>
      <c r="B120" s="28"/>
      <c r="C120" s="34"/>
      <c r="D120" s="28"/>
      <c r="E120" s="22"/>
      <c r="F120" s="34"/>
      <c r="G120" s="22"/>
      <c r="H120" s="26"/>
      <c r="I120" s="28"/>
      <c r="J120" s="22"/>
      <c r="K120" s="21" t="str">
        <f t="shared" si="2"/>
        <v/>
      </c>
      <c r="L120" s="20" t="str">
        <f t="shared" si="3"/>
        <v/>
      </c>
      <c r="M120" s="28"/>
    </row>
    <row r="121" spans="1:13" ht="28.5" customHeight="1">
      <c r="A121" s="26"/>
      <c r="B121" s="28"/>
      <c r="C121" s="34"/>
      <c r="D121" s="28"/>
      <c r="E121" s="22"/>
      <c r="F121" s="34"/>
      <c r="G121" s="22"/>
      <c r="H121" s="26"/>
      <c r="I121" s="28"/>
      <c r="J121" s="22"/>
      <c r="K121" s="21" t="str">
        <f t="shared" si="2"/>
        <v/>
      </c>
      <c r="L121" s="20" t="str">
        <f t="shared" si="3"/>
        <v/>
      </c>
      <c r="M121" s="28"/>
    </row>
    <row r="122" spans="1:13" ht="28.5" customHeight="1">
      <c r="A122" s="26"/>
      <c r="B122" s="28"/>
      <c r="C122" s="34"/>
      <c r="D122" s="28"/>
      <c r="E122" s="22"/>
      <c r="F122" s="34"/>
      <c r="G122" s="22"/>
      <c r="H122" s="26"/>
      <c r="I122" s="28"/>
      <c r="J122" s="22"/>
      <c r="K122" s="21" t="str">
        <f t="shared" si="2"/>
        <v/>
      </c>
      <c r="L122" s="20" t="str">
        <f t="shared" si="3"/>
        <v/>
      </c>
      <c r="M122" s="28"/>
    </row>
    <row r="123" spans="1:13" ht="28.5" customHeight="1">
      <c r="A123" s="26"/>
      <c r="B123" s="28"/>
      <c r="C123" s="34"/>
      <c r="D123" s="28"/>
      <c r="E123" s="22"/>
      <c r="F123" s="34"/>
      <c r="G123" s="22"/>
      <c r="H123" s="26"/>
      <c r="I123" s="28"/>
      <c r="J123" s="22"/>
      <c r="K123" s="21" t="str">
        <f t="shared" si="2"/>
        <v/>
      </c>
      <c r="L123" s="20" t="str">
        <f t="shared" si="3"/>
        <v/>
      </c>
      <c r="M123" s="28"/>
    </row>
    <row r="124" spans="1:13" ht="28.5" customHeight="1">
      <c r="A124" s="26"/>
      <c r="B124" s="28"/>
      <c r="C124" s="34"/>
      <c r="D124" s="28"/>
      <c r="E124" s="22"/>
      <c r="F124" s="34"/>
      <c r="G124" s="22"/>
      <c r="H124" s="26"/>
      <c r="I124" s="28"/>
      <c r="J124" s="22"/>
      <c r="K124" s="21" t="str">
        <f t="shared" si="2"/>
        <v/>
      </c>
      <c r="L124" s="20" t="str">
        <f t="shared" si="3"/>
        <v/>
      </c>
      <c r="M124" s="28"/>
    </row>
    <row r="125" spans="1:13" ht="28.5" customHeight="1">
      <c r="A125" s="26"/>
      <c r="B125" s="28"/>
      <c r="C125" s="34"/>
      <c r="D125" s="28"/>
      <c r="E125" s="22"/>
      <c r="F125" s="34"/>
      <c r="G125" s="22"/>
      <c r="H125" s="26"/>
      <c r="I125" s="28"/>
      <c r="J125" s="22"/>
      <c r="K125" s="21" t="str">
        <f t="shared" si="2"/>
        <v/>
      </c>
      <c r="L125" s="20" t="str">
        <f t="shared" si="3"/>
        <v/>
      </c>
      <c r="M125" s="28"/>
    </row>
    <row r="126" spans="1:13" ht="28.5" customHeight="1">
      <c r="A126" s="26"/>
      <c r="B126" s="28"/>
      <c r="C126" s="34"/>
      <c r="D126" s="28"/>
      <c r="E126" s="22"/>
      <c r="F126" s="34"/>
      <c r="G126" s="22"/>
      <c r="H126" s="26"/>
      <c r="I126" s="28"/>
      <c r="J126" s="22"/>
      <c r="K126" s="21" t="str">
        <f t="shared" si="2"/>
        <v/>
      </c>
      <c r="L126" s="20" t="str">
        <f t="shared" si="3"/>
        <v/>
      </c>
      <c r="M126" s="28"/>
    </row>
    <row r="127" spans="1:13" ht="28.5" customHeight="1">
      <c r="A127" s="26"/>
      <c r="B127" s="28"/>
      <c r="C127" s="34"/>
      <c r="D127" s="28"/>
      <c r="E127" s="22"/>
      <c r="F127" s="34"/>
      <c r="G127" s="22"/>
      <c r="H127" s="26"/>
      <c r="I127" s="28"/>
      <c r="J127" s="22"/>
      <c r="K127" s="21" t="str">
        <f t="shared" si="2"/>
        <v/>
      </c>
      <c r="L127" s="20" t="str">
        <f t="shared" si="3"/>
        <v/>
      </c>
      <c r="M127" s="28"/>
    </row>
    <row r="128" spans="1:13" ht="28.5" customHeight="1">
      <c r="A128" s="26"/>
      <c r="B128" s="28"/>
      <c r="C128" s="34"/>
      <c r="D128" s="28"/>
      <c r="E128" s="22"/>
      <c r="F128" s="34"/>
      <c r="G128" s="22"/>
      <c r="H128" s="26"/>
      <c r="I128" s="28"/>
      <c r="J128" s="22"/>
      <c r="K128" s="21" t="str">
        <f t="shared" si="2"/>
        <v/>
      </c>
      <c r="L128" s="20" t="str">
        <f t="shared" si="3"/>
        <v/>
      </c>
      <c r="M128" s="28"/>
    </row>
    <row r="129" spans="1:13" ht="28.5" customHeight="1">
      <c r="A129" s="26"/>
      <c r="B129" s="28"/>
      <c r="C129" s="34"/>
      <c r="D129" s="28"/>
      <c r="E129" s="22"/>
      <c r="F129" s="34"/>
      <c r="G129" s="22"/>
      <c r="H129" s="26"/>
      <c r="I129" s="28"/>
      <c r="J129" s="22"/>
      <c r="K129" s="21" t="str">
        <f t="shared" si="2"/>
        <v/>
      </c>
      <c r="L129" s="20" t="str">
        <f t="shared" si="3"/>
        <v/>
      </c>
      <c r="M129" s="28"/>
    </row>
    <row r="130" spans="1:13" ht="28.5" customHeight="1">
      <c r="A130" s="26"/>
      <c r="B130" s="28"/>
      <c r="C130" s="34"/>
      <c r="D130" s="28"/>
      <c r="E130" s="22"/>
      <c r="F130" s="34"/>
      <c r="G130" s="22"/>
      <c r="H130" s="26"/>
      <c r="I130" s="28"/>
      <c r="J130" s="22"/>
      <c r="K130" s="21" t="str">
        <f t="shared" si="2"/>
        <v/>
      </c>
      <c r="L130" s="20" t="str">
        <f t="shared" si="3"/>
        <v/>
      </c>
      <c r="M130" s="28"/>
    </row>
    <row r="131" spans="1:13" ht="28.5" customHeight="1">
      <c r="A131" s="26"/>
      <c r="B131" s="28"/>
      <c r="C131" s="34"/>
      <c r="D131" s="28"/>
      <c r="E131" s="22"/>
      <c r="F131" s="34"/>
      <c r="G131" s="22"/>
      <c r="H131" s="26"/>
      <c r="I131" s="28"/>
      <c r="J131" s="22"/>
      <c r="K131" s="21" t="str">
        <f t="shared" si="2"/>
        <v/>
      </c>
      <c r="L131" s="20" t="str">
        <f t="shared" si="3"/>
        <v/>
      </c>
      <c r="M131" s="28"/>
    </row>
    <row r="132" spans="1:13" ht="28.5" customHeight="1">
      <c r="A132" s="26"/>
      <c r="B132" s="28"/>
      <c r="C132" s="34"/>
      <c r="D132" s="28"/>
      <c r="E132" s="22"/>
      <c r="F132" s="34"/>
      <c r="G132" s="22"/>
      <c r="H132" s="26"/>
      <c r="I132" s="28"/>
      <c r="J132" s="22"/>
      <c r="K132" s="21" t="str">
        <f t="shared" si="2"/>
        <v/>
      </c>
      <c r="L132" s="20" t="str">
        <f t="shared" si="3"/>
        <v/>
      </c>
      <c r="M132" s="28"/>
    </row>
    <row r="133" spans="1:13" ht="28.5" customHeight="1">
      <c r="A133" s="26"/>
      <c r="B133" s="28"/>
      <c r="C133" s="34"/>
      <c r="D133" s="28"/>
      <c r="E133" s="22"/>
      <c r="F133" s="34"/>
      <c r="G133" s="22"/>
      <c r="H133" s="26"/>
      <c r="I133" s="28"/>
      <c r="J133" s="22"/>
      <c r="K133" s="21" t="str">
        <f t="shared" si="2"/>
        <v/>
      </c>
      <c r="L133" s="20" t="str">
        <f t="shared" si="3"/>
        <v/>
      </c>
      <c r="M133" s="28"/>
    </row>
    <row r="134" spans="1:13" ht="28.5" customHeight="1">
      <c r="A134" s="26"/>
      <c r="B134" s="28"/>
      <c r="C134" s="34"/>
      <c r="D134" s="28"/>
      <c r="E134" s="22"/>
      <c r="F134" s="34"/>
      <c r="G134" s="22"/>
      <c r="H134" s="26"/>
      <c r="I134" s="28"/>
      <c r="J134" s="22"/>
      <c r="K134" s="21" t="str">
        <f t="shared" ref="K134:K197" si="4">IF(OR(E134="",G134=""),"",E134-G134)</f>
        <v/>
      </c>
      <c r="L134" s="20" t="str">
        <f t="shared" ref="L134:L197" si="5">IF(COUNTA(A134:J134)=0,"",IF(OR(A134="",C134="",D134="",E134="",F134=""),"待补汇出信息",IF(OR(E134&lt;=0,J134&lt;0,AND(J134&gt;0,I134=""),C134=F134),"请检查本金／费用／账户",IF(OR(G134="",H134=""),"在途／待补到账",IF(OR(G134&lt;0,H134&lt;A134),"请检查到账信息","已记录")))))</f>
        <v/>
      </c>
      <c r="M134" s="28"/>
    </row>
    <row r="135" spans="1:13" ht="28.5" customHeight="1">
      <c r="A135" s="26"/>
      <c r="B135" s="28"/>
      <c r="C135" s="34"/>
      <c r="D135" s="28"/>
      <c r="E135" s="22"/>
      <c r="F135" s="34"/>
      <c r="G135" s="22"/>
      <c r="H135" s="26"/>
      <c r="I135" s="28"/>
      <c r="J135" s="22"/>
      <c r="K135" s="21" t="str">
        <f t="shared" si="4"/>
        <v/>
      </c>
      <c r="L135" s="20" t="str">
        <f t="shared" si="5"/>
        <v/>
      </c>
      <c r="M135" s="28"/>
    </row>
    <row r="136" spans="1:13" ht="28.5" customHeight="1">
      <c r="A136" s="26"/>
      <c r="B136" s="28"/>
      <c r="C136" s="34"/>
      <c r="D136" s="28"/>
      <c r="E136" s="22"/>
      <c r="F136" s="34"/>
      <c r="G136" s="22"/>
      <c r="H136" s="26"/>
      <c r="I136" s="28"/>
      <c r="J136" s="22"/>
      <c r="K136" s="21" t="str">
        <f t="shared" si="4"/>
        <v/>
      </c>
      <c r="L136" s="20" t="str">
        <f t="shared" si="5"/>
        <v/>
      </c>
      <c r="M136" s="28"/>
    </row>
    <row r="137" spans="1:13" ht="28.5" customHeight="1">
      <c r="A137" s="26"/>
      <c r="B137" s="28"/>
      <c r="C137" s="34"/>
      <c r="D137" s="28"/>
      <c r="E137" s="22"/>
      <c r="F137" s="34"/>
      <c r="G137" s="22"/>
      <c r="H137" s="26"/>
      <c r="I137" s="28"/>
      <c r="J137" s="22"/>
      <c r="K137" s="21" t="str">
        <f t="shared" si="4"/>
        <v/>
      </c>
      <c r="L137" s="20" t="str">
        <f t="shared" si="5"/>
        <v/>
      </c>
      <c r="M137" s="28"/>
    </row>
    <row r="138" spans="1:13" ht="28.5" customHeight="1">
      <c r="A138" s="26"/>
      <c r="B138" s="28"/>
      <c r="C138" s="34"/>
      <c r="D138" s="28"/>
      <c r="E138" s="22"/>
      <c r="F138" s="34"/>
      <c r="G138" s="22"/>
      <c r="H138" s="26"/>
      <c r="I138" s="28"/>
      <c r="J138" s="22"/>
      <c r="K138" s="21" t="str">
        <f t="shared" si="4"/>
        <v/>
      </c>
      <c r="L138" s="20" t="str">
        <f t="shared" si="5"/>
        <v/>
      </c>
      <c r="M138" s="28"/>
    </row>
    <row r="139" spans="1:13" ht="28.5" customHeight="1">
      <c r="A139" s="26"/>
      <c r="B139" s="28"/>
      <c r="C139" s="34"/>
      <c r="D139" s="28"/>
      <c r="E139" s="22"/>
      <c r="F139" s="34"/>
      <c r="G139" s="22"/>
      <c r="H139" s="26"/>
      <c r="I139" s="28"/>
      <c r="J139" s="22"/>
      <c r="K139" s="21" t="str">
        <f t="shared" si="4"/>
        <v/>
      </c>
      <c r="L139" s="20" t="str">
        <f t="shared" si="5"/>
        <v/>
      </c>
      <c r="M139" s="28"/>
    </row>
    <row r="140" spans="1:13" ht="28.5" customHeight="1">
      <c r="A140" s="26"/>
      <c r="B140" s="28"/>
      <c r="C140" s="34"/>
      <c r="D140" s="28"/>
      <c r="E140" s="22"/>
      <c r="F140" s="34"/>
      <c r="G140" s="22"/>
      <c r="H140" s="26"/>
      <c r="I140" s="28"/>
      <c r="J140" s="22"/>
      <c r="K140" s="21" t="str">
        <f t="shared" si="4"/>
        <v/>
      </c>
      <c r="L140" s="20" t="str">
        <f t="shared" si="5"/>
        <v/>
      </c>
      <c r="M140" s="28"/>
    </row>
    <row r="141" spans="1:13" ht="28.5" customHeight="1">
      <c r="A141" s="26"/>
      <c r="B141" s="28"/>
      <c r="C141" s="34"/>
      <c r="D141" s="28"/>
      <c r="E141" s="22"/>
      <c r="F141" s="34"/>
      <c r="G141" s="22"/>
      <c r="H141" s="26"/>
      <c r="I141" s="28"/>
      <c r="J141" s="22"/>
      <c r="K141" s="21" t="str">
        <f t="shared" si="4"/>
        <v/>
      </c>
      <c r="L141" s="20" t="str">
        <f t="shared" si="5"/>
        <v/>
      </c>
      <c r="M141" s="28"/>
    </row>
    <row r="142" spans="1:13" ht="28.5" customHeight="1">
      <c r="A142" s="26"/>
      <c r="B142" s="28"/>
      <c r="C142" s="34"/>
      <c r="D142" s="28"/>
      <c r="E142" s="22"/>
      <c r="F142" s="34"/>
      <c r="G142" s="22"/>
      <c r="H142" s="26"/>
      <c r="I142" s="28"/>
      <c r="J142" s="22"/>
      <c r="K142" s="21" t="str">
        <f t="shared" si="4"/>
        <v/>
      </c>
      <c r="L142" s="20" t="str">
        <f t="shared" si="5"/>
        <v/>
      </c>
      <c r="M142" s="28"/>
    </row>
    <row r="143" spans="1:13" ht="28.5" customHeight="1">
      <c r="A143" s="26"/>
      <c r="B143" s="28"/>
      <c r="C143" s="34"/>
      <c r="D143" s="28"/>
      <c r="E143" s="22"/>
      <c r="F143" s="34"/>
      <c r="G143" s="22"/>
      <c r="H143" s="26"/>
      <c r="I143" s="28"/>
      <c r="J143" s="22"/>
      <c r="K143" s="21" t="str">
        <f t="shared" si="4"/>
        <v/>
      </c>
      <c r="L143" s="20" t="str">
        <f t="shared" si="5"/>
        <v/>
      </c>
      <c r="M143" s="28"/>
    </row>
    <row r="144" spans="1:13" ht="28.5" customHeight="1">
      <c r="A144" s="26"/>
      <c r="B144" s="28"/>
      <c r="C144" s="34"/>
      <c r="D144" s="28"/>
      <c r="E144" s="22"/>
      <c r="F144" s="34"/>
      <c r="G144" s="22"/>
      <c r="H144" s="26"/>
      <c r="I144" s="28"/>
      <c r="J144" s="22"/>
      <c r="K144" s="21" t="str">
        <f t="shared" si="4"/>
        <v/>
      </c>
      <c r="L144" s="20" t="str">
        <f t="shared" si="5"/>
        <v/>
      </c>
      <c r="M144" s="28"/>
    </row>
    <row r="145" spans="1:13" ht="28.5" customHeight="1">
      <c r="A145" s="26"/>
      <c r="B145" s="28"/>
      <c r="C145" s="34"/>
      <c r="D145" s="28"/>
      <c r="E145" s="22"/>
      <c r="F145" s="34"/>
      <c r="G145" s="22"/>
      <c r="H145" s="26"/>
      <c r="I145" s="28"/>
      <c r="J145" s="22"/>
      <c r="K145" s="21" t="str">
        <f t="shared" si="4"/>
        <v/>
      </c>
      <c r="L145" s="20" t="str">
        <f t="shared" si="5"/>
        <v/>
      </c>
      <c r="M145" s="28"/>
    </row>
    <row r="146" spans="1:13" ht="28.5" customHeight="1">
      <c r="A146" s="26"/>
      <c r="B146" s="28"/>
      <c r="C146" s="34"/>
      <c r="D146" s="28"/>
      <c r="E146" s="22"/>
      <c r="F146" s="34"/>
      <c r="G146" s="22"/>
      <c r="H146" s="26"/>
      <c r="I146" s="28"/>
      <c r="J146" s="22"/>
      <c r="K146" s="21" t="str">
        <f t="shared" si="4"/>
        <v/>
      </c>
      <c r="L146" s="20" t="str">
        <f t="shared" si="5"/>
        <v/>
      </c>
      <c r="M146" s="28"/>
    </row>
    <row r="147" spans="1:13" ht="28.5" customHeight="1">
      <c r="A147" s="26"/>
      <c r="B147" s="28"/>
      <c r="C147" s="34"/>
      <c r="D147" s="28"/>
      <c r="E147" s="22"/>
      <c r="F147" s="34"/>
      <c r="G147" s="22"/>
      <c r="H147" s="26"/>
      <c r="I147" s="28"/>
      <c r="J147" s="22"/>
      <c r="K147" s="21" t="str">
        <f t="shared" si="4"/>
        <v/>
      </c>
      <c r="L147" s="20" t="str">
        <f t="shared" si="5"/>
        <v/>
      </c>
      <c r="M147" s="28"/>
    </row>
    <row r="148" spans="1:13" ht="28.5" customHeight="1">
      <c r="A148" s="26"/>
      <c r="B148" s="28"/>
      <c r="C148" s="34"/>
      <c r="D148" s="28"/>
      <c r="E148" s="22"/>
      <c r="F148" s="34"/>
      <c r="G148" s="22"/>
      <c r="H148" s="26"/>
      <c r="I148" s="28"/>
      <c r="J148" s="22"/>
      <c r="K148" s="21" t="str">
        <f t="shared" si="4"/>
        <v/>
      </c>
      <c r="L148" s="20" t="str">
        <f t="shared" si="5"/>
        <v/>
      </c>
      <c r="M148" s="28"/>
    </row>
    <row r="149" spans="1:13" ht="28.5" customHeight="1">
      <c r="A149" s="26"/>
      <c r="B149" s="28"/>
      <c r="C149" s="34"/>
      <c r="D149" s="28"/>
      <c r="E149" s="22"/>
      <c r="F149" s="34"/>
      <c r="G149" s="22"/>
      <c r="H149" s="26"/>
      <c r="I149" s="28"/>
      <c r="J149" s="22"/>
      <c r="K149" s="21" t="str">
        <f t="shared" si="4"/>
        <v/>
      </c>
      <c r="L149" s="20" t="str">
        <f t="shared" si="5"/>
        <v/>
      </c>
      <c r="M149" s="28"/>
    </row>
    <row r="150" spans="1:13" ht="28.5" customHeight="1">
      <c r="A150" s="26"/>
      <c r="B150" s="28"/>
      <c r="C150" s="34"/>
      <c r="D150" s="28"/>
      <c r="E150" s="22"/>
      <c r="F150" s="34"/>
      <c r="G150" s="22"/>
      <c r="H150" s="26"/>
      <c r="I150" s="28"/>
      <c r="J150" s="22"/>
      <c r="K150" s="21" t="str">
        <f t="shared" si="4"/>
        <v/>
      </c>
      <c r="L150" s="20" t="str">
        <f t="shared" si="5"/>
        <v/>
      </c>
      <c r="M150" s="28"/>
    </row>
    <row r="151" spans="1:13" ht="28.5" customHeight="1">
      <c r="A151" s="26"/>
      <c r="B151" s="28"/>
      <c r="C151" s="34"/>
      <c r="D151" s="28"/>
      <c r="E151" s="22"/>
      <c r="F151" s="34"/>
      <c r="G151" s="22"/>
      <c r="H151" s="26"/>
      <c r="I151" s="28"/>
      <c r="J151" s="22"/>
      <c r="K151" s="21" t="str">
        <f t="shared" si="4"/>
        <v/>
      </c>
      <c r="L151" s="20" t="str">
        <f t="shared" si="5"/>
        <v/>
      </c>
      <c r="M151" s="28"/>
    </row>
    <row r="152" spans="1:13" ht="28.5" customHeight="1">
      <c r="A152" s="26"/>
      <c r="B152" s="28"/>
      <c r="C152" s="34"/>
      <c r="D152" s="28"/>
      <c r="E152" s="22"/>
      <c r="F152" s="34"/>
      <c r="G152" s="22"/>
      <c r="H152" s="26"/>
      <c r="I152" s="28"/>
      <c r="J152" s="22"/>
      <c r="K152" s="21" t="str">
        <f t="shared" si="4"/>
        <v/>
      </c>
      <c r="L152" s="20" t="str">
        <f t="shared" si="5"/>
        <v/>
      </c>
      <c r="M152" s="28"/>
    </row>
    <row r="153" spans="1:13" ht="28.5" customHeight="1">
      <c r="A153" s="26"/>
      <c r="B153" s="28"/>
      <c r="C153" s="34"/>
      <c r="D153" s="28"/>
      <c r="E153" s="22"/>
      <c r="F153" s="34"/>
      <c r="G153" s="22"/>
      <c r="H153" s="26"/>
      <c r="I153" s="28"/>
      <c r="J153" s="22"/>
      <c r="K153" s="21" t="str">
        <f t="shared" si="4"/>
        <v/>
      </c>
      <c r="L153" s="20" t="str">
        <f t="shared" si="5"/>
        <v/>
      </c>
      <c r="M153" s="28"/>
    </row>
    <row r="154" spans="1:13" ht="28.5" customHeight="1">
      <c r="A154" s="26"/>
      <c r="B154" s="28"/>
      <c r="C154" s="34"/>
      <c r="D154" s="28"/>
      <c r="E154" s="22"/>
      <c r="F154" s="34"/>
      <c r="G154" s="22"/>
      <c r="H154" s="26"/>
      <c r="I154" s="28"/>
      <c r="J154" s="22"/>
      <c r="K154" s="21" t="str">
        <f t="shared" si="4"/>
        <v/>
      </c>
      <c r="L154" s="20" t="str">
        <f t="shared" si="5"/>
        <v/>
      </c>
      <c r="M154" s="28"/>
    </row>
    <row r="155" spans="1:13" ht="28.5" customHeight="1">
      <c r="A155" s="26"/>
      <c r="B155" s="28"/>
      <c r="C155" s="34"/>
      <c r="D155" s="28"/>
      <c r="E155" s="22"/>
      <c r="F155" s="34"/>
      <c r="G155" s="22"/>
      <c r="H155" s="26"/>
      <c r="I155" s="28"/>
      <c r="J155" s="22"/>
      <c r="K155" s="21" t="str">
        <f t="shared" si="4"/>
        <v/>
      </c>
      <c r="L155" s="20" t="str">
        <f t="shared" si="5"/>
        <v/>
      </c>
      <c r="M155" s="28"/>
    </row>
    <row r="156" spans="1:13" ht="28.5" customHeight="1">
      <c r="A156" s="26"/>
      <c r="B156" s="28"/>
      <c r="C156" s="34"/>
      <c r="D156" s="28"/>
      <c r="E156" s="22"/>
      <c r="F156" s="34"/>
      <c r="G156" s="22"/>
      <c r="H156" s="26"/>
      <c r="I156" s="28"/>
      <c r="J156" s="22"/>
      <c r="K156" s="21" t="str">
        <f t="shared" si="4"/>
        <v/>
      </c>
      <c r="L156" s="20" t="str">
        <f t="shared" si="5"/>
        <v/>
      </c>
      <c r="M156" s="28"/>
    </row>
    <row r="157" spans="1:13" ht="28.5" customHeight="1">
      <c r="A157" s="26"/>
      <c r="B157" s="28"/>
      <c r="C157" s="34"/>
      <c r="D157" s="28"/>
      <c r="E157" s="22"/>
      <c r="F157" s="34"/>
      <c r="G157" s="22"/>
      <c r="H157" s="26"/>
      <c r="I157" s="28"/>
      <c r="J157" s="22"/>
      <c r="K157" s="21" t="str">
        <f t="shared" si="4"/>
        <v/>
      </c>
      <c r="L157" s="20" t="str">
        <f t="shared" si="5"/>
        <v/>
      </c>
      <c r="M157" s="28"/>
    </row>
    <row r="158" spans="1:13" ht="28.5" customHeight="1">
      <c r="A158" s="26"/>
      <c r="B158" s="28"/>
      <c r="C158" s="34"/>
      <c r="D158" s="28"/>
      <c r="E158" s="22"/>
      <c r="F158" s="34"/>
      <c r="G158" s="22"/>
      <c r="H158" s="26"/>
      <c r="I158" s="28"/>
      <c r="J158" s="22"/>
      <c r="K158" s="21" t="str">
        <f t="shared" si="4"/>
        <v/>
      </c>
      <c r="L158" s="20" t="str">
        <f t="shared" si="5"/>
        <v/>
      </c>
      <c r="M158" s="28"/>
    </row>
    <row r="159" spans="1:13" ht="28.5" customHeight="1">
      <c r="A159" s="26"/>
      <c r="B159" s="28"/>
      <c r="C159" s="34"/>
      <c r="D159" s="28"/>
      <c r="E159" s="22"/>
      <c r="F159" s="34"/>
      <c r="G159" s="22"/>
      <c r="H159" s="26"/>
      <c r="I159" s="28"/>
      <c r="J159" s="22"/>
      <c r="K159" s="21" t="str">
        <f t="shared" si="4"/>
        <v/>
      </c>
      <c r="L159" s="20" t="str">
        <f t="shared" si="5"/>
        <v/>
      </c>
      <c r="M159" s="28"/>
    </row>
    <row r="160" spans="1:13" ht="28.5" customHeight="1">
      <c r="A160" s="26"/>
      <c r="B160" s="28"/>
      <c r="C160" s="34"/>
      <c r="D160" s="28"/>
      <c r="E160" s="22"/>
      <c r="F160" s="34"/>
      <c r="G160" s="22"/>
      <c r="H160" s="26"/>
      <c r="I160" s="28"/>
      <c r="J160" s="22"/>
      <c r="K160" s="21" t="str">
        <f t="shared" si="4"/>
        <v/>
      </c>
      <c r="L160" s="20" t="str">
        <f t="shared" si="5"/>
        <v/>
      </c>
      <c r="M160" s="28"/>
    </row>
    <row r="161" spans="1:13" ht="28.5" customHeight="1">
      <c r="A161" s="26"/>
      <c r="B161" s="28"/>
      <c r="C161" s="34"/>
      <c r="D161" s="28"/>
      <c r="E161" s="22"/>
      <c r="F161" s="34"/>
      <c r="G161" s="22"/>
      <c r="H161" s="26"/>
      <c r="I161" s="28"/>
      <c r="J161" s="22"/>
      <c r="K161" s="21" t="str">
        <f t="shared" si="4"/>
        <v/>
      </c>
      <c r="L161" s="20" t="str">
        <f t="shared" si="5"/>
        <v/>
      </c>
      <c r="M161" s="28"/>
    </row>
    <row r="162" spans="1:13" ht="28.5" customHeight="1">
      <c r="A162" s="26"/>
      <c r="B162" s="28"/>
      <c r="C162" s="34"/>
      <c r="D162" s="28"/>
      <c r="E162" s="22"/>
      <c r="F162" s="34"/>
      <c r="G162" s="22"/>
      <c r="H162" s="26"/>
      <c r="I162" s="28"/>
      <c r="J162" s="22"/>
      <c r="K162" s="21" t="str">
        <f t="shared" si="4"/>
        <v/>
      </c>
      <c r="L162" s="20" t="str">
        <f t="shared" si="5"/>
        <v/>
      </c>
      <c r="M162" s="28"/>
    </row>
    <row r="163" spans="1:13" ht="28.5" customHeight="1">
      <c r="A163" s="26"/>
      <c r="B163" s="28"/>
      <c r="C163" s="34"/>
      <c r="D163" s="28"/>
      <c r="E163" s="22"/>
      <c r="F163" s="34"/>
      <c r="G163" s="22"/>
      <c r="H163" s="26"/>
      <c r="I163" s="28"/>
      <c r="J163" s="22"/>
      <c r="K163" s="21" t="str">
        <f t="shared" si="4"/>
        <v/>
      </c>
      <c r="L163" s="20" t="str">
        <f t="shared" si="5"/>
        <v/>
      </c>
      <c r="M163" s="28"/>
    </row>
    <row r="164" spans="1:13" ht="28.5" customHeight="1">
      <c r="A164" s="26"/>
      <c r="B164" s="28"/>
      <c r="C164" s="34"/>
      <c r="D164" s="28"/>
      <c r="E164" s="22"/>
      <c r="F164" s="34"/>
      <c r="G164" s="22"/>
      <c r="H164" s="26"/>
      <c r="I164" s="28"/>
      <c r="J164" s="22"/>
      <c r="K164" s="21" t="str">
        <f t="shared" si="4"/>
        <v/>
      </c>
      <c r="L164" s="20" t="str">
        <f t="shared" si="5"/>
        <v/>
      </c>
      <c r="M164" s="28"/>
    </row>
    <row r="165" spans="1:13" ht="28.5" customHeight="1">
      <c r="A165" s="26"/>
      <c r="B165" s="28"/>
      <c r="C165" s="34"/>
      <c r="D165" s="28"/>
      <c r="E165" s="22"/>
      <c r="F165" s="34"/>
      <c r="G165" s="22"/>
      <c r="H165" s="26"/>
      <c r="I165" s="28"/>
      <c r="J165" s="22"/>
      <c r="K165" s="21" t="str">
        <f t="shared" si="4"/>
        <v/>
      </c>
      <c r="L165" s="20" t="str">
        <f t="shared" si="5"/>
        <v/>
      </c>
      <c r="M165" s="28"/>
    </row>
    <row r="166" spans="1:13" ht="28.5" customHeight="1">
      <c r="A166" s="26"/>
      <c r="B166" s="28"/>
      <c r="C166" s="34"/>
      <c r="D166" s="28"/>
      <c r="E166" s="22"/>
      <c r="F166" s="34"/>
      <c r="G166" s="22"/>
      <c r="H166" s="26"/>
      <c r="I166" s="28"/>
      <c r="J166" s="22"/>
      <c r="K166" s="21" t="str">
        <f t="shared" si="4"/>
        <v/>
      </c>
      <c r="L166" s="20" t="str">
        <f t="shared" si="5"/>
        <v/>
      </c>
      <c r="M166" s="28"/>
    </row>
    <row r="167" spans="1:13" ht="28.5" customHeight="1">
      <c r="A167" s="26"/>
      <c r="B167" s="28"/>
      <c r="C167" s="34"/>
      <c r="D167" s="28"/>
      <c r="E167" s="22"/>
      <c r="F167" s="34"/>
      <c r="G167" s="22"/>
      <c r="H167" s="26"/>
      <c r="I167" s="28"/>
      <c r="J167" s="22"/>
      <c r="K167" s="21" t="str">
        <f t="shared" si="4"/>
        <v/>
      </c>
      <c r="L167" s="20" t="str">
        <f t="shared" si="5"/>
        <v/>
      </c>
      <c r="M167" s="28"/>
    </row>
    <row r="168" spans="1:13" ht="28.5" customHeight="1">
      <c r="A168" s="26"/>
      <c r="B168" s="28"/>
      <c r="C168" s="34"/>
      <c r="D168" s="28"/>
      <c r="E168" s="22"/>
      <c r="F168" s="34"/>
      <c r="G168" s="22"/>
      <c r="H168" s="26"/>
      <c r="I168" s="28"/>
      <c r="J168" s="22"/>
      <c r="K168" s="21" t="str">
        <f t="shared" si="4"/>
        <v/>
      </c>
      <c r="L168" s="20" t="str">
        <f t="shared" si="5"/>
        <v/>
      </c>
      <c r="M168" s="28"/>
    </row>
    <row r="169" spans="1:13" ht="28.5" customHeight="1">
      <c r="A169" s="26"/>
      <c r="B169" s="28"/>
      <c r="C169" s="34"/>
      <c r="D169" s="28"/>
      <c r="E169" s="22"/>
      <c r="F169" s="34"/>
      <c r="G169" s="22"/>
      <c r="H169" s="26"/>
      <c r="I169" s="28"/>
      <c r="J169" s="22"/>
      <c r="K169" s="21" t="str">
        <f t="shared" si="4"/>
        <v/>
      </c>
      <c r="L169" s="20" t="str">
        <f t="shared" si="5"/>
        <v/>
      </c>
      <c r="M169" s="28"/>
    </row>
    <row r="170" spans="1:13" ht="28.5" customHeight="1">
      <c r="A170" s="26"/>
      <c r="B170" s="28"/>
      <c r="C170" s="34"/>
      <c r="D170" s="28"/>
      <c r="E170" s="22"/>
      <c r="F170" s="34"/>
      <c r="G170" s="22"/>
      <c r="H170" s="26"/>
      <c r="I170" s="28"/>
      <c r="J170" s="22"/>
      <c r="K170" s="21" t="str">
        <f t="shared" si="4"/>
        <v/>
      </c>
      <c r="L170" s="20" t="str">
        <f t="shared" si="5"/>
        <v/>
      </c>
      <c r="M170" s="28"/>
    </row>
    <row r="171" spans="1:13" ht="28.5" customHeight="1">
      <c r="A171" s="26"/>
      <c r="B171" s="28"/>
      <c r="C171" s="34"/>
      <c r="D171" s="28"/>
      <c r="E171" s="22"/>
      <c r="F171" s="34"/>
      <c r="G171" s="22"/>
      <c r="H171" s="26"/>
      <c r="I171" s="28"/>
      <c r="J171" s="22"/>
      <c r="K171" s="21" t="str">
        <f t="shared" si="4"/>
        <v/>
      </c>
      <c r="L171" s="20" t="str">
        <f t="shared" si="5"/>
        <v/>
      </c>
      <c r="M171" s="28"/>
    </row>
    <row r="172" spans="1:13" ht="28.5" customHeight="1">
      <c r="A172" s="26"/>
      <c r="B172" s="28"/>
      <c r="C172" s="34"/>
      <c r="D172" s="28"/>
      <c r="E172" s="22"/>
      <c r="F172" s="34"/>
      <c r="G172" s="22"/>
      <c r="H172" s="26"/>
      <c r="I172" s="28"/>
      <c r="J172" s="22"/>
      <c r="K172" s="21" t="str">
        <f t="shared" si="4"/>
        <v/>
      </c>
      <c r="L172" s="20" t="str">
        <f t="shared" si="5"/>
        <v/>
      </c>
      <c r="M172" s="28"/>
    </row>
    <row r="173" spans="1:13" ht="28.5" customHeight="1">
      <c r="A173" s="26"/>
      <c r="B173" s="28"/>
      <c r="C173" s="34"/>
      <c r="D173" s="28"/>
      <c r="E173" s="22"/>
      <c r="F173" s="34"/>
      <c r="G173" s="22"/>
      <c r="H173" s="26"/>
      <c r="I173" s="28"/>
      <c r="J173" s="22"/>
      <c r="K173" s="21" t="str">
        <f t="shared" si="4"/>
        <v/>
      </c>
      <c r="L173" s="20" t="str">
        <f t="shared" si="5"/>
        <v/>
      </c>
      <c r="M173" s="28"/>
    </row>
    <row r="174" spans="1:13" ht="28.5" customHeight="1">
      <c r="A174" s="26"/>
      <c r="B174" s="28"/>
      <c r="C174" s="34"/>
      <c r="D174" s="28"/>
      <c r="E174" s="22"/>
      <c r="F174" s="34"/>
      <c r="G174" s="22"/>
      <c r="H174" s="26"/>
      <c r="I174" s="28"/>
      <c r="J174" s="22"/>
      <c r="K174" s="21" t="str">
        <f t="shared" si="4"/>
        <v/>
      </c>
      <c r="L174" s="20" t="str">
        <f t="shared" si="5"/>
        <v/>
      </c>
      <c r="M174" s="28"/>
    </row>
    <row r="175" spans="1:13" ht="28.5" customHeight="1">
      <c r="A175" s="26"/>
      <c r="B175" s="28"/>
      <c r="C175" s="34"/>
      <c r="D175" s="28"/>
      <c r="E175" s="22"/>
      <c r="F175" s="34"/>
      <c r="G175" s="22"/>
      <c r="H175" s="26"/>
      <c r="I175" s="28"/>
      <c r="J175" s="22"/>
      <c r="K175" s="21" t="str">
        <f t="shared" si="4"/>
        <v/>
      </c>
      <c r="L175" s="20" t="str">
        <f t="shared" si="5"/>
        <v/>
      </c>
      <c r="M175" s="28"/>
    </row>
    <row r="176" spans="1:13" ht="28.5" customHeight="1">
      <c r="A176" s="26"/>
      <c r="B176" s="28"/>
      <c r="C176" s="34"/>
      <c r="D176" s="28"/>
      <c r="E176" s="22"/>
      <c r="F176" s="34"/>
      <c r="G176" s="22"/>
      <c r="H176" s="26"/>
      <c r="I176" s="28"/>
      <c r="J176" s="22"/>
      <c r="K176" s="21" t="str">
        <f t="shared" si="4"/>
        <v/>
      </c>
      <c r="L176" s="20" t="str">
        <f t="shared" si="5"/>
        <v/>
      </c>
      <c r="M176" s="28"/>
    </row>
    <row r="177" spans="1:13" ht="28.5" customHeight="1">
      <c r="A177" s="26"/>
      <c r="B177" s="28"/>
      <c r="C177" s="34"/>
      <c r="D177" s="28"/>
      <c r="E177" s="22"/>
      <c r="F177" s="34"/>
      <c r="G177" s="22"/>
      <c r="H177" s="26"/>
      <c r="I177" s="28"/>
      <c r="J177" s="22"/>
      <c r="K177" s="21" t="str">
        <f t="shared" si="4"/>
        <v/>
      </c>
      <c r="L177" s="20" t="str">
        <f t="shared" si="5"/>
        <v/>
      </c>
      <c r="M177" s="28"/>
    </row>
    <row r="178" spans="1:13" ht="28.5" customHeight="1">
      <c r="A178" s="26"/>
      <c r="B178" s="28"/>
      <c r="C178" s="34"/>
      <c r="D178" s="28"/>
      <c r="E178" s="22"/>
      <c r="F178" s="34"/>
      <c r="G178" s="22"/>
      <c r="H178" s="26"/>
      <c r="I178" s="28"/>
      <c r="J178" s="22"/>
      <c r="K178" s="21" t="str">
        <f t="shared" si="4"/>
        <v/>
      </c>
      <c r="L178" s="20" t="str">
        <f t="shared" si="5"/>
        <v/>
      </c>
      <c r="M178" s="28"/>
    </row>
    <row r="179" spans="1:13" ht="28.5" customHeight="1">
      <c r="A179" s="26"/>
      <c r="B179" s="28"/>
      <c r="C179" s="34"/>
      <c r="D179" s="28"/>
      <c r="E179" s="22"/>
      <c r="F179" s="34"/>
      <c r="G179" s="22"/>
      <c r="H179" s="26"/>
      <c r="I179" s="28"/>
      <c r="J179" s="22"/>
      <c r="K179" s="21" t="str">
        <f t="shared" si="4"/>
        <v/>
      </c>
      <c r="L179" s="20" t="str">
        <f t="shared" si="5"/>
        <v/>
      </c>
      <c r="M179" s="28"/>
    </row>
    <row r="180" spans="1:13" ht="28.5" customHeight="1">
      <c r="A180" s="26"/>
      <c r="B180" s="28"/>
      <c r="C180" s="34"/>
      <c r="D180" s="28"/>
      <c r="E180" s="22"/>
      <c r="F180" s="34"/>
      <c r="G180" s="22"/>
      <c r="H180" s="26"/>
      <c r="I180" s="28"/>
      <c r="J180" s="22"/>
      <c r="K180" s="21" t="str">
        <f t="shared" si="4"/>
        <v/>
      </c>
      <c r="L180" s="20" t="str">
        <f t="shared" si="5"/>
        <v/>
      </c>
      <c r="M180" s="28"/>
    </row>
    <row r="181" spans="1:13" ht="28.5" customHeight="1">
      <c r="A181" s="26"/>
      <c r="B181" s="28"/>
      <c r="C181" s="34"/>
      <c r="D181" s="28"/>
      <c r="E181" s="22"/>
      <c r="F181" s="34"/>
      <c r="G181" s="22"/>
      <c r="H181" s="26"/>
      <c r="I181" s="28"/>
      <c r="J181" s="22"/>
      <c r="K181" s="21" t="str">
        <f t="shared" si="4"/>
        <v/>
      </c>
      <c r="L181" s="20" t="str">
        <f t="shared" si="5"/>
        <v/>
      </c>
      <c r="M181" s="28"/>
    </row>
    <row r="182" spans="1:13" ht="28.5" customHeight="1">
      <c r="A182" s="26"/>
      <c r="B182" s="28"/>
      <c r="C182" s="34"/>
      <c r="D182" s="28"/>
      <c r="E182" s="22"/>
      <c r="F182" s="34"/>
      <c r="G182" s="22"/>
      <c r="H182" s="26"/>
      <c r="I182" s="28"/>
      <c r="J182" s="22"/>
      <c r="K182" s="21" t="str">
        <f t="shared" si="4"/>
        <v/>
      </c>
      <c r="L182" s="20" t="str">
        <f t="shared" si="5"/>
        <v/>
      </c>
      <c r="M182" s="28"/>
    </row>
    <row r="183" spans="1:13" ht="28.5" customHeight="1">
      <c r="A183" s="26"/>
      <c r="B183" s="28"/>
      <c r="C183" s="34"/>
      <c r="D183" s="28"/>
      <c r="E183" s="22"/>
      <c r="F183" s="34"/>
      <c r="G183" s="22"/>
      <c r="H183" s="26"/>
      <c r="I183" s="28"/>
      <c r="J183" s="22"/>
      <c r="K183" s="21" t="str">
        <f t="shared" si="4"/>
        <v/>
      </c>
      <c r="L183" s="20" t="str">
        <f t="shared" si="5"/>
        <v/>
      </c>
      <c r="M183" s="28"/>
    </row>
    <row r="184" spans="1:13" ht="28.5" customHeight="1">
      <c r="A184" s="26"/>
      <c r="B184" s="28"/>
      <c r="C184" s="34"/>
      <c r="D184" s="28"/>
      <c r="E184" s="22"/>
      <c r="F184" s="34"/>
      <c r="G184" s="22"/>
      <c r="H184" s="26"/>
      <c r="I184" s="28"/>
      <c r="J184" s="22"/>
      <c r="K184" s="21" t="str">
        <f t="shared" si="4"/>
        <v/>
      </c>
      <c r="L184" s="20" t="str">
        <f t="shared" si="5"/>
        <v/>
      </c>
      <c r="M184" s="28"/>
    </row>
    <row r="185" spans="1:13" ht="28.5" customHeight="1">
      <c r="A185" s="26"/>
      <c r="B185" s="28"/>
      <c r="C185" s="34"/>
      <c r="D185" s="28"/>
      <c r="E185" s="22"/>
      <c r="F185" s="34"/>
      <c r="G185" s="22"/>
      <c r="H185" s="26"/>
      <c r="I185" s="28"/>
      <c r="J185" s="22"/>
      <c r="K185" s="21" t="str">
        <f t="shared" si="4"/>
        <v/>
      </c>
      <c r="L185" s="20" t="str">
        <f t="shared" si="5"/>
        <v/>
      </c>
      <c r="M185" s="28"/>
    </row>
    <row r="186" spans="1:13" ht="28.5" customHeight="1">
      <c r="A186" s="26"/>
      <c r="B186" s="28"/>
      <c r="C186" s="34"/>
      <c r="D186" s="28"/>
      <c r="E186" s="22"/>
      <c r="F186" s="34"/>
      <c r="G186" s="22"/>
      <c r="H186" s="26"/>
      <c r="I186" s="28"/>
      <c r="J186" s="22"/>
      <c r="K186" s="21" t="str">
        <f t="shared" si="4"/>
        <v/>
      </c>
      <c r="L186" s="20" t="str">
        <f t="shared" si="5"/>
        <v/>
      </c>
      <c r="M186" s="28"/>
    </row>
    <row r="187" spans="1:13" ht="28.5" customHeight="1">
      <c r="A187" s="26"/>
      <c r="B187" s="28"/>
      <c r="C187" s="34"/>
      <c r="D187" s="28"/>
      <c r="E187" s="22"/>
      <c r="F187" s="34"/>
      <c r="G187" s="22"/>
      <c r="H187" s="26"/>
      <c r="I187" s="28"/>
      <c r="J187" s="22"/>
      <c r="K187" s="21" t="str">
        <f t="shared" si="4"/>
        <v/>
      </c>
      <c r="L187" s="20" t="str">
        <f t="shared" si="5"/>
        <v/>
      </c>
      <c r="M187" s="28"/>
    </row>
    <row r="188" spans="1:13" ht="28.5" customHeight="1">
      <c r="A188" s="26"/>
      <c r="B188" s="28"/>
      <c r="C188" s="34"/>
      <c r="D188" s="28"/>
      <c r="E188" s="22"/>
      <c r="F188" s="34"/>
      <c r="G188" s="22"/>
      <c r="H188" s="26"/>
      <c r="I188" s="28"/>
      <c r="J188" s="22"/>
      <c r="K188" s="21" t="str">
        <f t="shared" si="4"/>
        <v/>
      </c>
      <c r="L188" s="20" t="str">
        <f t="shared" si="5"/>
        <v/>
      </c>
      <c r="M188" s="28"/>
    </row>
    <row r="189" spans="1:13" ht="28.5" customHeight="1">
      <c r="A189" s="26"/>
      <c r="B189" s="28"/>
      <c r="C189" s="34"/>
      <c r="D189" s="28"/>
      <c r="E189" s="22"/>
      <c r="F189" s="34"/>
      <c r="G189" s="22"/>
      <c r="H189" s="26"/>
      <c r="I189" s="28"/>
      <c r="J189" s="22"/>
      <c r="K189" s="21" t="str">
        <f t="shared" si="4"/>
        <v/>
      </c>
      <c r="L189" s="20" t="str">
        <f t="shared" si="5"/>
        <v/>
      </c>
      <c r="M189" s="28"/>
    </row>
    <row r="190" spans="1:13" ht="28.5" customHeight="1">
      <c r="A190" s="26"/>
      <c r="B190" s="28"/>
      <c r="C190" s="34"/>
      <c r="D190" s="28"/>
      <c r="E190" s="22"/>
      <c r="F190" s="34"/>
      <c r="G190" s="22"/>
      <c r="H190" s="26"/>
      <c r="I190" s="28"/>
      <c r="J190" s="22"/>
      <c r="K190" s="21" t="str">
        <f t="shared" si="4"/>
        <v/>
      </c>
      <c r="L190" s="20" t="str">
        <f t="shared" si="5"/>
        <v/>
      </c>
      <c r="M190" s="28"/>
    </row>
    <row r="191" spans="1:13" ht="28.5" customHeight="1">
      <c r="A191" s="26"/>
      <c r="B191" s="28"/>
      <c r="C191" s="34"/>
      <c r="D191" s="28"/>
      <c r="E191" s="22"/>
      <c r="F191" s="34"/>
      <c r="G191" s="22"/>
      <c r="H191" s="26"/>
      <c r="I191" s="28"/>
      <c r="J191" s="22"/>
      <c r="K191" s="21" t="str">
        <f t="shared" si="4"/>
        <v/>
      </c>
      <c r="L191" s="20" t="str">
        <f t="shared" si="5"/>
        <v/>
      </c>
      <c r="M191" s="28"/>
    </row>
    <row r="192" spans="1:13" ht="28.5" customHeight="1">
      <c r="A192" s="26"/>
      <c r="B192" s="28"/>
      <c r="C192" s="34"/>
      <c r="D192" s="28"/>
      <c r="E192" s="22"/>
      <c r="F192" s="34"/>
      <c r="G192" s="22"/>
      <c r="H192" s="26"/>
      <c r="I192" s="28"/>
      <c r="J192" s="22"/>
      <c r="K192" s="21" t="str">
        <f t="shared" si="4"/>
        <v/>
      </c>
      <c r="L192" s="20" t="str">
        <f t="shared" si="5"/>
        <v/>
      </c>
      <c r="M192" s="28"/>
    </row>
    <row r="193" spans="1:13" ht="28.5" customHeight="1">
      <c r="A193" s="26"/>
      <c r="B193" s="28"/>
      <c r="C193" s="34"/>
      <c r="D193" s="28"/>
      <c r="E193" s="22"/>
      <c r="F193" s="34"/>
      <c r="G193" s="22"/>
      <c r="H193" s="26"/>
      <c r="I193" s="28"/>
      <c r="J193" s="22"/>
      <c r="K193" s="21" t="str">
        <f t="shared" si="4"/>
        <v/>
      </c>
      <c r="L193" s="20" t="str">
        <f t="shared" si="5"/>
        <v/>
      </c>
      <c r="M193" s="28"/>
    </row>
    <row r="194" spans="1:13" ht="28.5" customHeight="1">
      <c r="A194" s="26"/>
      <c r="B194" s="28"/>
      <c r="C194" s="34"/>
      <c r="D194" s="28"/>
      <c r="E194" s="22"/>
      <c r="F194" s="34"/>
      <c r="G194" s="22"/>
      <c r="H194" s="26"/>
      <c r="I194" s="28"/>
      <c r="J194" s="22"/>
      <c r="K194" s="21" t="str">
        <f t="shared" si="4"/>
        <v/>
      </c>
      <c r="L194" s="20" t="str">
        <f t="shared" si="5"/>
        <v/>
      </c>
      <c r="M194" s="28"/>
    </row>
    <row r="195" spans="1:13" ht="28.5" customHeight="1">
      <c r="A195" s="26"/>
      <c r="B195" s="28"/>
      <c r="C195" s="34"/>
      <c r="D195" s="28"/>
      <c r="E195" s="22"/>
      <c r="F195" s="34"/>
      <c r="G195" s="22"/>
      <c r="H195" s="26"/>
      <c r="I195" s="28"/>
      <c r="J195" s="22"/>
      <c r="K195" s="21" t="str">
        <f t="shared" si="4"/>
        <v/>
      </c>
      <c r="L195" s="20" t="str">
        <f t="shared" si="5"/>
        <v/>
      </c>
      <c r="M195" s="28"/>
    </row>
    <row r="196" spans="1:13" ht="28.5" customHeight="1">
      <c r="A196" s="26"/>
      <c r="B196" s="28"/>
      <c r="C196" s="34"/>
      <c r="D196" s="28"/>
      <c r="E196" s="22"/>
      <c r="F196" s="34"/>
      <c r="G196" s="22"/>
      <c r="H196" s="26"/>
      <c r="I196" s="28"/>
      <c r="J196" s="22"/>
      <c r="K196" s="21" t="str">
        <f t="shared" si="4"/>
        <v/>
      </c>
      <c r="L196" s="20" t="str">
        <f t="shared" si="5"/>
        <v/>
      </c>
      <c r="M196" s="28"/>
    </row>
    <row r="197" spans="1:13" ht="28.5" customHeight="1">
      <c r="A197" s="26"/>
      <c r="B197" s="28"/>
      <c r="C197" s="34"/>
      <c r="D197" s="28"/>
      <c r="E197" s="22"/>
      <c r="F197" s="34"/>
      <c r="G197" s="22"/>
      <c r="H197" s="26"/>
      <c r="I197" s="28"/>
      <c r="J197" s="22"/>
      <c r="K197" s="21" t="str">
        <f t="shared" si="4"/>
        <v/>
      </c>
      <c r="L197" s="20" t="str">
        <f t="shared" si="5"/>
        <v/>
      </c>
      <c r="M197" s="28"/>
    </row>
    <row r="198" spans="1:13" ht="28.5" customHeight="1">
      <c r="A198" s="26"/>
      <c r="B198" s="28"/>
      <c r="C198" s="34"/>
      <c r="D198" s="28"/>
      <c r="E198" s="22"/>
      <c r="F198" s="34"/>
      <c r="G198" s="22"/>
      <c r="H198" s="26"/>
      <c r="I198" s="28"/>
      <c r="J198" s="22"/>
      <c r="K198" s="21" t="str">
        <f t="shared" ref="K198:K245" si="6">IF(OR(E198="",G198=""),"",E198-G198)</f>
        <v/>
      </c>
      <c r="L198" s="20" t="str">
        <f t="shared" ref="L198:L245" si="7">IF(COUNTA(A198:J198)=0,"",IF(OR(A198="",C198="",D198="",E198="",F198=""),"待补汇出信息",IF(OR(E198&lt;=0,J198&lt;0,AND(J198&gt;0,I198=""),C198=F198),"请检查本金／费用／账户",IF(OR(G198="",H198=""),"在途／待补到账",IF(OR(G198&lt;0,H198&lt;A198),"请检查到账信息","已记录")))))</f>
        <v/>
      </c>
      <c r="M198" s="28"/>
    </row>
    <row r="199" spans="1:13" ht="28.5" customHeight="1">
      <c r="A199" s="26"/>
      <c r="B199" s="28"/>
      <c r="C199" s="34"/>
      <c r="D199" s="28"/>
      <c r="E199" s="22"/>
      <c r="F199" s="34"/>
      <c r="G199" s="22"/>
      <c r="H199" s="26"/>
      <c r="I199" s="28"/>
      <c r="J199" s="22"/>
      <c r="K199" s="21" t="str">
        <f t="shared" si="6"/>
        <v/>
      </c>
      <c r="L199" s="20" t="str">
        <f t="shared" si="7"/>
        <v/>
      </c>
      <c r="M199" s="28"/>
    </row>
    <row r="200" spans="1:13" ht="28.5" customHeight="1">
      <c r="A200" s="26"/>
      <c r="B200" s="28"/>
      <c r="C200" s="34"/>
      <c r="D200" s="28"/>
      <c r="E200" s="22"/>
      <c r="F200" s="34"/>
      <c r="G200" s="22"/>
      <c r="H200" s="26"/>
      <c r="I200" s="28"/>
      <c r="J200" s="22"/>
      <c r="K200" s="21" t="str">
        <f t="shared" si="6"/>
        <v/>
      </c>
      <c r="L200" s="20" t="str">
        <f t="shared" si="7"/>
        <v/>
      </c>
      <c r="M200" s="28"/>
    </row>
    <row r="201" spans="1:13" ht="28.5" customHeight="1">
      <c r="A201" s="26"/>
      <c r="B201" s="28"/>
      <c r="C201" s="34"/>
      <c r="D201" s="28"/>
      <c r="E201" s="22"/>
      <c r="F201" s="34"/>
      <c r="G201" s="22"/>
      <c r="H201" s="26"/>
      <c r="I201" s="28"/>
      <c r="J201" s="22"/>
      <c r="K201" s="21" t="str">
        <f t="shared" si="6"/>
        <v/>
      </c>
      <c r="L201" s="20" t="str">
        <f t="shared" si="7"/>
        <v/>
      </c>
      <c r="M201" s="28"/>
    </row>
    <row r="202" spans="1:13" ht="28.5" customHeight="1">
      <c r="A202" s="26"/>
      <c r="B202" s="28"/>
      <c r="C202" s="34"/>
      <c r="D202" s="28"/>
      <c r="E202" s="22"/>
      <c r="F202" s="34"/>
      <c r="G202" s="22"/>
      <c r="H202" s="26"/>
      <c r="I202" s="28"/>
      <c r="J202" s="22"/>
      <c r="K202" s="21" t="str">
        <f t="shared" si="6"/>
        <v/>
      </c>
      <c r="L202" s="20" t="str">
        <f t="shared" si="7"/>
        <v/>
      </c>
      <c r="M202" s="28"/>
    </row>
    <row r="203" spans="1:13" ht="28.5" customHeight="1">
      <c r="A203" s="26"/>
      <c r="B203" s="28"/>
      <c r="C203" s="34"/>
      <c r="D203" s="28"/>
      <c r="E203" s="22"/>
      <c r="F203" s="34"/>
      <c r="G203" s="22"/>
      <c r="H203" s="26"/>
      <c r="I203" s="28"/>
      <c r="J203" s="22"/>
      <c r="K203" s="21" t="str">
        <f t="shared" si="6"/>
        <v/>
      </c>
      <c r="L203" s="20" t="str">
        <f t="shared" si="7"/>
        <v/>
      </c>
      <c r="M203" s="28"/>
    </row>
    <row r="204" spans="1:13" ht="28.5" customHeight="1">
      <c r="A204" s="26"/>
      <c r="B204" s="28"/>
      <c r="C204" s="34"/>
      <c r="D204" s="28"/>
      <c r="E204" s="22"/>
      <c r="F204" s="34"/>
      <c r="G204" s="22"/>
      <c r="H204" s="26"/>
      <c r="I204" s="28"/>
      <c r="J204" s="22"/>
      <c r="K204" s="21" t="str">
        <f t="shared" si="6"/>
        <v/>
      </c>
      <c r="L204" s="20" t="str">
        <f t="shared" si="7"/>
        <v/>
      </c>
      <c r="M204" s="28"/>
    </row>
    <row r="205" spans="1:13" ht="28.5" customHeight="1">
      <c r="A205" s="26"/>
      <c r="B205" s="28"/>
      <c r="C205" s="34"/>
      <c r="D205" s="28"/>
      <c r="E205" s="22"/>
      <c r="F205" s="34"/>
      <c r="G205" s="22"/>
      <c r="H205" s="26"/>
      <c r="I205" s="28"/>
      <c r="J205" s="22"/>
      <c r="K205" s="21" t="str">
        <f t="shared" si="6"/>
        <v/>
      </c>
      <c r="L205" s="20" t="str">
        <f t="shared" si="7"/>
        <v/>
      </c>
      <c r="M205" s="28"/>
    </row>
    <row r="206" spans="1:13" ht="28.5" customHeight="1">
      <c r="A206" s="26"/>
      <c r="B206" s="28"/>
      <c r="C206" s="34"/>
      <c r="D206" s="28"/>
      <c r="E206" s="22"/>
      <c r="F206" s="34"/>
      <c r="G206" s="22"/>
      <c r="H206" s="26"/>
      <c r="I206" s="28"/>
      <c r="J206" s="22"/>
      <c r="K206" s="21" t="str">
        <f t="shared" si="6"/>
        <v/>
      </c>
      <c r="L206" s="20" t="str">
        <f t="shared" si="7"/>
        <v/>
      </c>
      <c r="M206" s="28"/>
    </row>
    <row r="207" spans="1:13" ht="28.5" customHeight="1">
      <c r="A207" s="26"/>
      <c r="B207" s="28"/>
      <c r="C207" s="34"/>
      <c r="D207" s="28"/>
      <c r="E207" s="22"/>
      <c r="F207" s="34"/>
      <c r="G207" s="22"/>
      <c r="H207" s="26"/>
      <c r="I207" s="28"/>
      <c r="J207" s="22"/>
      <c r="K207" s="21" t="str">
        <f t="shared" si="6"/>
        <v/>
      </c>
      <c r="L207" s="20" t="str">
        <f t="shared" si="7"/>
        <v/>
      </c>
      <c r="M207" s="28"/>
    </row>
    <row r="208" spans="1:13" ht="28.5" customHeight="1">
      <c r="A208" s="26"/>
      <c r="B208" s="28"/>
      <c r="C208" s="34"/>
      <c r="D208" s="28"/>
      <c r="E208" s="22"/>
      <c r="F208" s="34"/>
      <c r="G208" s="22"/>
      <c r="H208" s="26"/>
      <c r="I208" s="28"/>
      <c r="J208" s="22"/>
      <c r="K208" s="21" t="str">
        <f t="shared" si="6"/>
        <v/>
      </c>
      <c r="L208" s="20" t="str">
        <f t="shared" si="7"/>
        <v/>
      </c>
      <c r="M208" s="28"/>
    </row>
    <row r="209" spans="1:13" ht="28.5" customHeight="1">
      <c r="A209" s="26"/>
      <c r="B209" s="28"/>
      <c r="C209" s="34"/>
      <c r="D209" s="28"/>
      <c r="E209" s="22"/>
      <c r="F209" s="34"/>
      <c r="G209" s="22"/>
      <c r="H209" s="26"/>
      <c r="I209" s="28"/>
      <c r="J209" s="22"/>
      <c r="K209" s="21" t="str">
        <f t="shared" si="6"/>
        <v/>
      </c>
      <c r="L209" s="20" t="str">
        <f t="shared" si="7"/>
        <v/>
      </c>
      <c r="M209" s="28"/>
    </row>
    <row r="210" spans="1:13" ht="28.5" customHeight="1">
      <c r="A210" s="26"/>
      <c r="B210" s="28"/>
      <c r="C210" s="34"/>
      <c r="D210" s="28"/>
      <c r="E210" s="22"/>
      <c r="F210" s="34"/>
      <c r="G210" s="22"/>
      <c r="H210" s="26"/>
      <c r="I210" s="28"/>
      <c r="J210" s="22"/>
      <c r="K210" s="21" t="str">
        <f t="shared" si="6"/>
        <v/>
      </c>
      <c r="L210" s="20" t="str">
        <f t="shared" si="7"/>
        <v/>
      </c>
      <c r="M210" s="28"/>
    </row>
    <row r="211" spans="1:13" ht="28.5" customHeight="1">
      <c r="A211" s="26"/>
      <c r="B211" s="28"/>
      <c r="C211" s="34"/>
      <c r="D211" s="28"/>
      <c r="E211" s="22"/>
      <c r="F211" s="34"/>
      <c r="G211" s="22"/>
      <c r="H211" s="26"/>
      <c r="I211" s="28"/>
      <c r="J211" s="22"/>
      <c r="K211" s="21" t="str">
        <f t="shared" si="6"/>
        <v/>
      </c>
      <c r="L211" s="20" t="str">
        <f t="shared" si="7"/>
        <v/>
      </c>
      <c r="M211" s="28"/>
    </row>
    <row r="212" spans="1:13" ht="28.5" customHeight="1">
      <c r="A212" s="26"/>
      <c r="B212" s="28"/>
      <c r="C212" s="34"/>
      <c r="D212" s="28"/>
      <c r="E212" s="22"/>
      <c r="F212" s="34"/>
      <c r="G212" s="22"/>
      <c r="H212" s="26"/>
      <c r="I212" s="28"/>
      <c r="J212" s="22"/>
      <c r="K212" s="21" t="str">
        <f t="shared" si="6"/>
        <v/>
      </c>
      <c r="L212" s="20" t="str">
        <f t="shared" si="7"/>
        <v/>
      </c>
      <c r="M212" s="28"/>
    </row>
    <row r="213" spans="1:13" ht="28.5" customHeight="1">
      <c r="A213" s="26"/>
      <c r="B213" s="28"/>
      <c r="C213" s="34"/>
      <c r="D213" s="28"/>
      <c r="E213" s="22"/>
      <c r="F213" s="34"/>
      <c r="G213" s="22"/>
      <c r="H213" s="26"/>
      <c r="I213" s="28"/>
      <c r="J213" s="22"/>
      <c r="K213" s="21" t="str">
        <f t="shared" si="6"/>
        <v/>
      </c>
      <c r="L213" s="20" t="str">
        <f t="shared" si="7"/>
        <v/>
      </c>
      <c r="M213" s="28"/>
    </row>
    <row r="214" spans="1:13" ht="28.5" customHeight="1">
      <c r="A214" s="26"/>
      <c r="B214" s="28"/>
      <c r="C214" s="34"/>
      <c r="D214" s="28"/>
      <c r="E214" s="22"/>
      <c r="F214" s="34"/>
      <c r="G214" s="22"/>
      <c r="H214" s="26"/>
      <c r="I214" s="28"/>
      <c r="J214" s="22"/>
      <c r="K214" s="21" t="str">
        <f t="shared" si="6"/>
        <v/>
      </c>
      <c r="L214" s="20" t="str">
        <f t="shared" si="7"/>
        <v/>
      </c>
      <c r="M214" s="28"/>
    </row>
    <row r="215" spans="1:13" ht="28.5" customHeight="1">
      <c r="A215" s="26"/>
      <c r="B215" s="28"/>
      <c r="C215" s="34"/>
      <c r="D215" s="28"/>
      <c r="E215" s="22"/>
      <c r="F215" s="34"/>
      <c r="G215" s="22"/>
      <c r="H215" s="26"/>
      <c r="I215" s="28"/>
      <c r="J215" s="22"/>
      <c r="K215" s="21" t="str">
        <f t="shared" si="6"/>
        <v/>
      </c>
      <c r="L215" s="20" t="str">
        <f t="shared" si="7"/>
        <v/>
      </c>
      <c r="M215" s="28"/>
    </row>
    <row r="216" spans="1:13" ht="28.5" customHeight="1">
      <c r="A216" s="26"/>
      <c r="B216" s="28"/>
      <c r="C216" s="34"/>
      <c r="D216" s="28"/>
      <c r="E216" s="22"/>
      <c r="F216" s="34"/>
      <c r="G216" s="22"/>
      <c r="H216" s="26"/>
      <c r="I216" s="28"/>
      <c r="J216" s="22"/>
      <c r="K216" s="21" t="str">
        <f t="shared" si="6"/>
        <v/>
      </c>
      <c r="L216" s="20" t="str">
        <f t="shared" si="7"/>
        <v/>
      </c>
      <c r="M216" s="28"/>
    </row>
    <row r="217" spans="1:13" ht="28.5" customHeight="1">
      <c r="A217" s="26"/>
      <c r="B217" s="28"/>
      <c r="C217" s="34"/>
      <c r="D217" s="28"/>
      <c r="E217" s="22"/>
      <c r="F217" s="34"/>
      <c r="G217" s="22"/>
      <c r="H217" s="26"/>
      <c r="I217" s="28"/>
      <c r="J217" s="22"/>
      <c r="K217" s="21" t="str">
        <f t="shared" si="6"/>
        <v/>
      </c>
      <c r="L217" s="20" t="str">
        <f t="shared" si="7"/>
        <v/>
      </c>
      <c r="M217" s="28"/>
    </row>
    <row r="218" spans="1:13" ht="28.5" customHeight="1">
      <c r="A218" s="26"/>
      <c r="B218" s="28"/>
      <c r="C218" s="34"/>
      <c r="D218" s="28"/>
      <c r="E218" s="22"/>
      <c r="F218" s="34"/>
      <c r="G218" s="22"/>
      <c r="H218" s="26"/>
      <c r="I218" s="28"/>
      <c r="J218" s="22"/>
      <c r="K218" s="21" t="str">
        <f t="shared" si="6"/>
        <v/>
      </c>
      <c r="L218" s="20" t="str">
        <f t="shared" si="7"/>
        <v/>
      </c>
      <c r="M218" s="28"/>
    </row>
    <row r="219" spans="1:13" ht="28.5" customHeight="1">
      <c r="A219" s="26"/>
      <c r="B219" s="28"/>
      <c r="C219" s="34"/>
      <c r="D219" s="28"/>
      <c r="E219" s="22"/>
      <c r="F219" s="34"/>
      <c r="G219" s="22"/>
      <c r="H219" s="26"/>
      <c r="I219" s="28"/>
      <c r="J219" s="22"/>
      <c r="K219" s="21" t="str">
        <f t="shared" si="6"/>
        <v/>
      </c>
      <c r="L219" s="20" t="str">
        <f t="shared" si="7"/>
        <v/>
      </c>
      <c r="M219" s="28"/>
    </row>
    <row r="220" spans="1:13" ht="28.5" customHeight="1">
      <c r="A220" s="26"/>
      <c r="B220" s="28"/>
      <c r="C220" s="34"/>
      <c r="D220" s="28"/>
      <c r="E220" s="22"/>
      <c r="F220" s="34"/>
      <c r="G220" s="22"/>
      <c r="H220" s="26"/>
      <c r="I220" s="28"/>
      <c r="J220" s="22"/>
      <c r="K220" s="21" t="str">
        <f t="shared" si="6"/>
        <v/>
      </c>
      <c r="L220" s="20" t="str">
        <f t="shared" si="7"/>
        <v/>
      </c>
      <c r="M220" s="28"/>
    </row>
    <row r="221" spans="1:13" ht="28.5" customHeight="1">
      <c r="A221" s="26"/>
      <c r="B221" s="28"/>
      <c r="C221" s="34"/>
      <c r="D221" s="28"/>
      <c r="E221" s="22"/>
      <c r="F221" s="34"/>
      <c r="G221" s="22"/>
      <c r="H221" s="26"/>
      <c r="I221" s="28"/>
      <c r="J221" s="22"/>
      <c r="K221" s="21" t="str">
        <f t="shared" si="6"/>
        <v/>
      </c>
      <c r="L221" s="20" t="str">
        <f t="shared" si="7"/>
        <v/>
      </c>
      <c r="M221" s="28"/>
    </row>
    <row r="222" spans="1:13" ht="28.5" customHeight="1">
      <c r="A222" s="26"/>
      <c r="B222" s="28"/>
      <c r="C222" s="34"/>
      <c r="D222" s="28"/>
      <c r="E222" s="22"/>
      <c r="F222" s="34"/>
      <c r="G222" s="22"/>
      <c r="H222" s="26"/>
      <c r="I222" s="28"/>
      <c r="J222" s="22"/>
      <c r="K222" s="21" t="str">
        <f t="shared" si="6"/>
        <v/>
      </c>
      <c r="L222" s="20" t="str">
        <f t="shared" si="7"/>
        <v/>
      </c>
      <c r="M222" s="28"/>
    </row>
    <row r="223" spans="1:13" ht="28.5" customHeight="1">
      <c r="A223" s="26"/>
      <c r="B223" s="28"/>
      <c r="C223" s="34"/>
      <c r="D223" s="28"/>
      <c r="E223" s="22"/>
      <c r="F223" s="34"/>
      <c r="G223" s="22"/>
      <c r="H223" s="26"/>
      <c r="I223" s="28"/>
      <c r="J223" s="22"/>
      <c r="K223" s="21" t="str">
        <f t="shared" si="6"/>
        <v/>
      </c>
      <c r="L223" s="20" t="str">
        <f t="shared" si="7"/>
        <v/>
      </c>
      <c r="M223" s="28"/>
    </row>
    <row r="224" spans="1:13" ht="28.5" customHeight="1">
      <c r="A224" s="26"/>
      <c r="B224" s="28"/>
      <c r="C224" s="34"/>
      <c r="D224" s="28"/>
      <c r="E224" s="22"/>
      <c r="F224" s="34"/>
      <c r="G224" s="22"/>
      <c r="H224" s="26"/>
      <c r="I224" s="28"/>
      <c r="J224" s="22"/>
      <c r="K224" s="21" t="str">
        <f t="shared" si="6"/>
        <v/>
      </c>
      <c r="L224" s="20" t="str">
        <f t="shared" si="7"/>
        <v/>
      </c>
      <c r="M224" s="28"/>
    </row>
    <row r="225" spans="1:13" ht="28.5" customHeight="1">
      <c r="A225" s="26"/>
      <c r="B225" s="28"/>
      <c r="C225" s="34"/>
      <c r="D225" s="28"/>
      <c r="E225" s="22"/>
      <c r="F225" s="34"/>
      <c r="G225" s="22"/>
      <c r="H225" s="26"/>
      <c r="I225" s="28"/>
      <c r="J225" s="22"/>
      <c r="K225" s="21" t="str">
        <f t="shared" si="6"/>
        <v/>
      </c>
      <c r="L225" s="20" t="str">
        <f t="shared" si="7"/>
        <v/>
      </c>
      <c r="M225" s="28"/>
    </row>
    <row r="226" spans="1:13" ht="28.5" customHeight="1">
      <c r="A226" s="26"/>
      <c r="B226" s="28"/>
      <c r="C226" s="34"/>
      <c r="D226" s="28"/>
      <c r="E226" s="22"/>
      <c r="F226" s="34"/>
      <c r="G226" s="22"/>
      <c r="H226" s="26"/>
      <c r="I226" s="28"/>
      <c r="J226" s="22"/>
      <c r="K226" s="21" t="str">
        <f t="shared" si="6"/>
        <v/>
      </c>
      <c r="L226" s="20" t="str">
        <f t="shared" si="7"/>
        <v/>
      </c>
      <c r="M226" s="28"/>
    </row>
    <row r="227" spans="1:13" ht="28.5" customHeight="1">
      <c r="A227" s="26"/>
      <c r="B227" s="28"/>
      <c r="C227" s="34"/>
      <c r="D227" s="28"/>
      <c r="E227" s="22"/>
      <c r="F227" s="34"/>
      <c r="G227" s="22"/>
      <c r="H227" s="26"/>
      <c r="I227" s="28"/>
      <c r="J227" s="22"/>
      <c r="K227" s="21" t="str">
        <f t="shared" si="6"/>
        <v/>
      </c>
      <c r="L227" s="20" t="str">
        <f t="shared" si="7"/>
        <v/>
      </c>
      <c r="M227" s="28"/>
    </row>
    <row r="228" spans="1:13" ht="28.5" customHeight="1">
      <c r="A228" s="26"/>
      <c r="B228" s="28"/>
      <c r="C228" s="34"/>
      <c r="D228" s="28"/>
      <c r="E228" s="22"/>
      <c r="F228" s="34"/>
      <c r="G228" s="22"/>
      <c r="H228" s="26"/>
      <c r="I228" s="28"/>
      <c r="J228" s="22"/>
      <c r="K228" s="21" t="str">
        <f t="shared" si="6"/>
        <v/>
      </c>
      <c r="L228" s="20" t="str">
        <f t="shared" si="7"/>
        <v/>
      </c>
      <c r="M228" s="28"/>
    </row>
    <row r="229" spans="1:13" ht="28.5" customHeight="1">
      <c r="A229" s="26"/>
      <c r="B229" s="28"/>
      <c r="C229" s="34"/>
      <c r="D229" s="28"/>
      <c r="E229" s="22"/>
      <c r="F229" s="34"/>
      <c r="G229" s="22"/>
      <c r="H229" s="26"/>
      <c r="I229" s="28"/>
      <c r="J229" s="22"/>
      <c r="K229" s="21" t="str">
        <f t="shared" si="6"/>
        <v/>
      </c>
      <c r="L229" s="20" t="str">
        <f t="shared" si="7"/>
        <v/>
      </c>
      <c r="M229" s="28"/>
    </row>
    <row r="230" spans="1:13" ht="28.5" customHeight="1">
      <c r="A230" s="26"/>
      <c r="B230" s="28"/>
      <c r="C230" s="34"/>
      <c r="D230" s="28"/>
      <c r="E230" s="22"/>
      <c r="F230" s="34"/>
      <c r="G230" s="22"/>
      <c r="H230" s="26"/>
      <c r="I230" s="28"/>
      <c r="J230" s="22"/>
      <c r="K230" s="21" t="str">
        <f t="shared" si="6"/>
        <v/>
      </c>
      <c r="L230" s="20" t="str">
        <f t="shared" si="7"/>
        <v/>
      </c>
      <c r="M230" s="28"/>
    </row>
    <row r="231" spans="1:13" ht="28.5" customHeight="1">
      <c r="A231" s="26"/>
      <c r="B231" s="28"/>
      <c r="C231" s="34"/>
      <c r="D231" s="28"/>
      <c r="E231" s="22"/>
      <c r="F231" s="34"/>
      <c r="G231" s="22"/>
      <c r="H231" s="26"/>
      <c r="I231" s="28"/>
      <c r="J231" s="22"/>
      <c r="K231" s="21" t="str">
        <f t="shared" si="6"/>
        <v/>
      </c>
      <c r="L231" s="20" t="str">
        <f t="shared" si="7"/>
        <v/>
      </c>
      <c r="M231" s="28"/>
    </row>
    <row r="232" spans="1:13" ht="28.5" customHeight="1">
      <c r="A232" s="26"/>
      <c r="B232" s="28"/>
      <c r="C232" s="34"/>
      <c r="D232" s="28"/>
      <c r="E232" s="22"/>
      <c r="F232" s="34"/>
      <c r="G232" s="22"/>
      <c r="H232" s="26"/>
      <c r="I232" s="28"/>
      <c r="J232" s="22"/>
      <c r="K232" s="21" t="str">
        <f t="shared" si="6"/>
        <v/>
      </c>
      <c r="L232" s="20" t="str">
        <f t="shared" si="7"/>
        <v/>
      </c>
      <c r="M232" s="28"/>
    </row>
    <row r="233" spans="1:13" ht="28.5" customHeight="1">
      <c r="A233" s="26"/>
      <c r="B233" s="28"/>
      <c r="C233" s="34"/>
      <c r="D233" s="28"/>
      <c r="E233" s="22"/>
      <c r="F233" s="34"/>
      <c r="G233" s="22"/>
      <c r="H233" s="26"/>
      <c r="I233" s="28"/>
      <c r="J233" s="22"/>
      <c r="K233" s="21" t="str">
        <f t="shared" si="6"/>
        <v/>
      </c>
      <c r="L233" s="20" t="str">
        <f t="shared" si="7"/>
        <v/>
      </c>
      <c r="M233" s="28"/>
    </row>
    <row r="234" spans="1:13" ht="28.5" customHeight="1">
      <c r="A234" s="26"/>
      <c r="B234" s="28"/>
      <c r="C234" s="34"/>
      <c r="D234" s="28"/>
      <c r="E234" s="22"/>
      <c r="F234" s="34"/>
      <c r="G234" s="22"/>
      <c r="H234" s="26"/>
      <c r="I234" s="28"/>
      <c r="J234" s="22"/>
      <c r="K234" s="21" t="str">
        <f t="shared" si="6"/>
        <v/>
      </c>
      <c r="L234" s="20" t="str">
        <f t="shared" si="7"/>
        <v/>
      </c>
      <c r="M234" s="28"/>
    </row>
    <row r="235" spans="1:13" ht="28.5" customHeight="1">
      <c r="A235" s="26"/>
      <c r="B235" s="28"/>
      <c r="C235" s="34"/>
      <c r="D235" s="28"/>
      <c r="E235" s="22"/>
      <c r="F235" s="34"/>
      <c r="G235" s="22"/>
      <c r="H235" s="26"/>
      <c r="I235" s="28"/>
      <c r="J235" s="22"/>
      <c r="K235" s="21" t="str">
        <f t="shared" si="6"/>
        <v/>
      </c>
      <c r="L235" s="20" t="str">
        <f t="shared" si="7"/>
        <v/>
      </c>
      <c r="M235" s="28"/>
    </row>
    <row r="236" spans="1:13" ht="28.5" customHeight="1">
      <c r="A236" s="26"/>
      <c r="B236" s="28"/>
      <c r="C236" s="34"/>
      <c r="D236" s="28"/>
      <c r="E236" s="22"/>
      <c r="F236" s="34"/>
      <c r="G236" s="22"/>
      <c r="H236" s="26"/>
      <c r="I236" s="28"/>
      <c r="J236" s="22"/>
      <c r="K236" s="21" t="str">
        <f t="shared" si="6"/>
        <v/>
      </c>
      <c r="L236" s="20" t="str">
        <f t="shared" si="7"/>
        <v/>
      </c>
      <c r="M236" s="28"/>
    </row>
    <row r="237" spans="1:13" ht="28.5" customHeight="1">
      <c r="A237" s="26"/>
      <c r="B237" s="28"/>
      <c r="C237" s="34"/>
      <c r="D237" s="28"/>
      <c r="E237" s="22"/>
      <c r="F237" s="34"/>
      <c r="G237" s="22"/>
      <c r="H237" s="26"/>
      <c r="I237" s="28"/>
      <c r="J237" s="22"/>
      <c r="K237" s="21" t="str">
        <f t="shared" si="6"/>
        <v/>
      </c>
      <c r="L237" s="20" t="str">
        <f t="shared" si="7"/>
        <v/>
      </c>
      <c r="M237" s="28"/>
    </row>
    <row r="238" spans="1:13" ht="28.5" customHeight="1">
      <c r="A238" s="26"/>
      <c r="B238" s="28"/>
      <c r="C238" s="34"/>
      <c r="D238" s="28"/>
      <c r="E238" s="22"/>
      <c r="F238" s="34"/>
      <c r="G238" s="22"/>
      <c r="H238" s="26"/>
      <c r="I238" s="28"/>
      <c r="J238" s="22"/>
      <c r="K238" s="21" t="str">
        <f t="shared" si="6"/>
        <v/>
      </c>
      <c r="L238" s="20" t="str">
        <f t="shared" si="7"/>
        <v/>
      </c>
      <c r="M238" s="28"/>
    </row>
    <row r="239" spans="1:13" ht="28.5" customHeight="1">
      <c r="A239" s="26"/>
      <c r="B239" s="28"/>
      <c r="C239" s="34"/>
      <c r="D239" s="28"/>
      <c r="E239" s="22"/>
      <c r="F239" s="34"/>
      <c r="G239" s="22"/>
      <c r="H239" s="26"/>
      <c r="I239" s="28"/>
      <c r="J239" s="22"/>
      <c r="K239" s="21" t="str">
        <f t="shared" si="6"/>
        <v/>
      </c>
      <c r="L239" s="20" t="str">
        <f t="shared" si="7"/>
        <v/>
      </c>
      <c r="M239" s="28"/>
    </row>
    <row r="240" spans="1:13" ht="28.5" customHeight="1">
      <c r="A240" s="26"/>
      <c r="B240" s="28"/>
      <c r="C240" s="34"/>
      <c r="D240" s="28"/>
      <c r="E240" s="22"/>
      <c r="F240" s="34"/>
      <c r="G240" s="22"/>
      <c r="H240" s="26"/>
      <c r="I240" s="28"/>
      <c r="J240" s="22"/>
      <c r="K240" s="21" t="str">
        <f t="shared" si="6"/>
        <v/>
      </c>
      <c r="L240" s="20" t="str">
        <f t="shared" si="7"/>
        <v/>
      </c>
      <c r="M240" s="28"/>
    </row>
    <row r="241" spans="1:13" ht="28.5" customHeight="1">
      <c r="A241" s="26"/>
      <c r="B241" s="28"/>
      <c r="C241" s="34"/>
      <c r="D241" s="28"/>
      <c r="E241" s="22"/>
      <c r="F241" s="34"/>
      <c r="G241" s="22"/>
      <c r="H241" s="26"/>
      <c r="I241" s="28"/>
      <c r="J241" s="22"/>
      <c r="K241" s="21" t="str">
        <f t="shared" si="6"/>
        <v/>
      </c>
      <c r="L241" s="20" t="str">
        <f t="shared" si="7"/>
        <v/>
      </c>
      <c r="M241" s="28"/>
    </row>
    <row r="242" spans="1:13" ht="28.5" customHeight="1">
      <c r="A242" s="26"/>
      <c r="B242" s="28"/>
      <c r="C242" s="34"/>
      <c r="D242" s="28"/>
      <c r="E242" s="22"/>
      <c r="F242" s="34"/>
      <c r="G242" s="22"/>
      <c r="H242" s="26"/>
      <c r="I242" s="28"/>
      <c r="J242" s="22"/>
      <c r="K242" s="21" t="str">
        <f t="shared" si="6"/>
        <v/>
      </c>
      <c r="L242" s="20" t="str">
        <f t="shared" si="7"/>
        <v/>
      </c>
      <c r="M242" s="28"/>
    </row>
    <row r="243" spans="1:13" ht="28.5" customHeight="1">
      <c r="A243" s="26"/>
      <c r="B243" s="28"/>
      <c r="C243" s="34"/>
      <c r="D243" s="28"/>
      <c r="E243" s="22"/>
      <c r="F243" s="34"/>
      <c r="G243" s="22"/>
      <c r="H243" s="26"/>
      <c r="I243" s="28"/>
      <c r="J243" s="22"/>
      <c r="K243" s="21" t="str">
        <f t="shared" si="6"/>
        <v/>
      </c>
      <c r="L243" s="20" t="str">
        <f t="shared" si="7"/>
        <v/>
      </c>
      <c r="M243" s="28"/>
    </row>
    <row r="244" spans="1:13" ht="28.5" customHeight="1">
      <c r="A244" s="26"/>
      <c r="B244" s="28"/>
      <c r="C244" s="34"/>
      <c r="D244" s="28"/>
      <c r="E244" s="22"/>
      <c r="F244" s="34"/>
      <c r="G244" s="22"/>
      <c r="H244" s="26"/>
      <c r="I244" s="28"/>
      <c r="J244" s="22"/>
      <c r="K244" s="21" t="str">
        <f t="shared" si="6"/>
        <v/>
      </c>
      <c r="L244" s="20" t="str">
        <f t="shared" si="7"/>
        <v/>
      </c>
      <c r="M244" s="28"/>
    </row>
    <row r="245" spans="1:13" ht="28.5" customHeight="1">
      <c r="A245" s="26"/>
      <c r="B245" s="28"/>
      <c r="C245" s="34"/>
      <c r="D245" s="28"/>
      <c r="E245" s="22"/>
      <c r="F245" s="34"/>
      <c r="G245" s="22"/>
      <c r="H245" s="26"/>
      <c r="I245" s="28"/>
      <c r="J245" s="22"/>
      <c r="K245" s="21" t="str">
        <f t="shared" si="6"/>
        <v/>
      </c>
      <c r="L245" s="20" t="str">
        <f t="shared" si="7"/>
        <v/>
      </c>
      <c r="M245" s="28"/>
    </row>
  </sheetData>
  <autoFilter ref="A5:M245" xr:uid="{00000000-0009-0000-0000-000005000000}"/>
  <mergeCells count="2">
    <mergeCell ref="A1:M2"/>
    <mergeCell ref="A3:M3"/>
  </mergeCells>
  <phoneticPr fontId="29" type="noConversion"/>
  <conditionalFormatting sqref="L6:L245">
    <cfRule type="expression" dxfId="2" priority="2">
      <formula>AND(L6&lt;&gt;"",L6&lt;&gt;"已记录")</formula>
    </cfRule>
  </conditionalFormatting>
  <dataValidations count="3">
    <dataValidation type="list" allowBlank="1" showErrorMessage="1" errorTitle="请选择列表值" error="请使用下拉列表中的值。" sqref="C6:C245 F6:F245" xr:uid="{00000000-0002-0000-0500-000000000000}">
      <formula1>"国内银行,香港汇丰,嘉信入金中转,嘉信证券,其他银行"</formula1>
      <formula2>0</formula2>
    </dataValidation>
    <dataValidation type="list" allowBlank="1" showErrorMessage="1" errorTitle="请选择列表值" error="请使用下拉列表中的值。" sqref="D6:D245 I6:I245" xr:uid="{00000000-0002-0000-0500-000001000000}">
      <formula1>"RMB,HKD,USD"</formula1>
      <formula2>0</formula2>
    </dataValidation>
    <dataValidation type="decimal" operator="greaterThanOrEqual" allowBlank="1" showErrorMessage="1" error="请填非负数。" sqref="E6:E245 G6:G245 J6:J245" xr:uid="{00000000-0002-0000-0500-000002000000}">
      <formula1>0</formula1>
      <formula2>0</formula2>
    </dataValidation>
  </dataValidations>
  <printOptions horizontalCentered="1"/>
  <pageMargins left="0.75" right="0.75" top="1" bottom="1" header="0.511811023622047" footer="0.511811023622047"/>
  <pageSetup paperSize="8" fitToHeight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7E8B"/>
    <pageSetUpPr fitToPage="1"/>
  </sheetPr>
  <dimension ref="A1:G24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G10" sqref="G10"/>
    </sheetView>
  </sheetViews>
  <sheetFormatPr defaultColWidth="8.59765625" defaultRowHeight="21.75" customHeight="1"/>
  <cols>
    <col min="1" max="1" width="15.73046875" customWidth="1"/>
    <col min="2" max="2" width="12.73046875" customWidth="1"/>
    <col min="3" max="4" width="19.73046875" customWidth="1"/>
    <col min="5" max="5" width="18.73046875" customWidth="1"/>
    <col min="6" max="6" width="19.73046875" customWidth="1"/>
    <col min="7" max="7" width="40.73046875" customWidth="1"/>
  </cols>
  <sheetData>
    <row r="1" spans="1:7" ht="21.75" customHeight="1">
      <c r="A1" s="8" t="s">
        <v>124</v>
      </c>
      <c r="B1" s="8"/>
      <c r="C1" s="8"/>
      <c r="D1" s="8"/>
      <c r="E1" s="8"/>
      <c r="F1" s="8"/>
      <c r="G1" s="8"/>
    </row>
    <row r="2" spans="1:7" ht="21.75" customHeight="1">
      <c r="A2" s="8"/>
      <c r="B2" s="8"/>
      <c r="C2" s="8"/>
      <c r="D2" s="8"/>
      <c r="E2" s="8"/>
      <c r="F2" s="8"/>
      <c r="G2" s="8"/>
    </row>
    <row r="3" spans="1:7" ht="33.75" customHeight="1">
      <c r="A3" s="7" t="s">
        <v>125</v>
      </c>
      <c r="B3" s="7"/>
      <c r="C3" s="7"/>
      <c r="D3" s="7"/>
      <c r="E3" s="7"/>
      <c r="F3" s="7"/>
      <c r="G3" s="7"/>
    </row>
    <row r="5" spans="1:7" ht="42" customHeight="1">
      <c r="A5" s="12" t="s">
        <v>121</v>
      </c>
      <c r="B5" s="11" t="s">
        <v>5</v>
      </c>
      <c r="C5" s="12" t="s">
        <v>126</v>
      </c>
      <c r="D5" s="12" t="s">
        <v>127</v>
      </c>
      <c r="E5" s="12" t="s">
        <v>128</v>
      </c>
      <c r="F5" s="12" t="s">
        <v>129</v>
      </c>
      <c r="G5" s="12" t="s">
        <v>60</v>
      </c>
    </row>
    <row r="6" spans="1:7" ht="21.75" customHeight="1">
      <c r="A6" s="16"/>
      <c r="B6" s="30"/>
      <c r="C6" s="10"/>
      <c r="D6" s="10"/>
      <c r="E6" s="10"/>
      <c r="F6" s="15" t="str">
        <f t="shared" ref="F6:F69" si="0">IF(C6="","",C6-D6-E6)</f>
        <v/>
      </c>
      <c r="G6" s="33"/>
    </row>
    <row r="7" spans="1:7" ht="21.75" customHeight="1">
      <c r="A7" s="16"/>
      <c r="B7" s="30"/>
      <c r="C7" s="10"/>
      <c r="D7" s="10"/>
      <c r="E7" s="10"/>
      <c r="F7" s="15" t="str">
        <f t="shared" si="0"/>
        <v/>
      </c>
      <c r="G7" s="33"/>
    </row>
    <row r="8" spans="1:7" ht="21.75" customHeight="1">
      <c r="A8" s="16"/>
      <c r="B8" s="30"/>
      <c r="C8" s="10"/>
      <c r="D8" s="10"/>
      <c r="E8" s="10"/>
      <c r="F8" s="15" t="str">
        <f t="shared" si="0"/>
        <v/>
      </c>
      <c r="G8" s="33"/>
    </row>
    <row r="9" spans="1:7" ht="21.75" customHeight="1">
      <c r="A9" s="16"/>
      <c r="B9" s="30"/>
      <c r="C9" s="10"/>
      <c r="D9" s="10"/>
      <c r="E9" s="10"/>
      <c r="F9" s="15" t="str">
        <f t="shared" si="0"/>
        <v/>
      </c>
      <c r="G9" s="33"/>
    </row>
    <row r="10" spans="1:7" ht="21.75" customHeight="1">
      <c r="A10" s="16"/>
      <c r="B10" s="30"/>
      <c r="C10" s="10"/>
      <c r="D10" s="10"/>
      <c r="E10" s="10"/>
      <c r="F10" s="15" t="str">
        <f t="shared" si="0"/>
        <v/>
      </c>
      <c r="G10" s="33"/>
    </row>
    <row r="11" spans="1:7" ht="21.75" customHeight="1">
      <c r="A11" s="16"/>
      <c r="B11" s="30"/>
      <c r="C11" s="10"/>
      <c r="D11" s="10"/>
      <c r="E11" s="10"/>
      <c r="F11" s="15" t="str">
        <f t="shared" si="0"/>
        <v/>
      </c>
      <c r="G11" s="33"/>
    </row>
    <row r="12" spans="1:7" ht="21.75" customHeight="1">
      <c r="A12" s="16"/>
      <c r="B12" s="30"/>
      <c r="C12" s="10"/>
      <c r="D12" s="10"/>
      <c r="E12" s="10"/>
      <c r="F12" s="15" t="str">
        <f t="shared" si="0"/>
        <v/>
      </c>
      <c r="G12" s="33"/>
    </row>
    <row r="13" spans="1:7" ht="21.75" customHeight="1">
      <c r="A13" s="16"/>
      <c r="B13" s="30"/>
      <c r="C13" s="10"/>
      <c r="D13" s="10"/>
      <c r="E13" s="10"/>
      <c r="F13" s="15" t="str">
        <f t="shared" si="0"/>
        <v/>
      </c>
      <c r="G13" s="33"/>
    </row>
    <row r="14" spans="1:7" ht="21.75" customHeight="1">
      <c r="A14" s="16"/>
      <c r="B14" s="30"/>
      <c r="C14" s="10"/>
      <c r="D14" s="10"/>
      <c r="E14" s="10"/>
      <c r="F14" s="15" t="str">
        <f t="shared" si="0"/>
        <v/>
      </c>
      <c r="G14" s="33"/>
    </row>
    <row r="15" spans="1:7" ht="21.75" customHeight="1">
      <c r="A15" s="16"/>
      <c r="B15" s="30"/>
      <c r="C15" s="10"/>
      <c r="D15" s="10"/>
      <c r="E15" s="10"/>
      <c r="F15" s="15" t="str">
        <f t="shared" si="0"/>
        <v/>
      </c>
      <c r="G15" s="33"/>
    </row>
    <row r="16" spans="1:7" ht="21.75" customHeight="1">
      <c r="A16" s="16"/>
      <c r="B16" s="30"/>
      <c r="C16" s="10"/>
      <c r="D16" s="10"/>
      <c r="E16" s="10"/>
      <c r="F16" s="15" t="str">
        <f t="shared" si="0"/>
        <v/>
      </c>
      <c r="G16" s="33"/>
    </row>
    <row r="17" spans="1:7" ht="21.75" customHeight="1">
      <c r="A17" s="16"/>
      <c r="B17" s="30"/>
      <c r="C17" s="10"/>
      <c r="D17" s="10"/>
      <c r="E17" s="10"/>
      <c r="F17" s="15" t="str">
        <f t="shared" si="0"/>
        <v/>
      </c>
      <c r="G17" s="33"/>
    </row>
    <row r="18" spans="1:7" ht="21.75" customHeight="1">
      <c r="A18" s="16"/>
      <c r="B18" s="30"/>
      <c r="C18" s="10"/>
      <c r="D18" s="10"/>
      <c r="E18" s="10"/>
      <c r="F18" s="15" t="str">
        <f t="shared" si="0"/>
        <v/>
      </c>
      <c r="G18" s="33"/>
    </row>
    <row r="19" spans="1:7" ht="21.75" customHeight="1">
      <c r="A19" s="16"/>
      <c r="B19" s="30"/>
      <c r="C19" s="10"/>
      <c r="D19" s="10"/>
      <c r="E19" s="10"/>
      <c r="F19" s="15" t="str">
        <f t="shared" si="0"/>
        <v/>
      </c>
      <c r="G19" s="33"/>
    </row>
    <row r="20" spans="1:7" ht="21.75" customHeight="1">
      <c r="A20" s="16"/>
      <c r="B20" s="30"/>
      <c r="C20" s="10"/>
      <c r="D20" s="10"/>
      <c r="E20" s="10"/>
      <c r="F20" s="15" t="str">
        <f t="shared" si="0"/>
        <v/>
      </c>
      <c r="G20" s="33"/>
    </row>
    <row r="21" spans="1:7" ht="21.75" customHeight="1">
      <c r="A21" s="16"/>
      <c r="B21" s="30"/>
      <c r="C21" s="10"/>
      <c r="D21" s="10"/>
      <c r="E21" s="10"/>
      <c r="F21" s="15" t="str">
        <f t="shared" si="0"/>
        <v/>
      </c>
      <c r="G21" s="33"/>
    </row>
    <row r="22" spans="1:7" ht="21.75" customHeight="1">
      <c r="A22" s="16"/>
      <c r="B22" s="30"/>
      <c r="C22" s="10"/>
      <c r="D22" s="10"/>
      <c r="E22" s="10"/>
      <c r="F22" s="15" t="str">
        <f t="shared" si="0"/>
        <v/>
      </c>
      <c r="G22" s="33"/>
    </row>
    <row r="23" spans="1:7" ht="21.75" customHeight="1">
      <c r="A23" s="16"/>
      <c r="B23" s="30"/>
      <c r="C23" s="10"/>
      <c r="D23" s="10"/>
      <c r="E23" s="10"/>
      <c r="F23" s="15" t="str">
        <f t="shared" si="0"/>
        <v/>
      </c>
      <c r="G23" s="33"/>
    </row>
    <row r="24" spans="1:7" ht="21.75" customHeight="1">
      <c r="A24" s="16"/>
      <c r="B24" s="30"/>
      <c r="C24" s="10"/>
      <c r="D24" s="10"/>
      <c r="E24" s="10"/>
      <c r="F24" s="15" t="str">
        <f t="shared" si="0"/>
        <v/>
      </c>
      <c r="G24" s="33"/>
    </row>
    <row r="25" spans="1:7" ht="21.75" customHeight="1">
      <c r="A25" s="16"/>
      <c r="B25" s="30"/>
      <c r="C25" s="10"/>
      <c r="D25" s="10"/>
      <c r="E25" s="10"/>
      <c r="F25" s="15" t="str">
        <f t="shared" si="0"/>
        <v/>
      </c>
      <c r="G25" s="33"/>
    </row>
    <row r="26" spans="1:7" ht="21.75" customHeight="1">
      <c r="A26" s="16"/>
      <c r="B26" s="30"/>
      <c r="C26" s="10"/>
      <c r="D26" s="10"/>
      <c r="E26" s="10"/>
      <c r="F26" s="15" t="str">
        <f t="shared" si="0"/>
        <v/>
      </c>
      <c r="G26" s="33"/>
    </row>
    <row r="27" spans="1:7" ht="21.75" customHeight="1">
      <c r="A27" s="16"/>
      <c r="B27" s="30"/>
      <c r="C27" s="10"/>
      <c r="D27" s="10"/>
      <c r="E27" s="10"/>
      <c r="F27" s="15" t="str">
        <f t="shared" si="0"/>
        <v/>
      </c>
      <c r="G27" s="33"/>
    </row>
    <row r="28" spans="1:7" ht="21.75" customHeight="1">
      <c r="A28" s="16"/>
      <c r="B28" s="30"/>
      <c r="C28" s="10"/>
      <c r="D28" s="10"/>
      <c r="E28" s="10"/>
      <c r="F28" s="15" t="str">
        <f t="shared" si="0"/>
        <v/>
      </c>
      <c r="G28" s="33"/>
    </row>
    <row r="29" spans="1:7" ht="21.75" customHeight="1">
      <c r="A29" s="16"/>
      <c r="B29" s="30"/>
      <c r="C29" s="10"/>
      <c r="D29" s="10"/>
      <c r="E29" s="10"/>
      <c r="F29" s="15" t="str">
        <f t="shared" si="0"/>
        <v/>
      </c>
      <c r="G29" s="33"/>
    </row>
    <row r="30" spans="1:7" ht="21.75" customHeight="1">
      <c r="A30" s="16"/>
      <c r="B30" s="30"/>
      <c r="C30" s="10"/>
      <c r="D30" s="10"/>
      <c r="E30" s="10"/>
      <c r="F30" s="15" t="str">
        <f t="shared" si="0"/>
        <v/>
      </c>
      <c r="G30" s="33"/>
    </row>
    <row r="31" spans="1:7" ht="21.75" customHeight="1">
      <c r="A31" s="16"/>
      <c r="B31" s="30"/>
      <c r="C31" s="10"/>
      <c r="D31" s="10"/>
      <c r="E31" s="10"/>
      <c r="F31" s="15" t="str">
        <f t="shared" si="0"/>
        <v/>
      </c>
      <c r="G31" s="33"/>
    </row>
    <row r="32" spans="1:7" ht="21.75" customHeight="1">
      <c r="A32" s="16"/>
      <c r="B32" s="30"/>
      <c r="C32" s="10"/>
      <c r="D32" s="10"/>
      <c r="E32" s="10"/>
      <c r="F32" s="15" t="str">
        <f t="shared" si="0"/>
        <v/>
      </c>
      <c r="G32" s="33"/>
    </row>
    <row r="33" spans="1:7" ht="21.75" customHeight="1">
      <c r="A33" s="16"/>
      <c r="B33" s="30"/>
      <c r="C33" s="10"/>
      <c r="D33" s="10"/>
      <c r="E33" s="10"/>
      <c r="F33" s="15" t="str">
        <f t="shared" si="0"/>
        <v/>
      </c>
      <c r="G33" s="33"/>
    </row>
    <row r="34" spans="1:7" ht="21.75" customHeight="1">
      <c r="A34" s="16"/>
      <c r="B34" s="30"/>
      <c r="C34" s="10"/>
      <c r="D34" s="10"/>
      <c r="E34" s="10"/>
      <c r="F34" s="15" t="str">
        <f t="shared" si="0"/>
        <v/>
      </c>
      <c r="G34" s="33"/>
    </row>
    <row r="35" spans="1:7" ht="21.75" customHeight="1">
      <c r="A35" s="16"/>
      <c r="B35" s="30"/>
      <c r="C35" s="10"/>
      <c r="D35" s="10"/>
      <c r="E35" s="10"/>
      <c r="F35" s="15" t="str">
        <f t="shared" si="0"/>
        <v/>
      </c>
      <c r="G35" s="33"/>
    </row>
    <row r="36" spans="1:7" ht="21.75" customHeight="1">
      <c r="A36" s="16"/>
      <c r="B36" s="30"/>
      <c r="C36" s="10"/>
      <c r="D36" s="10"/>
      <c r="E36" s="10"/>
      <c r="F36" s="15" t="str">
        <f t="shared" si="0"/>
        <v/>
      </c>
      <c r="G36" s="33"/>
    </row>
    <row r="37" spans="1:7" ht="21.75" customHeight="1">
      <c r="A37" s="16"/>
      <c r="B37" s="30"/>
      <c r="C37" s="10"/>
      <c r="D37" s="10"/>
      <c r="E37" s="10"/>
      <c r="F37" s="15" t="str">
        <f t="shared" si="0"/>
        <v/>
      </c>
      <c r="G37" s="33"/>
    </row>
    <row r="38" spans="1:7" ht="21.75" customHeight="1">
      <c r="A38" s="16"/>
      <c r="B38" s="30"/>
      <c r="C38" s="10"/>
      <c r="D38" s="10"/>
      <c r="E38" s="10"/>
      <c r="F38" s="15" t="str">
        <f t="shared" si="0"/>
        <v/>
      </c>
      <c r="G38" s="33"/>
    </row>
    <row r="39" spans="1:7" ht="21.75" customHeight="1">
      <c r="A39" s="16"/>
      <c r="B39" s="30"/>
      <c r="C39" s="10"/>
      <c r="D39" s="10"/>
      <c r="E39" s="10"/>
      <c r="F39" s="15" t="str">
        <f t="shared" si="0"/>
        <v/>
      </c>
      <c r="G39" s="33"/>
    </row>
    <row r="40" spans="1:7" ht="21.75" customHeight="1">
      <c r="A40" s="16"/>
      <c r="B40" s="30"/>
      <c r="C40" s="10"/>
      <c r="D40" s="10"/>
      <c r="E40" s="10"/>
      <c r="F40" s="15" t="str">
        <f t="shared" si="0"/>
        <v/>
      </c>
      <c r="G40" s="33"/>
    </row>
    <row r="41" spans="1:7" ht="21.75" customHeight="1">
      <c r="A41" s="16"/>
      <c r="B41" s="30"/>
      <c r="C41" s="10"/>
      <c r="D41" s="10"/>
      <c r="E41" s="10"/>
      <c r="F41" s="15" t="str">
        <f t="shared" si="0"/>
        <v/>
      </c>
      <c r="G41" s="33"/>
    </row>
    <row r="42" spans="1:7" ht="21.75" customHeight="1">
      <c r="A42" s="16"/>
      <c r="B42" s="30"/>
      <c r="C42" s="10"/>
      <c r="D42" s="10"/>
      <c r="E42" s="10"/>
      <c r="F42" s="15" t="str">
        <f t="shared" si="0"/>
        <v/>
      </c>
      <c r="G42" s="33"/>
    </row>
    <row r="43" spans="1:7" ht="21.75" customHeight="1">
      <c r="A43" s="16"/>
      <c r="B43" s="30"/>
      <c r="C43" s="10"/>
      <c r="D43" s="10"/>
      <c r="E43" s="10"/>
      <c r="F43" s="15" t="str">
        <f t="shared" si="0"/>
        <v/>
      </c>
      <c r="G43" s="33"/>
    </row>
    <row r="44" spans="1:7" ht="21.75" customHeight="1">
      <c r="A44" s="16"/>
      <c r="B44" s="30"/>
      <c r="C44" s="10"/>
      <c r="D44" s="10"/>
      <c r="E44" s="10"/>
      <c r="F44" s="15" t="str">
        <f t="shared" si="0"/>
        <v/>
      </c>
      <c r="G44" s="33"/>
    </row>
    <row r="45" spans="1:7" ht="21.75" customHeight="1">
      <c r="A45" s="16"/>
      <c r="B45" s="30"/>
      <c r="C45" s="10"/>
      <c r="D45" s="10"/>
      <c r="E45" s="10"/>
      <c r="F45" s="15" t="str">
        <f t="shared" si="0"/>
        <v/>
      </c>
      <c r="G45" s="33"/>
    </row>
    <row r="46" spans="1:7" ht="21.75" customHeight="1">
      <c r="A46" s="16"/>
      <c r="B46" s="30"/>
      <c r="C46" s="10"/>
      <c r="D46" s="10"/>
      <c r="E46" s="10"/>
      <c r="F46" s="15" t="str">
        <f t="shared" si="0"/>
        <v/>
      </c>
      <c r="G46" s="33"/>
    </row>
    <row r="47" spans="1:7" ht="21.75" customHeight="1">
      <c r="A47" s="16"/>
      <c r="B47" s="30"/>
      <c r="C47" s="10"/>
      <c r="D47" s="10"/>
      <c r="E47" s="10"/>
      <c r="F47" s="15" t="str">
        <f t="shared" si="0"/>
        <v/>
      </c>
      <c r="G47" s="33"/>
    </row>
    <row r="48" spans="1:7" ht="21.75" customHeight="1">
      <c r="A48" s="16"/>
      <c r="B48" s="30"/>
      <c r="C48" s="10"/>
      <c r="D48" s="10"/>
      <c r="E48" s="10"/>
      <c r="F48" s="15" t="str">
        <f t="shared" si="0"/>
        <v/>
      </c>
      <c r="G48" s="33"/>
    </row>
    <row r="49" spans="1:7" ht="21.75" customHeight="1">
      <c r="A49" s="16"/>
      <c r="B49" s="30"/>
      <c r="C49" s="10"/>
      <c r="D49" s="10"/>
      <c r="E49" s="10"/>
      <c r="F49" s="15" t="str">
        <f t="shared" si="0"/>
        <v/>
      </c>
      <c r="G49" s="33"/>
    </row>
    <row r="50" spans="1:7" ht="21.75" customHeight="1">
      <c r="A50" s="16"/>
      <c r="B50" s="30"/>
      <c r="C50" s="10"/>
      <c r="D50" s="10"/>
      <c r="E50" s="10"/>
      <c r="F50" s="15" t="str">
        <f t="shared" si="0"/>
        <v/>
      </c>
      <c r="G50" s="33"/>
    </row>
    <row r="51" spans="1:7" ht="21.75" customHeight="1">
      <c r="A51" s="16"/>
      <c r="B51" s="30"/>
      <c r="C51" s="10"/>
      <c r="D51" s="10"/>
      <c r="E51" s="10"/>
      <c r="F51" s="15" t="str">
        <f t="shared" si="0"/>
        <v/>
      </c>
      <c r="G51" s="33"/>
    </row>
    <row r="52" spans="1:7" ht="21.75" customHeight="1">
      <c r="A52" s="16"/>
      <c r="B52" s="30"/>
      <c r="C52" s="10"/>
      <c r="D52" s="10"/>
      <c r="E52" s="10"/>
      <c r="F52" s="15" t="str">
        <f t="shared" si="0"/>
        <v/>
      </c>
      <c r="G52" s="33"/>
    </row>
    <row r="53" spans="1:7" ht="21.75" customHeight="1">
      <c r="A53" s="16"/>
      <c r="B53" s="30"/>
      <c r="C53" s="10"/>
      <c r="D53" s="10"/>
      <c r="E53" s="10"/>
      <c r="F53" s="15" t="str">
        <f t="shared" si="0"/>
        <v/>
      </c>
      <c r="G53" s="33"/>
    </row>
    <row r="54" spans="1:7" ht="21.75" customHeight="1">
      <c r="A54" s="16"/>
      <c r="B54" s="30"/>
      <c r="C54" s="10"/>
      <c r="D54" s="10"/>
      <c r="E54" s="10"/>
      <c r="F54" s="15" t="str">
        <f t="shared" si="0"/>
        <v/>
      </c>
      <c r="G54" s="33"/>
    </row>
    <row r="55" spans="1:7" ht="21.75" customHeight="1">
      <c r="A55" s="16"/>
      <c r="B55" s="30"/>
      <c r="C55" s="10"/>
      <c r="D55" s="10"/>
      <c r="E55" s="10"/>
      <c r="F55" s="15" t="str">
        <f t="shared" si="0"/>
        <v/>
      </c>
      <c r="G55" s="33"/>
    </row>
    <row r="56" spans="1:7" ht="21.75" customHeight="1">
      <c r="A56" s="16"/>
      <c r="B56" s="30"/>
      <c r="C56" s="10"/>
      <c r="D56" s="10"/>
      <c r="E56" s="10"/>
      <c r="F56" s="15" t="str">
        <f t="shared" si="0"/>
        <v/>
      </c>
      <c r="G56" s="33"/>
    </row>
    <row r="57" spans="1:7" ht="21.75" customHeight="1">
      <c r="A57" s="16"/>
      <c r="B57" s="30"/>
      <c r="C57" s="10"/>
      <c r="D57" s="10"/>
      <c r="E57" s="10"/>
      <c r="F57" s="15" t="str">
        <f t="shared" si="0"/>
        <v/>
      </c>
      <c r="G57" s="33"/>
    </row>
    <row r="58" spans="1:7" ht="21.75" customHeight="1">
      <c r="A58" s="16"/>
      <c r="B58" s="30"/>
      <c r="C58" s="10"/>
      <c r="D58" s="10"/>
      <c r="E58" s="10"/>
      <c r="F58" s="15" t="str">
        <f t="shared" si="0"/>
        <v/>
      </c>
      <c r="G58" s="33"/>
    </row>
    <row r="59" spans="1:7" ht="21.75" customHeight="1">
      <c r="A59" s="16"/>
      <c r="B59" s="30"/>
      <c r="C59" s="10"/>
      <c r="D59" s="10"/>
      <c r="E59" s="10"/>
      <c r="F59" s="15" t="str">
        <f t="shared" si="0"/>
        <v/>
      </c>
      <c r="G59" s="33"/>
    </row>
    <row r="60" spans="1:7" ht="21.75" customHeight="1">
      <c r="A60" s="16"/>
      <c r="B60" s="30"/>
      <c r="C60" s="10"/>
      <c r="D60" s="10"/>
      <c r="E60" s="10"/>
      <c r="F60" s="15" t="str">
        <f t="shared" si="0"/>
        <v/>
      </c>
      <c r="G60" s="33"/>
    </row>
    <row r="61" spans="1:7" ht="21.75" customHeight="1">
      <c r="A61" s="16"/>
      <c r="B61" s="30"/>
      <c r="C61" s="10"/>
      <c r="D61" s="10"/>
      <c r="E61" s="10"/>
      <c r="F61" s="15" t="str">
        <f t="shared" si="0"/>
        <v/>
      </c>
      <c r="G61" s="33"/>
    </row>
    <row r="62" spans="1:7" ht="21.75" customHeight="1">
      <c r="A62" s="16"/>
      <c r="B62" s="30"/>
      <c r="C62" s="10"/>
      <c r="D62" s="10"/>
      <c r="E62" s="10"/>
      <c r="F62" s="15" t="str">
        <f t="shared" si="0"/>
        <v/>
      </c>
      <c r="G62" s="33"/>
    </row>
    <row r="63" spans="1:7" ht="21.75" customHeight="1">
      <c r="A63" s="16"/>
      <c r="B63" s="30"/>
      <c r="C63" s="10"/>
      <c r="D63" s="10"/>
      <c r="E63" s="10"/>
      <c r="F63" s="15" t="str">
        <f t="shared" si="0"/>
        <v/>
      </c>
      <c r="G63" s="33"/>
    </row>
    <row r="64" spans="1:7" ht="21.75" customHeight="1">
      <c r="A64" s="16"/>
      <c r="B64" s="30"/>
      <c r="C64" s="10"/>
      <c r="D64" s="10"/>
      <c r="E64" s="10"/>
      <c r="F64" s="15" t="str">
        <f t="shared" si="0"/>
        <v/>
      </c>
      <c r="G64" s="33"/>
    </row>
    <row r="65" spans="1:7" ht="21.75" customHeight="1">
      <c r="A65" s="16"/>
      <c r="B65" s="30"/>
      <c r="C65" s="10"/>
      <c r="D65" s="10"/>
      <c r="E65" s="10"/>
      <c r="F65" s="15" t="str">
        <f t="shared" si="0"/>
        <v/>
      </c>
      <c r="G65" s="33"/>
    </row>
    <row r="66" spans="1:7" ht="21.75" customHeight="1">
      <c r="A66" s="16"/>
      <c r="B66" s="30"/>
      <c r="C66" s="10"/>
      <c r="D66" s="10"/>
      <c r="E66" s="10"/>
      <c r="F66" s="15" t="str">
        <f t="shared" si="0"/>
        <v/>
      </c>
      <c r="G66" s="33"/>
    </row>
    <row r="67" spans="1:7" ht="21.75" customHeight="1">
      <c r="A67" s="16"/>
      <c r="B67" s="30"/>
      <c r="C67" s="10"/>
      <c r="D67" s="10"/>
      <c r="E67" s="10"/>
      <c r="F67" s="15" t="str">
        <f t="shared" si="0"/>
        <v/>
      </c>
      <c r="G67" s="33"/>
    </row>
    <row r="68" spans="1:7" ht="21.75" customHeight="1">
      <c r="A68" s="16"/>
      <c r="B68" s="30"/>
      <c r="C68" s="10"/>
      <c r="D68" s="10"/>
      <c r="E68" s="10"/>
      <c r="F68" s="15" t="str">
        <f t="shared" si="0"/>
        <v/>
      </c>
      <c r="G68" s="33"/>
    </row>
    <row r="69" spans="1:7" ht="21.75" customHeight="1">
      <c r="A69" s="16"/>
      <c r="B69" s="30"/>
      <c r="C69" s="10"/>
      <c r="D69" s="10"/>
      <c r="E69" s="10"/>
      <c r="F69" s="15" t="str">
        <f t="shared" si="0"/>
        <v/>
      </c>
      <c r="G69" s="33"/>
    </row>
    <row r="70" spans="1:7" ht="21.75" customHeight="1">
      <c r="A70" s="16"/>
      <c r="B70" s="30"/>
      <c r="C70" s="10"/>
      <c r="D70" s="10"/>
      <c r="E70" s="10"/>
      <c r="F70" s="15" t="str">
        <f t="shared" ref="F70:F133" si="1">IF(C70="","",C70-D70-E70)</f>
        <v/>
      </c>
      <c r="G70" s="33"/>
    </row>
    <row r="71" spans="1:7" ht="21.75" customHeight="1">
      <c r="A71" s="16"/>
      <c r="B71" s="30"/>
      <c r="C71" s="10"/>
      <c r="D71" s="10"/>
      <c r="E71" s="10"/>
      <c r="F71" s="15" t="str">
        <f t="shared" si="1"/>
        <v/>
      </c>
      <c r="G71" s="33"/>
    </row>
    <row r="72" spans="1:7" ht="21.75" customHeight="1">
      <c r="A72" s="16"/>
      <c r="B72" s="30"/>
      <c r="C72" s="10"/>
      <c r="D72" s="10"/>
      <c r="E72" s="10"/>
      <c r="F72" s="15" t="str">
        <f t="shared" si="1"/>
        <v/>
      </c>
      <c r="G72" s="33"/>
    </row>
    <row r="73" spans="1:7" ht="21.75" customHeight="1">
      <c r="A73" s="16"/>
      <c r="B73" s="30"/>
      <c r="C73" s="10"/>
      <c r="D73" s="10"/>
      <c r="E73" s="10"/>
      <c r="F73" s="15" t="str">
        <f t="shared" si="1"/>
        <v/>
      </c>
      <c r="G73" s="33"/>
    </row>
    <row r="74" spans="1:7" ht="21.75" customHeight="1">
      <c r="A74" s="16"/>
      <c r="B74" s="30"/>
      <c r="C74" s="10"/>
      <c r="D74" s="10"/>
      <c r="E74" s="10"/>
      <c r="F74" s="15" t="str">
        <f t="shared" si="1"/>
        <v/>
      </c>
      <c r="G74" s="33"/>
    </row>
    <row r="75" spans="1:7" ht="21.75" customHeight="1">
      <c r="A75" s="16"/>
      <c r="B75" s="30"/>
      <c r="C75" s="10"/>
      <c r="D75" s="10"/>
      <c r="E75" s="10"/>
      <c r="F75" s="15" t="str">
        <f t="shared" si="1"/>
        <v/>
      </c>
      <c r="G75" s="33"/>
    </row>
    <row r="76" spans="1:7" ht="21.75" customHeight="1">
      <c r="A76" s="16"/>
      <c r="B76" s="30"/>
      <c r="C76" s="10"/>
      <c r="D76" s="10"/>
      <c r="E76" s="10"/>
      <c r="F76" s="15" t="str">
        <f t="shared" si="1"/>
        <v/>
      </c>
      <c r="G76" s="33"/>
    </row>
    <row r="77" spans="1:7" ht="21.75" customHeight="1">
      <c r="A77" s="16"/>
      <c r="B77" s="30"/>
      <c r="C77" s="10"/>
      <c r="D77" s="10"/>
      <c r="E77" s="10"/>
      <c r="F77" s="15" t="str">
        <f t="shared" si="1"/>
        <v/>
      </c>
      <c r="G77" s="33"/>
    </row>
    <row r="78" spans="1:7" ht="21.75" customHeight="1">
      <c r="A78" s="16"/>
      <c r="B78" s="30"/>
      <c r="C78" s="10"/>
      <c r="D78" s="10"/>
      <c r="E78" s="10"/>
      <c r="F78" s="15" t="str">
        <f t="shared" si="1"/>
        <v/>
      </c>
      <c r="G78" s="33"/>
    </row>
    <row r="79" spans="1:7" ht="21.75" customHeight="1">
      <c r="A79" s="16"/>
      <c r="B79" s="30"/>
      <c r="C79" s="10"/>
      <c r="D79" s="10"/>
      <c r="E79" s="10"/>
      <c r="F79" s="15" t="str">
        <f t="shared" si="1"/>
        <v/>
      </c>
      <c r="G79" s="33"/>
    </row>
    <row r="80" spans="1:7" ht="21.75" customHeight="1">
      <c r="A80" s="16"/>
      <c r="B80" s="30"/>
      <c r="C80" s="10"/>
      <c r="D80" s="10"/>
      <c r="E80" s="10"/>
      <c r="F80" s="15" t="str">
        <f t="shared" si="1"/>
        <v/>
      </c>
      <c r="G80" s="33"/>
    </row>
    <row r="81" spans="1:7" ht="21.75" customHeight="1">
      <c r="A81" s="16"/>
      <c r="B81" s="30"/>
      <c r="C81" s="10"/>
      <c r="D81" s="10"/>
      <c r="E81" s="10"/>
      <c r="F81" s="15" t="str">
        <f t="shared" si="1"/>
        <v/>
      </c>
      <c r="G81" s="33"/>
    </row>
    <row r="82" spans="1:7" ht="21.75" customHeight="1">
      <c r="A82" s="16"/>
      <c r="B82" s="30"/>
      <c r="C82" s="10"/>
      <c r="D82" s="10"/>
      <c r="E82" s="10"/>
      <c r="F82" s="15" t="str">
        <f t="shared" si="1"/>
        <v/>
      </c>
      <c r="G82" s="33"/>
    </row>
    <row r="83" spans="1:7" ht="21.75" customHeight="1">
      <c r="A83" s="16"/>
      <c r="B83" s="30"/>
      <c r="C83" s="10"/>
      <c r="D83" s="10"/>
      <c r="E83" s="10"/>
      <c r="F83" s="15" t="str">
        <f t="shared" si="1"/>
        <v/>
      </c>
      <c r="G83" s="33"/>
    </row>
    <row r="84" spans="1:7" ht="21.75" customHeight="1">
      <c r="A84" s="16"/>
      <c r="B84" s="30"/>
      <c r="C84" s="10"/>
      <c r="D84" s="10"/>
      <c r="E84" s="10"/>
      <c r="F84" s="15" t="str">
        <f t="shared" si="1"/>
        <v/>
      </c>
      <c r="G84" s="33"/>
    </row>
    <row r="85" spans="1:7" ht="21.75" customHeight="1">
      <c r="A85" s="16"/>
      <c r="B85" s="30"/>
      <c r="C85" s="10"/>
      <c r="D85" s="10"/>
      <c r="E85" s="10"/>
      <c r="F85" s="15" t="str">
        <f t="shared" si="1"/>
        <v/>
      </c>
      <c r="G85" s="33"/>
    </row>
    <row r="86" spans="1:7" ht="21.75" customHeight="1">
      <c r="A86" s="16"/>
      <c r="B86" s="30"/>
      <c r="C86" s="10"/>
      <c r="D86" s="10"/>
      <c r="E86" s="10"/>
      <c r="F86" s="15" t="str">
        <f t="shared" si="1"/>
        <v/>
      </c>
      <c r="G86" s="33"/>
    </row>
    <row r="87" spans="1:7" ht="21.75" customHeight="1">
      <c r="A87" s="16"/>
      <c r="B87" s="30"/>
      <c r="C87" s="10"/>
      <c r="D87" s="10"/>
      <c r="E87" s="10"/>
      <c r="F87" s="15" t="str">
        <f t="shared" si="1"/>
        <v/>
      </c>
      <c r="G87" s="33"/>
    </row>
    <row r="88" spans="1:7" ht="21.75" customHeight="1">
      <c r="A88" s="16"/>
      <c r="B88" s="30"/>
      <c r="C88" s="10"/>
      <c r="D88" s="10"/>
      <c r="E88" s="10"/>
      <c r="F88" s="15" t="str">
        <f t="shared" si="1"/>
        <v/>
      </c>
      <c r="G88" s="33"/>
    </row>
    <row r="89" spans="1:7" ht="21.75" customHeight="1">
      <c r="A89" s="16"/>
      <c r="B89" s="30"/>
      <c r="C89" s="10"/>
      <c r="D89" s="10"/>
      <c r="E89" s="10"/>
      <c r="F89" s="15" t="str">
        <f t="shared" si="1"/>
        <v/>
      </c>
      <c r="G89" s="33"/>
    </row>
    <row r="90" spans="1:7" ht="21.75" customHeight="1">
      <c r="A90" s="16"/>
      <c r="B90" s="30"/>
      <c r="C90" s="10"/>
      <c r="D90" s="10"/>
      <c r="E90" s="10"/>
      <c r="F90" s="15" t="str">
        <f t="shared" si="1"/>
        <v/>
      </c>
      <c r="G90" s="33"/>
    </row>
    <row r="91" spans="1:7" ht="21.75" customHeight="1">
      <c r="A91" s="16"/>
      <c r="B91" s="30"/>
      <c r="C91" s="10"/>
      <c r="D91" s="10"/>
      <c r="E91" s="10"/>
      <c r="F91" s="15" t="str">
        <f t="shared" si="1"/>
        <v/>
      </c>
      <c r="G91" s="33"/>
    </row>
    <row r="92" spans="1:7" ht="21.75" customHeight="1">
      <c r="A92" s="16"/>
      <c r="B92" s="30"/>
      <c r="C92" s="10"/>
      <c r="D92" s="10"/>
      <c r="E92" s="10"/>
      <c r="F92" s="15" t="str">
        <f t="shared" si="1"/>
        <v/>
      </c>
      <c r="G92" s="33"/>
    </row>
    <row r="93" spans="1:7" ht="21.75" customHeight="1">
      <c r="A93" s="16"/>
      <c r="B93" s="30"/>
      <c r="C93" s="10"/>
      <c r="D93" s="10"/>
      <c r="E93" s="10"/>
      <c r="F93" s="15" t="str">
        <f t="shared" si="1"/>
        <v/>
      </c>
      <c r="G93" s="33"/>
    </row>
    <row r="94" spans="1:7" ht="21.75" customHeight="1">
      <c r="A94" s="16"/>
      <c r="B94" s="30"/>
      <c r="C94" s="10"/>
      <c r="D94" s="10"/>
      <c r="E94" s="10"/>
      <c r="F94" s="15" t="str">
        <f t="shared" si="1"/>
        <v/>
      </c>
      <c r="G94" s="33"/>
    </row>
    <row r="95" spans="1:7" ht="21.75" customHeight="1">
      <c r="A95" s="16"/>
      <c r="B95" s="30"/>
      <c r="C95" s="10"/>
      <c r="D95" s="10"/>
      <c r="E95" s="10"/>
      <c r="F95" s="15" t="str">
        <f t="shared" si="1"/>
        <v/>
      </c>
      <c r="G95" s="33"/>
    </row>
    <row r="96" spans="1:7" ht="21.75" customHeight="1">
      <c r="A96" s="16"/>
      <c r="B96" s="30"/>
      <c r="C96" s="10"/>
      <c r="D96" s="10"/>
      <c r="E96" s="10"/>
      <c r="F96" s="15" t="str">
        <f t="shared" si="1"/>
        <v/>
      </c>
      <c r="G96" s="33"/>
    </row>
    <row r="97" spans="1:7" ht="21.75" customHeight="1">
      <c r="A97" s="16"/>
      <c r="B97" s="30"/>
      <c r="C97" s="10"/>
      <c r="D97" s="10"/>
      <c r="E97" s="10"/>
      <c r="F97" s="15" t="str">
        <f t="shared" si="1"/>
        <v/>
      </c>
      <c r="G97" s="33"/>
    </row>
    <row r="98" spans="1:7" ht="21.75" customHeight="1">
      <c r="A98" s="16"/>
      <c r="B98" s="30"/>
      <c r="C98" s="10"/>
      <c r="D98" s="10"/>
      <c r="E98" s="10"/>
      <c r="F98" s="15" t="str">
        <f t="shared" si="1"/>
        <v/>
      </c>
      <c r="G98" s="33"/>
    </row>
    <row r="99" spans="1:7" ht="21.75" customHeight="1">
      <c r="A99" s="16"/>
      <c r="B99" s="30"/>
      <c r="C99" s="10"/>
      <c r="D99" s="10"/>
      <c r="E99" s="10"/>
      <c r="F99" s="15" t="str">
        <f t="shared" si="1"/>
        <v/>
      </c>
      <c r="G99" s="33"/>
    </row>
    <row r="100" spans="1:7" ht="21.75" customHeight="1">
      <c r="A100" s="16"/>
      <c r="B100" s="30"/>
      <c r="C100" s="10"/>
      <c r="D100" s="10"/>
      <c r="E100" s="10"/>
      <c r="F100" s="15" t="str">
        <f t="shared" si="1"/>
        <v/>
      </c>
      <c r="G100" s="33"/>
    </row>
    <row r="101" spans="1:7" ht="21.75" customHeight="1">
      <c r="A101" s="16"/>
      <c r="B101" s="30"/>
      <c r="C101" s="10"/>
      <c r="D101" s="10"/>
      <c r="E101" s="10"/>
      <c r="F101" s="15" t="str">
        <f t="shared" si="1"/>
        <v/>
      </c>
      <c r="G101" s="33"/>
    </row>
    <row r="102" spans="1:7" ht="21.75" customHeight="1">
      <c r="A102" s="16"/>
      <c r="B102" s="30"/>
      <c r="C102" s="10"/>
      <c r="D102" s="10"/>
      <c r="E102" s="10"/>
      <c r="F102" s="15" t="str">
        <f t="shared" si="1"/>
        <v/>
      </c>
      <c r="G102" s="33"/>
    </row>
    <row r="103" spans="1:7" ht="21.75" customHeight="1">
      <c r="A103" s="16"/>
      <c r="B103" s="30"/>
      <c r="C103" s="10"/>
      <c r="D103" s="10"/>
      <c r="E103" s="10"/>
      <c r="F103" s="15" t="str">
        <f t="shared" si="1"/>
        <v/>
      </c>
      <c r="G103" s="33"/>
    </row>
    <row r="104" spans="1:7" ht="21.75" customHeight="1">
      <c r="A104" s="16"/>
      <c r="B104" s="30"/>
      <c r="C104" s="10"/>
      <c r="D104" s="10"/>
      <c r="E104" s="10"/>
      <c r="F104" s="15" t="str">
        <f t="shared" si="1"/>
        <v/>
      </c>
      <c r="G104" s="33"/>
    </row>
    <row r="105" spans="1:7" ht="21.75" customHeight="1">
      <c r="A105" s="16"/>
      <c r="B105" s="30"/>
      <c r="C105" s="10"/>
      <c r="D105" s="10"/>
      <c r="E105" s="10"/>
      <c r="F105" s="15" t="str">
        <f t="shared" si="1"/>
        <v/>
      </c>
      <c r="G105" s="33"/>
    </row>
    <row r="106" spans="1:7" ht="21.75" customHeight="1">
      <c r="A106" s="16"/>
      <c r="B106" s="30"/>
      <c r="C106" s="10"/>
      <c r="D106" s="10"/>
      <c r="E106" s="10"/>
      <c r="F106" s="15" t="str">
        <f t="shared" si="1"/>
        <v/>
      </c>
      <c r="G106" s="33"/>
    </row>
    <row r="107" spans="1:7" ht="21.75" customHeight="1">
      <c r="A107" s="16"/>
      <c r="B107" s="30"/>
      <c r="C107" s="10"/>
      <c r="D107" s="10"/>
      <c r="E107" s="10"/>
      <c r="F107" s="15" t="str">
        <f t="shared" si="1"/>
        <v/>
      </c>
      <c r="G107" s="33"/>
    </row>
    <row r="108" spans="1:7" ht="21.75" customHeight="1">
      <c r="A108" s="16"/>
      <c r="B108" s="30"/>
      <c r="C108" s="10"/>
      <c r="D108" s="10"/>
      <c r="E108" s="10"/>
      <c r="F108" s="15" t="str">
        <f t="shared" si="1"/>
        <v/>
      </c>
      <c r="G108" s="33"/>
    </row>
    <row r="109" spans="1:7" ht="21.75" customHeight="1">
      <c r="A109" s="16"/>
      <c r="B109" s="30"/>
      <c r="C109" s="10"/>
      <c r="D109" s="10"/>
      <c r="E109" s="10"/>
      <c r="F109" s="15" t="str">
        <f t="shared" si="1"/>
        <v/>
      </c>
      <c r="G109" s="33"/>
    </row>
    <row r="110" spans="1:7" ht="21.75" customHeight="1">
      <c r="A110" s="16"/>
      <c r="B110" s="30"/>
      <c r="C110" s="10"/>
      <c r="D110" s="10"/>
      <c r="E110" s="10"/>
      <c r="F110" s="15" t="str">
        <f t="shared" si="1"/>
        <v/>
      </c>
      <c r="G110" s="33"/>
    </row>
    <row r="111" spans="1:7" ht="21.75" customHeight="1">
      <c r="A111" s="16"/>
      <c r="B111" s="30"/>
      <c r="C111" s="10"/>
      <c r="D111" s="10"/>
      <c r="E111" s="10"/>
      <c r="F111" s="15" t="str">
        <f t="shared" si="1"/>
        <v/>
      </c>
      <c r="G111" s="33"/>
    </row>
    <row r="112" spans="1:7" ht="21.75" customHeight="1">
      <c r="A112" s="16"/>
      <c r="B112" s="30"/>
      <c r="C112" s="10"/>
      <c r="D112" s="10"/>
      <c r="E112" s="10"/>
      <c r="F112" s="15" t="str">
        <f t="shared" si="1"/>
        <v/>
      </c>
      <c r="G112" s="33"/>
    </row>
    <row r="113" spans="1:7" ht="21.75" customHeight="1">
      <c r="A113" s="16"/>
      <c r="B113" s="30"/>
      <c r="C113" s="10"/>
      <c r="D113" s="10"/>
      <c r="E113" s="10"/>
      <c r="F113" s="15" t="str">
        <f t="shared" si="1"/>
        <v/>
      </c>
      <c r="G113" s="33"/>
    </row>
    <row r="114" spans="1:7" ht="21.75" customHeight="1">
      <c r="A114" s="16"/>
      <c r="B114" s="30"/>
      <c r="C114" s="10"/>
      <c r="D114" s="10"/>
      <c r="E114" s="10"/>
      <c r="F114" s="15" t="str">
        <f t="shared" si="1"/>
        <v/>
      </c>
      <c r="G114" s="33"/>
    </row>
    <row r="115" spans="1:7" ht="21.75" customHeight="1">
      <c r="A115" s="16"/>
      <c r="B115" s="30"/>
      <c r="C115" s="10"/>
      <c r="D115" s="10"/>
      <c r="E115" s="10"/>
      <c r="F115" s="15" t="str">
        <f t="shared" si="1"/>
        <v/>
      </c>
      <c r="G115" s="33"/>
    </row>
    <row r="116" spans="1:7" ht="21.75" customHeight="1">
      <c r="A116" s="16"/>
      <c r="B116" s="30"/>
      <c r="C116" s="10"/>
      <c r="D116" s="10"/>
      <c r="E116" s="10"/>
      <c r="F116" s="15" t="str">
        <f t="shared" si="1"/>
        <v/>
      </c>
      <c r="G116" s="33"/>
    </row>
    <row r="117" spans="1:7" ht="21.75" customHeight="1">
      <c r="A117" s="16"/>
      <c r="B117" s="30"/>
      <c r="C117" s="10"/>
      <c r="D117" s="10"/>
      <c r="E117" s="10"/>
      <c r="F117" s="15" t="str">
        <f t="shared" si="1"/>
        <v/>
      </c>
      <c r="G117" s="33"/>
    </row>
    <row r="118" spans="1:7" ht="21.75" customHeight="1">
      <c r="A118" s="16"/>
      <c r="B118" s="30"/>
      <c r="C118" s="10"/>
      <c r="D118" s="10"/>
      <c r="E118" s="10"/>
      <c r="F118" s="15" t="str">
        <f t="shared" si="1"/>
        <v/>
      </c>
      <c r="G118" s="33"/>
    </row>
    <row r="119" spans="1:7" ht="21.75" customHeight="1">
      <c r="A119" s="16"/>
      <c r="B119" s="30"/>
      <c r="C119" s="10"/>
      <c r="D119" s="10"/>
      <c r="E119" s="10"/>
      <c r="F119" s="15" t="str">
        <f t="shared" si="1"/>
        <v/>
      </c>
      <c r="G119" s="33"/>
    </row>
    <row r="120" spans="1:7" ht="21.75" customHeight="1">
      <c r="A120" s="16"/>
      <c r="B120" s="30"/>
      <c r="C120" s="10"/>
      <c r="D120" s="10"/>
      <c r="E120" s="10"/>
      <c r="F120" s="15" t="str">
        <f t="shared" si="1"/>
        <v/>
      </c>
      <c r="G120" s="33"/>
    </row>
    <row r="121" spans="1:7" ht="21.75" customHeight="1">
      <c r="A121" s="16"/>
      <c r="B121" s="30"/>
      <c r="C121" s="10"/>
      <c r="D121" s="10"/>
      <c r="E121" s="10"/>
      <c r="F121" s="15" t="str">
        <f t="shared" si="1"/>
        <v/>
      </c>
      <c r="G121" s="33"/>
    </row>
    <row r="122" spans="1:7" ht="21.75" customHeight="1">
      <c r="A122" s="16"/>
      <c r="B122" s="30"/>
      <c r="C122" s="10"/>
      <c r="D122" s="10"/>
      <c r="E122" s="10"/>
      <c r="F122" s="15" t="str">
        <f t="shared" si="1"/>
        <v/>
      </c>
      <c r="G122" s="33"/>
    </row>
    <row r="123" spans="1:7" ht="21.75" customHeight="1">
      <c r="A123" s="16"/>
      <c r="B123" s="30"/>
      <c r="C123" s="10"/>
      <c r="D123" s="10"/>
      <c r="E123" s="10"/>
      <c r="F123" s="15" t="str">
        <f t="shared" si="1"/>
        <v/>
      </c>
      <c r="G123" s="33"/>
    </row>
    <row r="124" spans="1:7" ht="21.75" customHeight="1">
      <c r="A124" s="16"/>
      <c r="B124" s="30"/>
      <c r="C124" s="10"/>
      <c r="D124" s="10"/>
      <c r="E124" s="10"/>
      <c r="F124" s="15" t="str">
        <f t="shared" si="1"/>
        <v/>
      </c>
      <c r="G124" s="33"/>
    </row>
    <row r="125" spans="1:7" ht="21.75" customHeight="1">
      <c r="A125" s="16"/>
      <c r="B125" s="30"/>
      <c r="C125" s="10"/>
      <c r="D125" s="10"/>
      <c r="E125" s="10"/>
      <c r="F125" s="15" t="str">
        <f t="shared" si="1"/>
        <v/>
      </c>
      <c r="G125" s="33"/>
    </row>
    <row r="126" spans="1:7" ht="21.75" customHeight="1">
      <c r="A126" s="16"/>
      <c r="B126" s="30"/>
      <c r="C126" s="10"/>
      <c r="D126" s="10"/>
      <c r="E126" s="10"/>
      <c r="F126" s="15" t="str">
        <f t="shared" si="1"/>
        <v/>
      </c>
      <c r="G126" s="33"/>
    </row>
    <row r="127" spans="1:7" ht="21.75" customHeight="1">
      <c r="A127" s="16"/>
      <c r="B127" s="30"/>
      <c r="C127" s="10"/>
      <c r="D127" s="10"/>
      <c r="E127" s="10"/>
      <c r="F127" s="15" t="str">
        <f t="shared" si="1"/>
        <v/>
      </c>
      <c r="G127" s="33"/>
    </row>
    <row r="128" spans="1:7" ht="21.75" customHeight="1">
      <c r="A128" s="16"/>
      <c r="B128" s="30"/>
      <c r="C128" s="10"/>
      <c r="D128" s="10"/>
      <c r="E128" s="10"/>
      <c r="F128" s="15" t="str">
        <f t="shared" si="1"/>
        <v/>
      </c>
      <c r="G128" s="33"/>
    </row>
    <row r="129" spans="1:7" ht="21.75" customHeight="1">
      <c r="A129" s="16"/>
      <c r="B129" s="30"/>
      <c r="C129" s="10"/>
      <c r="D129" s="10"/>
      <c r="E129" s="10"/>
      <c r="F129" s="15" t="str">
        <f t="shared" si="1"/>
        <v/>
      </c>
      <c r="G129" s="33"/>
    </row>
    <row r="130" spans="1:7" ht="21.75" customHeight="1">
      <c r="A130" s="16"/>
      <c r="B130" s="30"/>
      <c r="C130" s="10"/>
      <c r="D130" s="10"/>
      <c r="E130" s="10"/>
      <c r="F130" s="15" t="str">
        <f t="shared" si="1"/>
        <v/>
      </c>
      <c r="G130" s="33"/>
    </row>
    <row r="131" spans="1:7" ht="21.75" customHeight="1">
      <c r="A131" s="16"/>
      <c r="B131" s="30"/>
      <c r="C131" s="10"/>
      <c r="D131" s="10"/>
      <c r="E131" s="10"/>
      <c r="F131" s="15" t="str">
        <f t="shared" si="1"/>
        <v/>
      </c>
      <c r="G131" s="33"/>
    </row>
    <row r="132" spans="1:7" ht="21.75" customHeight="1">
      <c r="A132" s="16"/>
      <c r="B132" s="30"/>
      <c r="C132" s="10"/>
      <c r="D132" s="10"/>
      <c r="E132" s="10"/>
      <c r="F132" s="15" t="str">
        <f t="shared" si="1"/>
        <v/>
      </c>
      <c r="G132" s="33"/>
    </row>
    <row r="133" spans="1:7" ht="21.75" customHeight="1">
      <c r="A133" s="16"/>
      <c r="B133" s="30"/>
      <c r="C133" s="10"/>
      <c r="D133" s="10"/>
      <c r="E133" s="10"/>
      <c r="F133" s="15" t="str">
        <f t="shared" si="1"/>
        <v/>
      </c>
      <c r="G133" s="33"/>
    </row>
    <row r="134" spans="1:7" ht="21.75" customHeight="1">
      <c r="A134" s="16"/>
      <c r="B134" s="30"/>
      <c r="C134" s="10"/>
      <c r="D134" s="10"/>
      <c r="E134" s="10"/>
      <c r="F134" s="15" t="str">
        <f t="shared" ref="F134:F197" si="2">IF(C134="","",C134-D134-E134)</f>
        <v/>
      </c>
      <c r="G134" s="33"/>
    </row>
    <row r="135" spans="1:7" ht="21.75" customHeight="1">
      <c r="A135" s="16"/>
      <c r="B135" s="30"/>
      <c r="C135" s="10"/>
      <c r="D135" s="10"/>
      <c r="E135" s="10"/>
      <c r="F135" s="15" t="str">
        <f t="shared" si="2"/>
        <v/>
      </c>
      <c r="G135" s="33"/>
    </row>
    <row r="136" spans="1:7" ht="21.75" customHeight="1">
      <c r="A136" s="16"/>
      <c r="B136" s="30"/>
      <c r="C136" s="10"/>
      <c r="D136" s="10"/>
      <c r="E136" s="10"/>
      <c r="F136" s="15" t="str">
        <f t="shared" si="2"/>
        <v/>
      </c>
      <c r="G136" s="33"/>
    </row>
    <row r="137" spans="1:7" ht="21.75" customHeight="1">
      <c r="A137" s="16"/>
      <c r="B137" s="30"/>
      <c r="C137" s="10"/>
      <c r="D137" s="10"/>
      <c r="E137" s="10"/>
      <c r="F137" s="15" t="str">
        <f t="shared" si="2"/>
        <v/>
      </c>
      <c r="G137" s="33"/>
    </row>
    <row r="138" spans="1:7" ht="21.75" customHeight="1">
      <c r="A138" s="16"/>
      <c r="B138" s="30"/>
      <c r="C138" s="10"/>
      <c r="D138" s="10"/>
      <c r="E138" s="10"/>
      <c r="F138" s="15" t="str">
        <f t="shared" si="2"/>
        <v/>
      </c>
      <c r="G138" s="33"/>
    </row>
    <row r="139" spans="1:7" ht="21.75" customHeight="1">
      <c r="A139" s="16"/>
      <c r="B139" s="30"/>
      <c r="C139" s="10"/>
      <c r="D139" s="10"/>
      <c r="E139" s="10"/>
      <c r="F139" s="15" t="str">
        <f t="shared" si="2"/>
        <v/>
      </c>
      <c r="G139" s="33"/>
    </row>
    <row r="140" spans="1:7" ht="21.75" customHeight="1">
      <c r="A140" s="16"/>
      <c r="B140" s="30"/>
      <c r="C140" s="10"/>
      <c r="D140" s="10"/>
      <c r="E140" s="10"/>
      <c r="F140" s="15" t="str">
        <f t="shared" si="2"/>
        <v/>
      </c>
      <c r="G140" s="33"/>
    </row>
    <row r="141" spans="1:7" ht="21.75" customHeight="1">
      <c r="A141" s="16"/>
      <c r="B141" s="30"/>
      <c r="C141" s="10"/>
      <c r="D141" s="10"/>
      <c r="E141" s="10"/>
      <c r="F141" s="15" t="str">
        <f t="shared" si="2"/>
        <v/>
      </c>
      <c r="G141" s="33"/>
    </row>
    <row r="142" spans="1:7" ht="21.75" customHeight="1">
      <c r="A142" s="16"/>
      <c r="B142" s="30"/>
      <c r="C142" s="10"/>
      <c r="D142" s="10"/>
      <c r="E142" s="10"/>
      <c r="F142" s="15" t="str">
        <f t="shared" si="2"/>
        <v/>
      </c>
      <c r="G142" s="33"/>
    </row>
    <row r="143" spans="1:7" ht="21.75" customHeight="1">
      <c r="A143" s="16"/>
      <c r="B143" s="30"/>
      <c r="C143" s="10"/>
      <c r="D143" s="10"/>
      <c r="E143" s="10"/>
      <c r="F143" s="15" t="str">
        <f t="shared" si="2"/>
        <v/>
      </c>
      <c r="G143" s="33"/>
    </row>
    <row r="144" spans="1:7" ht="21.75" customHeight="1">
      <c r="A144" s="16"/>
      <c r="B144" s="30"/>
      <c r="C144" s="10"/>
      <c r="D144" s="10"/>
      <c r="E144" s="10"/>
      <c r="F144" s="15" t="str">
        <f t="shared" si="2"/>
        <v/>
      </c>
      <c r="G144" s="33"/>
    </row>
    <row r="145" spans="1:7" ht="21.75" customHeight="1">
      <c r="A145" s="16"/>
      <c r="B145" s="30"/>
      <c r="C145" s="10"/>
      <c r="D145" s="10"/>
      <c r="E145" s="10"/>
      <c r="F145" s="15" t="str">
        <f t="shared" si="2"/>
        <v/>
      </c>
      <c r="G145" s="33"/>
    </row>
    <row r="146" spans="1:7" ht="21.75" customHeight="1">
      <c r="A146" s="16"/>
      <c r="B146" s="30"/>
      <c r="C146" s="10"/>
      <c r="D146" s="10"/>
      <c r="E146" s="10"/>
      <c r="F146" s="15" t="str">
        <f t="shared" si="2"/>
        <v/>
      </c>
      <c r="G146" s="33"/>
    </row>
    <row r="147" spans="1:7" ht="21.75" customHeight="1">
      <c r="A147" s="16"/>
      <c r="B147" s="30"/>
      <c r="C147" s="10"/>
      <c r="D147" s="10"/>
      <c r="E147" s="10"/>
      <c r="F147" s="15" t="str">
        <f t="shared" si="2"/>
        <v/>
      </c>
      <c r="G147" s="33"/>
    </row>
    <row r="148" spans="1:7" ht="21.75" customHeight="1">
      <c r="A148" s="16"/>
      <c r="B148" s="30"/>
      <c r="C148" s="10"/>
      <c r="D148" s="10"/>
      <c r="E148" s="10"/>
      <c r="F148" s="15" t="str">
        <f t="shared" si="2"/>
        <v/>
      </c>
      <c r="G148" s="33"/>
    </row>
    <row r="149" spans="1:7" ht="21.75" customHeight="1">
      <c r="A149" s="16"/>
      <c r="B149" s="30"/>
      <c r="C149" s="10"/>
      <c r="D149" s="10"/>
      <c r="E149" s="10"/>
      <c r="F149" s="15" t="str">
        <f t="shared" si="2"/>
        <v/>
      </c>
      <c r="G149" s="33"/>
    </row>
    <row r="150" spans="1:7" ht="21.75" customHeight="1">
      <c r="A150" s="16"/>
      <c r="B150" s="30"/>
      <c r="C150" s="10"/>
      <c r="D150" s="10"/>
      <c r="E150" s="10"/>
      <c r="F150" s="15" t="str">
        <f t="shared" si="2"/>
        <v/>
      </c>
      <c r="G150" s="33"/>
    </row>
    <row r="151" spans="1:7" ht="21.75" customHeight="1">
      <c r="A151" s="16"/>
      <c r="B151" s="30"/>
      <c r="C151" s="10"/>
      <c r="D151" s="10"/>
      <c r="E151" s="10"/>
      <c r="F151" s="15" t="str">
        <f t="shared" si="2"/>
        <v/>
      </c>
      <c r="G151" s="33"/>
    </row>
    <row r="152" spans="1:7" ht="21.75" customHeight="1">
      <c r="A152" s="16"/>
      <c r="B152" s="30"/>
      <c r="C152" s="10"/>
      <c r="D152" s="10"/>
      <c r="E152" s="10"/>
      <c r="F152" s="15" t="str">
        <f t="shared" si="2"/>
        <v/>
      </c>
      <c r="G152" s="33"/>
    </row>
    <row r="153" spans="1:7" ht="21.75" customHeight="1">
      <c r="A153" s="16"/>
      <c r="B153" s="30"/>
      <c r="C153" s="10"/>
      <c r="D153" s="10"/>
      <c r="E153" s="10"/>
      <c r="F153" s="15" t="str">
        <f t="shared" si="2"/>
        <v/>
      </c>
      <c r="G153" s="33"/>
    </row>
    <row r="154" spans="1:7" ht="21.75" customHeight="1">
      <c r="A154" s="16"/>
      <c r="B154" s="30"/>
      <c r="C154" s="10"/>
      <c r="D154" s="10"/>
      <c r="E154" s="10"/>
      <c r="F154" s="15" t="str">
        <f t="shared" si="2"/>
        <v/>
      </c>
      <c r="G154" s="33"/>
    </row>
    <row r="155" spans="1:7" ht="21.75" customHeight="1">
      <c r="A155" s="16"/>
      <c r="B155" s="30"/>
      <c r="C155" s="10"/>
      <c r="D155" s="10"/>
      <c r="E155" s="10"/>
      <c r="F155" s="15" t="str">
        <f t="shared" si="2"/>
        <v/>
      </c>
      <c r="G155" s="33"/>
    </row>
    <row r="156" spans="1:7" ht="21.75" customHeight="1">
      <c r="A156" s="16"/>
      <c r="B156" s="30"/>
      <c r="C156" s="10"/>
      <c r="D156" s="10"/>
      <c r="E156" s="10"/>
      <c r="F156" s="15" t="str">
        <f t="shared" si="2"/>
        <v/>
      </c>
      <c r="G156" s="33"/>
    </row>
    <row r="157" spans="1:7" ht="21.75" customHeight="1">
      <c r="A157" s="16"/>
      <c r="B157" s="30"/>
      <c r="C157" s="10"/>
      <c r="D157" s="10"/>
      <c r="E157" s="10"/>
      <c r="F157" s="15" t="str">
        <f t="shared" si="2"/>
        <v/>
      </c>
      <c r="G157" s="33"/>
    </row>
    <row r="158" spans="1:7" ht="21.75" customHeight="1">
      <c r="A158" s="16"/>
      <c r="B158" s="30"/>
      <c r="C158" s="10"/>
      <c r="D158" s="10"/>
      <c r="E158" s="10"/>
      <c r="F158" s="15" t="str">
        <f t="shared" si="2"/>
        <v/>
      </c>
      <c r="G158" s="33"/>
    </row>
    <row r="159" spans="1:7" ht="21.75" customHeight="1">
      <c r="A159" s="16"/>
      <c r="B159" s="30"/>
      <c r="C159" s="10"/>
      <c r="D159" s="10"/>
      <c r="E159" s="10"/>
      <c r="F159" s="15" t="str">
        <f t="shared" si="2"/>
        <v/>
      </c>
      <c r="G159" s="33"/>
    </row>
    <row r="160" spans="1:7" ht="21.75" customHeight="1">
      <c r="A160" s="16"/>
      <c r="B160" s="30"/>
      <c r="C160" s="10"/>
      <c r="D160" s="10"/>
      <c r="E160" s="10"/>
      <c r="F160" s="15" t="str">
        <f t="shared" si="2"/>
        <v/>
      </c>
      <c r="G160" s="33"/>
    </row>
    <row r="161" spans="1:7" ht="21.75" customHeight="1">
      <c r="A161" s="16"/>
      <c r="B161" s="30"/>
      <c r="C161" s="10"/>
      <c r="D161" s="10"/>
      <c r="E161" s="10"/>
      <c r="F161" s="15" t="str">
        <f t="shared" si="2"/>
        <v/>
      </c>
      <c r="G161" s="33"/>
    </row>
    <row r="162" spans="1:7" ht="21.75" customHeight="1">
      <c r="A162" s="16"/>
      <c r="B162" s="30"/>
      <c r="C162" s="10"/>
      <c r="D162" s="10"/>
      <c r="E162" s="10"/>
      <c r="F162" s="15" t="str">
        <f t="shared" si="2"/>
        <v/>
      </c>
      <c r="G162" s="33"/>
    </row>
    <row r="163" spans="1:7" ht="21.75" customHeight="1">
      <c r="A163" s="16"/>
      <c r="B163" s="30"/>
      <c r="C163" s="10"/>
      <c r="D163" s="10"/>
      <c r="E163" s="10"/>
      <c r="F163" s="15" t="str">
        <f t="shared" si="2"/>
        <v/>
      </c>
      <c r="G163" s="33"/>
    </row>
    <row r="164" spans="1:7" ht="21.75" customHeight="1">
      <c r="A164" s="16"/>
      <c r="B164" s="30"/>
      <c r="C164" s="10"/>
      <c r="D164" s="10"/>
      <c r="E164" s="10"/>
      <c r="F164" s="15" t="str">
        <f t="shared" si="2"/>
        <v/>
      </c>
      <c r="G164" s="33"/>
    </row>
    <row r="165" spans="1:7" ht="21.75" customHeight="1">
      <c r="A165" s="16"/>
      <c r="B165" s="30"/>
      <c r="C165" s="10"/>
      <c r="D165" s="10"/>
      <c r="E165" s="10"/>
      <c r="F165" s="15" t="str">
        <f t="shared" si="2"/>
        <v/>
      </c>
      <c r="G165" s="33"/>
    </row>
    <row r="166" spans="1:7" ht="21.75" customHeight="1">
      <c r="A166" s="16"/>
      <c r="B166" s="30"/>
      <c r="C166" s="10"/>
      <c r="D166" s="10"/>
      <c r="E166" s="10"/>
      <c r="F166" s="15" t="str">
        <f t="shared" si="2"/>
        <v/>
      </c>
      <c r="G166" s="33"/>
    </row>
    <row r="167" spans="1:7" ht="21.75" customHeight="1">
      <c r="A167" s="16"/>
      <c r="B167" s="30"/>
      <c r="C167" s="10"/>
      <c r="D167" s="10"/>
      <c r="E167" s="10"/>
      <c r="F167" s="15" t="str">
        <f t="shared" si="2"/>
        <v/>
      </c>
      <c r="G167" s="33"/>
    </row>
    <row r="168" spans="1:7" ht="21.75" customHeight="1">
      <c r="A168" s="16"/>
      <c r="B168" s="30"/>
      <c r="C168" s="10"/>
      <c r="D168" s="10"/>
      <c r="E168" s="10"/>
      <c r="F168" s="15" t="str">
        <f t="shared" si="2"/>
        <v/>
      </c>
      <c r="G168" s="33"/>
    </row>
    <row r="169" spans="1:7" ht="21.75" customHeight="1">
      <c r="A169" s="16"/>
      <c r="B169" s="30"/>
      <c r="C169" s="10"/>
      <c r="D169" s="10"/>
      <c r="E169" s="10"/>
      <c r="F169" s="15" t="str">
        <f t="shared" si="2"/>
        <v/>
      </c>
      <c r="G169" s="33"/>
    </row>
    <row r="170" spans="1:7" ht="21.75" customHeight="1">
      <c r="A170" s="16"/>
      <c r="B170" s="30"/>
      <c r="C170" s="10"/>
      <c r="D170" s="10"/>
      <c r="E170" s="10"/>
      <c r="F170" s="15" t="str">
        <f t="shared" si="2"/>
        <v/>
      </c>
      <c r="G170" s="33"/>
    </row>
    <row r="171" spans="1:7" ht="21.75" customHeight="1">
      <c r="A171" s="16"/>
      <c r="B171" s="30"/>
      <c r="C171" s="10"/>
      <c r="D171" s="10"/>
      <c r="E171" s="10"/>
      <c r="F171" s="15" t="str">
        <f t="shared" si="2"/>
        <v/>
      </c>
      <c r="G171" s="33"/>
    </row>
    <row r="172" spans="1:7" ht="21.75" customHeight="1">
      <c r="A172" s="16"/>
      <c r="B172" s="30"/>
      <c r="C172" s="10"/>
      <c r="D172" s="10"/>
      <c r="E172" s="10"/>
      <c r="F172" s="15" t="str">
        <f t="shared" si="2"/>
        <v/>
      </c>
      <c r="G172" s="33"/>
    </row>
    <row r="173" spans="1:7" ht="21.75" customHeight="1">
      <c r="A173" s="16"/>
      <c r="B173" s="30"/>
      <c r="C173" s="10"/>
      <c r="D173" s="10"/>
      <c r="E173" s="10"/>
      <c r="F173" s="15" t="str">
        <f t="shared" si="2"/>
        <v/>
      </c>
      <c r="G173" s="33"/>
    </row>
    <row r="174" spans="1:7" ht="21.75" customHeight="1">
      <c r="A174" s="16"/>
      <c r="B174" s="30"/>
      <c r="C174" s="10"/>
      <c r="D174" s="10"/>
      <c r="E174" s="10"/>
      <c r="F174" s="15" t="str">
        <f t="shared" si="2"/>
        <v/>
      </c>
      <c r="G174" s="33"/>
    </row>
    <row r="175" spans="1:7" ht="21.75" customHeight="1">
      <c r="A175" s="16"/>
      <c r="B175" s="30"/>
      <c r="C175" s="10"/>
      <c r="D175" s="10"/>
      <c r="E175" s="10"/>
      <c r="F175" s="15" t="str">
        <f t="shared" si="2"/>
        <v/>
      </c>
      <c r="G175" s="33"/>
    </row>
    <row r="176" spans="1:7" ht="21.75" customHeight="1">
      <c r="A176" s="16"/>
      <c r="B176" s="30"/>
      <c r="C176" s="10"/>
      <c r="D176" s="10"/>
      <c r="E176" s="10"/>
      <c r="F176" s="15" t="str">
        <f t="shared" si="2"/>
        <v/>
      </c>
      <c r="G176" s="33"/>
    </row>
    <row r="177" spans="1:7" ht="21.75" customHeight="1">
      <c r="A177" s="16"/>
      <c r="B177" s="30"/>
      <c r="C177" s="10"/>
      <c r="D177" s="10"/>
      <c r="E177" s="10"/>
      <c r="F177" s="15" t="str">
        <f t="shared" si="2"/>
        <v/>
      </c>
      <c r="G177" s="33"/>
    </row>
    <row r="178" spans="1:7" ht="21.75" customHeight="1">
      <c r="A178" s="16"/>
      <c r="B178" s="30"/>
      <c r="C178" s="10"/>
      <c r="D178" s="10"/>
      <c r="E178" s="10"/>
      <c r="F178" s="15" t="str">
        <f t="shared" si="2"/>
        <v/>
      </c>
      <c r="G178" s="33"/>
    </row>
    <row r="179" spans="1:7" ht="21.75" customHeight="1">
      <c r="A179" s="16"/>
      <c r="B179" s="30"/>
      <c r="C179" s="10"/>
      <c r="D179" s="10"/>
      <c r="E179" s="10"/>
      <c r="F179" s="15" t="str">
        <f t="shared" si="2"/>
        <v/>
      </c>
      <c r="G179" s="33"/>
    </row>
    <row r="180" spans="1:7" ht="21.75" customHeight="1">
      <c r="A180" s="16"/>
      <c r="B180" s="30"/>
      <c r="C180" s="10"/>
      <c r="D180" s="10"/>
      <c r="E180" s="10"/>
      <c r="F180" s="15" t="str">
        <f t="shared" si="2"/>
        <v/>
      </c>
      <c r="G180" s="33"/>
    </row>
    <row r="181" spans="1:7" ht="21.75" customHeight="1">
      <c r="A181" s="16"/>
      <c r="B181" s="30"/>
      <c r="C181" s="10"/>
      <c r="D181" s="10"/>
      <c r="E181" s="10"/>
      <c r="F181" s="15" t="str">
        <f t="shared" si="2"/>
        <v/>
      </c>
      <c r="G181" s="33"/>
    </row>
    <row r="182" spans="1:7" ht="21.75" customHeight="1">
      <c r="A182" s="16"/>
      <c r="B182" s="30"/>
      <c r="C182" s="10"/>
      <c r="D182" s="10"/>
      <c r="E182" s="10"/>
      <c r="F182" s="15" t="str">
        <f t="shared" si="2"/>
        <v/>
      </c>
      <c r="G182" s="33"/>
    </row>
    <row r="183" spans="1:7" ht="21.75" customHeight="1">
      <c r="A183" s="16"/>
      <c r="B183" s="30"/>
      <c r="C183" s="10"/>
      <c r="D183" s="10"/>
      <c r="E183" s="10"/>
      <c r="F183" s="15" t="str">
        <f t="shared" si="2"/>
        <v/>
      </c>
      <c r="G183" s="33"/>
    </row>
    <row r="184" spans="1:7" ht="21.75" customHeight="1">
      <c r="A184" s="16"/>
      <c r="B184" s="30"/>
      <c r="C184" s="10"/>
      <c r="D184" s="10"/>
      <c r="E184" s="10"/>
      <c r="F184" s="15" t="str">
        <f t="shared" si="2"/>
        <v/>
      </c>
      <c r="G184" s="33"/>
    </row>
    <row r="185" spans="1:7" ht="21.75" customHeight="1">
      <c r="A185" s="16"/>
      <c r="B185" s="30"/>
      <c r="C185" s="10"/>
      <c r="D185" s="10"/>
      <c r="E185" s="10"/>
      <c r="F185" s="15" t="str">
        <f t="shared" si="2"/>
        <v/>
      </c>
      <c r="G185" s="33"/>
    </row>
    <row r="186" spans="1:7" ht="21.75" customHeight="1">
      <c r="A186" s="16"/>
      <c r="B186" s="30"/>
      <c r="C186" s="10"/>
      <c r="D186" s="10"/>
      <c r="E186" s="10"/>
      <c r="F186" s="15" t="str">
        <f t="shared" si="2"/>
        <v/>
      </c>
      <c r="G186" s="33"/>
    </row>
    <row r="187" spans="1:7" ht="21.75" customHeight="1">
      <c r="A187" s="16"/>
      <c r="B187" s="30"/>
      <c r="C187" s="10"/>
      <c r="D187" s="10"/>
      <c r="E187" s="10"/>
      <c r="F187" s="15" t="str">
        <f t="shared" si="2"/>
        <v/>
      </c>
      <c r="G187" s="33"/>
    </row>
    <row r="188" spans="1:7" ht="21.75" customHeight="1">
      <c r="A188" s="16"/>
      <c r="B188" s="30"/>
      <c r="C188" s="10"/>
      <c r="D188" s="10"/>
      <c r="E188" s="10"/>
      <c r="F188" s="15" t="str">
        <f t="shared" si="2"/>
        <v/>
      </c>
      <c r="G188" s="33"/>
    </row>
    <row r="189" spans="1:7" ht="21.75" customHeight="1">
      <c r="A189" s="16"/>
      <c r="B189" s="30"/>
      <c r="C189" s="10"/>
      <c r="D189" s="10"/>
      <c r="E189" s="10"/>
      <c r="F189" s="15" t="str">
        <f t="shared" si="2"/>
        <v/>
      </c>
      <c r="G189" s="33"/>
    </row>
    <row r="190" spans="1:7" ht="21.75" customHeight="1">
      <c r="A190" s="16"/>
      <c r="B190" s="30"/>
      <c r="C190" s="10"/>
      <c r="D190" s="10"/>
      <c r="E190" s="10"/>
      <c r="F190" s="15" t="str">
        <f t="shared" si="2"/>
        <v/>
      </c>
      <c r="G190" s="33"/>
    </row>
    <row r="191" spans="1:7" ht="21.75" customHeight="1">
      <c r="A191" s="16"/>
      <c r="B191" s="30"/>
      <c r="C191" s="10"/>
      <c r="D191" s="10"/>
      <c r="E191" s="10"/>
      <c r="F191" s="15" t="str">
        <f t="shared" si="2"/>
        <v/>
      </c>
      <c r="G191" s="33"/>
    </row>
    <row r="192" spans="1:7" ht="21.75" customHeight="1">
      <c r="A192" s="16"/>
      <c r="B192" s="30"/>
      <c r="C192" s="10"/>
      <c r="D192" s="10"/>
      <c r="E192" s="10"/>
      <c r="F192" s="15" t="str">
        <f t="shared" si="2"/>
        <v/>
      </c>
      <c r="G192" s="33"/>
    </row>
    <row r="193" spans="1:7" ht="21.75" customHeight="1">
      <c r="A193" s="16"/>
      <c r="B193" s="30"/>
      <c r="C193" s="10"/>
      <c r="D193" s="10"/>
      <c r="E193" s="10"/>
      <c r="F193" s="15" t="str">
        <f t="shared" si="2"/>
        <v/>
      </c>
      <c r="G193" s="33"/>
    </row>
    <row r="194" spans="1:7" ht="21.75" customHeight="1">
      <c r="A194" s="16"/>
      <c r="B194" s="30"/>
      <c r="C194" s="10"/>
      <c r="D194" s="10"/>
      <c r="E194" s="10"/>
      <c r="F194" s="15" t="str">
        <f t="shared" si="2"/>
        <v/>
      </c>
      <c r="G194" s="33"/>
    </row>
    <row r="195" spans="1:7" ht="21.75" customHeight="1">
      <c r="A195" s="16"/>
      <c r="B195" s="30"/>
      <c r="C195" s="10"/>
      <c r="D195" s="10"/>
      <c r="E195" s="10"/>
      <c r="F195" s="15" t="str">
        <f t="shared" si="2"/>
        <v/>
      </c>
      <c r="G195" s="33"/>
    </row>
    <row r="196" spans="1:7" ht="21.75" customHeight="1">
      <c r="A196" s="16"/>
      <c r="B196" s="30"/>
      <c r="C196" s="10"/>
      <c r="D196" s="10"/>
      <c r="E196" s="10"/>
      <c r="F196" s="15" t="str">
        <f t="shared" si="2"/>
        <v/>
      </c>
      <c r="G196" s="33"/>
    </row>
    <row r="197" spans="1:7" ht="21.75" customHeight="1">
      <c r="A197" s="16"/>
      <c r="B197" s="30"/>
      <c r="C197" s="10"/>
      <c r="D197" s="10"/>
      <c r="E197" s="10"/>
      <c r="F197" s="15" t="str">
        <f t="shared" si="2"/>
        <v/>
      </c>
      <c r="G197" s="33"/>
    </row>
    <row r="198" spans="1:7" ht="21.75" customHeight="1">
      <c r="A198" s="16"/>
      <c r="B198" s="30"/>
      <c r="C198" s="10"/>
      <c r="D198" s="10"/>
      <c r="E198" s="10"/>
      <c r="F198" s="15" t="str">
        <f t="shared" ref="F198:F261" si="3">IF(C198="","",C198-D198-E198)</f>
        <v/>
      </c>
      <c r="G198" s="33"/>
    </row>
    <row r="199" spans="1:7" ht="21.75" customHeight="1">
      <c r="A199" s="16"/>
      <c r="B199" s="30"/>
      <c r="C199" s="10"/>
      <c r="D199" s="10"/>
      <c r="E199" s="10"/>
      <c r="F199" s="15" t="str">
        <f t="shared" si="3"/>
        <v/>
      </c>
      <c r="G199" s="33"/>
    </row>
    <row r="200" spans="1:7" ht="21.75" customHeight="1">
      <c r="A200" s="16"/>
      <c r="B200" s="30"/>
      <c r="C200" s="10"/>
      <c r="D200" s="10"/>
      <c r="E200" s="10"/>
      <c r="F200" s="15" t="str">
        <f t="shared" si="3"/>
        <v/>
      </c>
      <c r="G200" s="33"/>
    </row>
    <row r="201" spans="1:7" ht="21.75" customHeight="1">
      <c r="A201" s="16"/>
      <c r="B201" s="30"/>
      <c r="C201" s="10"/>
      <c r="D201" s="10"/>
      <c r="E201" s="10"/>
      <c r="F201" s="15" t="str">
        <f t="shared" si="3"/>
        <v/>
      </c>
      <c r="G201" s="33"/>
    </row>
    <row r="202" spans="1:7" ht="21.75" customHeight="1">
      <c r="A202" s="16"/>
      <c r="B202" s="30"/>
      <c r="C202" s="10"/>
      <c r="D202" s="10"/>
      <c r="E202" s="10"/>
      <c r="F202" s="15" t="str">
        <f t="shared" si="3"/>
        <v/>
      </c>
      <c r="G202" s="33"/>
    </row>
    <row r="203" spans="1:7" ht="21.75" customHeight="1">
      <c r="A203" s="16"/>
      <c r="B203" s="30"/>
      <c r="C203" s="10"/>
      <c r="D203" s="10"/>
      <c r="E203" s="10"/>
      <c r="F203" s="15" t="str">
        <f t="shared" si="3"/>
        <v/>
      </c>
      <c r="G203" s="33"/>
    </row>
    <row r="204" spans="1:7" ht="21.75" customHeight="1">
      <c r="A204" s="16"/>
      <c r="B204" s="30"/>
      <c r="C204" s="10"/>
      <c r="D204" s="10"/>
      <c r="E204" s="10"/>
      <c r="F204" s="15" t="str">
        <f t="shared" si="3"/>
        <v/>
      </c>
      <c r="G204" s="33"/>
    </row>
    <row r="205" spans="1:7" ht="21.75" customHeight="1">
      <c r="A205" s="16"/>
      <c r="B205" s="30"/>
      <c r="C205" s="10"/>
      <c r="D205" s="10"/>
      <c r="E205" s="10"/>
      <c r="F205" s="15" t="str">
        <f t="shared" si="3"/>
        <v/>
      </c>
      <c r="G205" s="33"/>
    </row>
    <row r="206" spans="1:7" ht="21.75" customHeight="1">
      <c r="A206" s="16"/>
      <c r="B206" s="30"/>
      <c r="C206" s="10"/>
      <c r="D206" s="10"/>
      <c r="E206" s="10"/>
      <c r="F206" s="15" t="str">
        <f t="shared" si="3"/>
        <v/>
      </c>
      <c r="G206" s="33"/>
    </row>
    <row r="207" spans="1:7" ht="21.75" customHeight="1">
      <c r="A207" s="16"/>
      <c r="B207" s="30"/>
      <c r="C207" s="10"/>
      <c r="D207" s="10"/>
      <c r="E207" s="10"/>
      <c r="F207" s="15" t="str">
        <f t="shared" si="3"/>
        <v/>
      </c>
      <c r="G207" s="33"/>
    </row>
    <row r="208" spans="1:7" ht="21.75" customHeight="1">
      <c r="A208" s="16"/>
      <c r="B208" s="30"/>
      <c r="C208" s="10"/>
      <c r="D208" s="10"/>
      <c r="E208" s="10"/>
      <c r="F208" s="15" t="str">
        <f t="shared" si="3"/>
        <v/>
      </c>
      <c r="G208" s="33"/>
    </row>
    <row r="209" spans="1:7" ht="21.75" customHeight="1">
      <c r="A209" s="16"/>
      <c r="B209" s="30"/>
      <c r="C209" s="10"/>
      <c r="D209" s="10"/>
      <c r="E209" s="10"/>
      <c r="F209" s="15" t="str">
        <f t="shared" si="3"/>
        <v/>
      </c>
      <c r="G209" s="33"/>
    </row>
    <row r="210" spans="1:7" ht="21.75" customHeight="1">
      <c r="A210" s="16"/>
      <c r="B210" s="30"/>
      <c r="C210" s="10"/>
      <c r="D210" s="10"/>
      <c r="E210" s="10"/>
      <c r="F210" s="15" t="str">
        <f t="shared" si="3"/>
        <v/>
      </c>
      <c r="G210" s="33"/>
    </row>
    <row r="211" spans="1:7" ht="21.75" customHeight="1">
      <c r="A211" s="16"/>
      <c r="B211" s="30"/>
      <c r="C211" s="10"/>
      <c r="D211" s="10"/>
      <c r="E211" s="10"/>
      <c r="F211" s="15" t="str">
        <f t="shared" si="3"/>
        <v/>
      </c>
      <c r="G211" s="33"/>
    </row>
    <row r="212" spans="1:7" ht="21.75" customHeight="1">
      <c r="A212" s="16"/>
      <c r="B212" s="30"/>
      <c r="C212" s="10"/>
      <c r="D212" s="10"/>
      <c r="E212" s="10"/>
      <c r="F212" s="15" t="str">
        <f t="shared" si="3"/>
        <v/>
      </c>
      <c r="G212" s="33"/>
    </row>
    <row r="213" spans="1:7" ht="21.75" customHeight="1">
      <c r="A213" s="16"/>
      <c r="B213" s="30"/>
      <c r="C213" s="10"/>
      <c r="D213" s="10"/>
      <c r="E213" s="10"/>
      <c r="F213" s="15" t="str">
        <f t="shared" si="3"/>
        <v/>
      </c>
      <c r="G213" s="33"/>
    </row>
    <row r="214" spans="1:7" ht="21.75" customHeight="1">
      <c r="A214" s="16"/>
      <c r="B214" s="30"/>
      <c r="C214" s="10"/>
      <c r="D214" s="10"/>
      <c r="E214" s="10"/>
      <c r="F214" s="15" t="str">
        <f t="shared" si="3"/>
        <v/>
      </c>
      <c r="G214" s="33"/>
    </row>
    <row r="215" spans="1:7" ht="21.75" customHeight="1">
      <c r="A215" s="16"/>
      <c r="B215" s="30"/>
      <c r="C215" s="10"/>
      <c r="D215" s="10"/>
      <c r="E215" s="10"/>
      <c r="F215" s="15" t="str">
        <f t="shared" si="3"/>
        <v/>
      </c>
      <c r="G215" s="33"/>
    </row>
    <row r="216" spans="1:7" ht="21.75" customHeight="1">
      <c r="A216" s="16"/>
      <c r="B216" s="30"/>
      <c r="C216" s="10"/>
      <c r="D216" s="10"/>
      <c r="E216" s="10"/>
      <c r="F216" s="15" t="str">
        <f t="shared" si="3"/>
        <v/>
      </c>
      <c r="G216" s="33"/>
    </row>
    <row r="217" spans="1:7" ht="21.75" customHeight="1">
      <c r="A217" s="16"/>
      <c r="B217" s="30"/>
      <c r="C217" s="10"/>
      <c r="D217" s="10"/>
      <c r="E217" s="10"/>
      <c r="F217" s="15" t="str">
        <f t="shared" si="3"/>
        <v/>
      </c>
      <c r="G217" s="33"/>
    </row>
    <row r="218" spans="1:7" ht="21.75" customHeight="1">
      <c r="A218" s="16"/>
      <c r="B218" s="30"/>
      <c r="C218" s="10"/>
      <c r="D218" s="10"/>
      <c r="E218" s="10"/>
      <c r="F218" s="15" t="str">
        <f t="shared" si="3"/>
        <v/>
      </c>
      <c r="G218" s="33"/>
    </row>
    <row r="219" spans="1:7" ht="21.75" customHeight="1">
      <c r="A219" s="16"/>
      <c r="B219" s="30"/>
      <c r="C219" s="10"/>
      <c r="D219" s="10"/>
      <c r="E219" s="10"/>
      <c r="F219" s="15" t="str">
        <f t="shared" si="3"/>
        <v/>
      </c>
      <c r="G219" s="33"/>
    </row>
    <row r="220" spans="1:7" ht="21.75" customHeight="1">
      <c r="A220" s="16"/>
      <c r="B220" s="30"/>
      <c r="C220" s="10"/>
      <c r="D220" s="10"/>
      <c r="E220" s="10"/>
      <c r="F220" s="15" t="str">
        <f t="shared" si="3"/>
        <v/>
      </c>
      <c r="G220" s="33"/>
    </row>
    <row r="221" spans="1:7" ht="21.75" customHeight="1">
      <c r="A221" s="16"/>
      <c r="B221" s="30"/>
      <c r="C221" s="10"/>
      <c r="D221" s="10"/>
      <c r="E221" s="10"/>
      <c r="F221" s="15" t="str">
        <f t="shared" si="3"/>
        <v/>
      </c>
      <c r="G221" s="33"/>
    </row>
    <row r="222" spans="1:7" ht="21.75" customHeight="1">
      <c r="A222" s="16"/>
      <c r="B222" s="30"/>
      <c r="C222" s="10"/>
      <c r="D222" s="10"/>
      <c r="E222" s="10"/>
      <c r="F222" s="15" t="str">
        <f t="shared" si="3"/>
        <v/>
      </c>
      <c r="G222" s="33"/>
    </row>
    <row r="223" spans="1:7" ht="21.75" customHeight="1">
      <c r="A223" s="16"/>
      <c r="B223" s="30"/>
      <c r="C223" s="10"/>
      <c r="D223" s="10"/>
      <c r="E223" s="10"/>
      <c r="F223" s="15" t="str">
        <f t="shared" si="3"/>
        <v/>
      </c>
      <c r="G223" s="33"/>
    </row>
    <row r="224" spans="1:7" ht="21.75" customHeight="1">
      <c r="A224" s="16"/>
      <c r="B224" s="30"/>
      <c r="C224" s="10"/>
      <c r="D224" s="10"/>
      <c r="E224" s="10"/>
      <c r="F224" s="15" t="str">
        <f t="shared" si="3"/>
        <v/>
      </c>
      <c r="G224" s="33"/>
    </row>
    <row r="225" spans="1:7" ht="21.75" customHeight="1">
      <c r="A225" s="16"/>
      <c r="B225" s="30"/>
      <c r="C225" s="10"/>
      <c r="D225" s="10"/>
      <c r="E225" s="10"/>
      <c r="F225" s="15" t="str">
        <f t="shared" si="3"/>
        <v/>
      </c>
      <c r="G225" s="33"/>
    </row>
    <row r="226" spans="1:7" ht="21.75" customHeight="1">
      <c r="A226" s="16"/>
      <c r="B226" s="30"/>
      <c r="C226" s="10"/>
      <c r="D226" s="10"/>
      <c r="E226" s="10"/>
      <c r="F226" s="15" t="str">
        <f t="shared" si="3"/>
        <v/>
      </c>
      <c r="G226" s="33"/>
    </row>
    <row r="227" spans="1:7" ht="21.75" customHeight="1">
      <c r="A227" s="16"/>
      <c r="B227" s="30"/>
      <c r="C227" s="10"/>
      <c r="D227" s="10"/>
      <c r="E227" s="10"/>
      <c r="F227" s="15" t="str">
        <f t="shared" si="3"/>
        <v/>
      </c>
      <c r="G227" s="33"/>
    </row>
    <row r="228" spans="1:7" ht="21.75" customHeight="1">
      <c r="A228" s="16"/>
      <c r="B228" s="30"/>
      <c r="C228" s="10"/>
      <c r="D228" s="10"/>
      <c r="E228" s="10"/>
      <c r="F228" s="15" t="str">
        <f t="shared" si="3"/>
        <v/>
      </c>
      <c r="G228" s="33"/>
    </row>
    <row r="229" spans="1:7" ht="21.75" customHeight="1">
      <c r="A229" s="16"/>
      <c r="B229" s="30"/>
      <c r="C229" s="10"/>
      <c r="D229" s="10"/>
      <c r="E229" s="10"/>
      <c r="F229" s="15" t="str">
        <f t="shared" si="3"/>
        <v/>
      </c>
      <c r="G229" s="33"/>
    </row>
    <row r="230" spans="1:7" ht="21.75" customHeight="1">
      <c r="A230" s="16"/>
      <c r="B230" s="30"/>
      <c r="C230" s="10"/>
      <c r="D230" s="10"/>
      <c r="E230" s="10"/>
      <c r="F230" s="15" t="str">
        <f t="shared" si="3"/>
        <v/>
      </c>
      <c r="G230" s="33"/>
    </row>
    <row r="231" spans="1:7" ht="21.75" customHeight="1">
      <c r="A231" s="16"/>
      <c r="B231" s="30"/>
      <c r="C231" s="10"/>
      <c r="D231" s="10"/>
      <c r="E231" s="10"/>
      <c r="F231" s="15" t="str">
        <f t="shared" si="3"/>
        <v/>
      </c>
      <c r="G231" s="33"/>
    </row>
    <row r="232" spans="1:7" ht="21.75" customHeight="1">
      <c r="A232" s="16"/>
      <c r="B232" s="30"/>
      <c r="C232" s="10"/>
      <c r="D232" s="10"/>
      <c r="E232" s="10"/>
      <c r="F232" s="15" t="str">
        <f t="shared" si="3"/>
        <v/>
      </c>
      <c r="G232" s="33"/>
    </row>
    <row r="233" spans="1:7" ht="21.75" customHeight="1">
      <c r="A233" s="16"/>
      <c r="B233" s="30"/>
      <c r="C233" s="10"/>
      <c r="D233" s="10"/>
      <c r="E233" s="10"/>
      <c r="F233" s="15" t="str">
        <f t="shared" si="3"/>
        <v/>
      </c>
      <c r="G233" s="33"/>
    </row>
    <row r="234" spans="1:7" ht="21.75" customHeight="1">
      <c r="A234" s="16"/>
      <c r="B234" s="30"/>
      <c r="C234" s="10"/>
      <c r="D234" s="10"/>
      <c r="E234" s="10"/>
      <c r="F234" s="15" t="str">
        <f t="shared" si="3"/>
        <v/>
      </c>
      <c r="G234" s="33"/>
    </row>
    <row r="235" spans="1:7" ht="21.75" customHeight="1">
      <c r="A235" s="16"/>
      <c r="B235" s="30"/>
      <c r="C235" s="10"/>
      <c r="D235" s="10"/>
      <c r="E235" s="10"/>
      <c r="F235" s="15" t="str">
        <f t="shared" si="3"/>
        <v/>
      </c>
      <c r="G235" s="33"/>
    </row>
    <row r="236" spans="1:7" ht="21.75" customHeight="1">
      <c r="A236" s="16"/>
      <c r="B236" s="30"/>
      <c r="C236" s="10"/>
      <c r="D236" s="10"/>
      <c r="E236" s="10"/>
      <c r="F236" s="15" t="str">
        <f t="shared" si="3"/>
        <v/>
      </c>
      <c r="G236" s="33"/>
    </row>
    <row r="237" spans="1:7" ht="21.75" customHeight="1">
      <c r="A237" s="16"/>
      <c r="B237" s="30"/>
      <c r="C237" s="10"/>
      <c r="D237" s="10"/>
      <c r="E237" s="10"/>
      <c r="F237" s="15" t="str">
        <f t="shared" si="3"/>
        <v/>
      </c>
      <c r="G237" s="33"/>
    </row>
    <row r="238" spans="1:7" ht="21.75" customHeight="1">
      <c r="A238" s="16"/>
      <c r="B238" s="30"/>
      <c r="C238" s="10"/>
      <c r="D238" s="10"/>
      <c r="E238" s="10"/>
      <c r="F238" s="15" t="str">
        <f t="shared" si="3"/>
        <v/>
      </c>
      <c r="G238" s="33"/>
    </row>
    <row r="239" spans="1:7" ht="21.75" customHeight="1">
      <c r="A239" s="16"/>
      <c r="B239" s="30"/>
      <c r="C239" s="10"/>
      <c r="D239" s="10"/>
      <c r="E239" s="10"/>
      <c r="F239" s="15" t="str">
        <f t="shared" si="3"/>
        <v/>
      </c>
      <c r="G239" s="33"/>
    </row>
    <row r="240" spans="1:7" ht="21.75" customHeight="1">
      <c r="A240" s="16"/>
      <c r="B240" s="30"/>
      <c r="C240" s="10"/>
      <c r="D240" s="10"/>
      <c r="E240" s="10"/>
      <c r="F240" s="15" t="str">
        <f t="shared" si="3"/>
        <v/>
      </c>
      <c r="G240" s="33"/>
    </row>
    <row r="241" spans="1:7" ht="21.75" customHeight="1">
      <c r="A241" s="16"/>
      <c r="B241" s="30"/>
      <c r="C241" s="10"/>
      <c r="D241" s="10"/>
      <c r="E241" s="10"/>
      <c r="F241" s="15" t="str">
        <f t="shared" si="3"/>
        <v/>
      </c>
      <c r="G241" s="33"/>
    </row>
    <row r="242" spans="1:7" ht="21.75" customHeight="1">
      <c r="A242" s="16"/>
      <c r="B242" s="30"/>
      <c r="C242" s="10"/>
      <c r="D242" s="10"/>
      <c r="E242" s="10"/>
      <c r="F242" s="15" t="str">
        <f t="shared" si="3"/>
        <v/>
      </c>
      <c r="G242" s="33"/>
    </row>
    <row r="243" spans="1:7" ht="21.75" customHeight="1">
      <c r="A243" s="16"/>
      <c r="B243" s="30"/>
      <c r="C243" s="10"/>
      <c r="D243" s="10"/>
      <c r="E243" s="10"/>
      <c r="F243" s="15" t="str">
        <f t="shared" si="3"/>
        <v/>
      </c>
      <c r="G243" s="33"/>
    </row>
    <row r="244" spans="1:7" ht="21.75" customHeight="1">
      <c r="A244" s="16"/>
      <c r="B244" s="30"/>
      <c r="C244" s="10"/>
      <c r="D244" s="10"/>
      <c r="E244" s="10"/>
      <c r="F244" s="15" t="str">
        <f t="shared" si="3"/>
        <v/>
      </c>
      <c r="G244" s="33"/>
    </row>
    <row r="245" spans="1:7" ht="21.75" customHeight="1">
      <c r="A245" s="16"/>
      <c r="B245" s="30"/>
      <c r="C245" s="10"/>
      <c r="D245" s="10"/>
      <c r="E245" s="10"/>
      <c r="F245" s="15" t="str">
        <f t="shared" si="3"/>
        <v/>
      </c>
      <c r="G245" s="33"/>
    </row>
  </sheetData>
  <autoFilter ref="A5:G245" xr:uid="{00000000-0009-0000-0000-000006000000}"/>
  <mergeCells count="2">
    <mergeCell ref="A1:G2"/>
    <mergeCell ref="A3:G3"/>
  </mergeCells>
  <phoneticPr fontId="29" type="noConversion"/>
  <conditionalFormatting sqref="F6:F245">
    <cfRule type="cellIs" dxfId="1" priority="2" operator="lessThan">
      <formula>0</formula>
    </cfRule>
  </conditionalFormatting>
  <dataValidations count="2">
    <dataValidation type="list" allowBlank="1" showInputMessage="1" showErrorMessage="1" sqref="B6:B245" xr:uid="{00000000-0002-0000-0600-000000000000}">
      <formula1>"VOO,QQQM,SMH"</formula1>
      <formula2>0</formula2>
    </dataValidation>
    <dataValidation type="decimal" operator="greaterThanOrEqual" allowBlank="1" showInputMessage="1" showErrorMessage="1" sqref="C6:E245" xr:uid="{00000000-0002-0000-0600-000001000000}">
      <formula1>0</formula1>
      <formula2>0</formula2>
    </dataValidation>
  </dataValidations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7E8B"/>
    <pageSetUpPr fitToPage="1"/>
  </sheetPr>
  <dimension ref="A1:H5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59765625" defaultRowHeight="21.75" customHeight="1"/>
  <cols>
    <col min="1" max="8" width="22.73046875" customWidth="1"/>
  </cols>
  <sheetData>
    <row r="1" spans="1:8" ht="21.75" customHeight="1">
      <c r="A1" s="8" t="s">
        <v>130</v>
      </c>
      <c r="B1" s="8"/>
      <c r="C1" s="8"/>
      <c r="D1" s="8"/>
      <c r="E1" s="8"/>
      <c r="F1" s="8"/>
      <c r="G1" s="8"/>
      <c r="H1" s="8"/>
    </row>
    <row r="2" spans="1:8" ht="21.75" customHeight="1">
      <c r="A2" s="8"/>
      <c r="B2" s="8"/>
      <c r="C2" s="8"/>
      <c r="D2" s="8"/>
      <c r="E2" s="8"/>
      <c r="F2" s="8"/>
      <c r="G2" s="8"/>
      <c r="H2" s="8"/>
    </row>
    <row r="3" spans="1:8" ht="33.75" customHeight="1">
      <c r="A3" s="7" t="s">
        <v>131</v>
      </c>
      <c r="B3" s="7"/>
      <c r="C3" s="7"/>
      <c r="D3" s="7"/>
      <c r="E3" s="7"/>
      <c r="F3" s="7"/>
      <c r="G3" s="7"/>
      <c r="H3" s="7"/>
    </row>
    <row r="5" spans="1:8" ht="21.75" customHeight="1">
      <c r="A5" s="2" t="s">
        <v>132</v>
      </c>
      <c r="B5" s="2"/>
      <c r="C5" s="2"/>
      <c r="D5" s="2"/>
      <c r="E5" s="2"/>
      <c r="F5" s="2"/>
      <c r="G5" s="2"/>
      <c r="H5" s="2"/>
    </row>
    <row r="6" spans="1:8" ht="30" customHeight="1">
      <c r="A6" s="5" t="s">
        <v>133</v>
      </c>
      <c r="B6" s="5"/>
      <c r="C6" s="5"/>
      <c r="D6" s="5"/>
      <c r="E6" s="5"/>
      <c r="F6" s="5"/>
      <c r="G6" s="5"/>
      <c r="H6" s="5"/>
    </row>
    <row r="7" spans="1:8" ht="30" customHeight="1">
      <c r="A7" s="5"/>
      <c r="B7" s="5"/>
      <c r="C7" s="5"/>
      <c r="D7" s="5"/>
      <c r="E7" s="5"/>
      <c r="F7" s="5"/>
      <c r="G7" s="5"/>
      <c r="H7" s="5"/>
    </row>
    <row r="9" spans="1:8" ht="21.75" customHeight="1">
      <c r="A9" s="2" t="s">
        <v>134</v>
      </c>
      <c r="B9" s="2"/>
      <c r="C9" s="2"/>
      <c r="D9" s="2"/>
      <c r="E9" s="2"/>
      <c r="F9" s="2"/>
      <c r="G9" s="2"/>
      <c r="H9" s="2"/>
    </row>
    <row r="10" spans="1:8" ht="30" customHeight="1">
      <c r="A10" s="5" t="s">
        <v>135</v>
      </c>
      <c r="B10" s="5"/>
      <c r="C10" s="5"/>
      <c r="D10" s="5"/>
      <c r="E10" s="5"/>
      <c r="F10" s="5"/>
      <c r="G10" s="5"/>
      <c r="H10" s="5"/>
    </row>
    <row r="11" spans="1:8" ht="30" customHeight="1">
      <c r="A11" s="5"/>
      <c r="B11" s="5"/>
      <c r="C11" s="5"/>
      <c r="D11" s="5"/>
      <c r="E11" s="5"/>
      <c r="F11" s="5"/>
      <c r="G11" s="5"/>
      <c r="H11" s="5"/>
    </row>
    <row r="13" spans="1:8" ht="21.75" customHeight="1">
      <c r="A13" s="2" t="s">
        <v>136</v>
      </c>
      <c r="B13" s="2"/>
      <c r="C13" s="2"/>
      <c r="D13" s="2"/>
      <c r="E13" s="2"/>
      <c r="F13" s="2"/>
      <c r="G13" s="2"/>
      <c r="H13" s="2"/>
    </row>
    <row r="14" spans="1:8" ht="30" customHeight="1">
      <c r="A14" s="5" t="s">
        <v>137</v>
      </c>
      <c r="B14" s="5"/>
      <c r="C14" s="5"/>
      <c r="D14" s="5"/>
      <c r="E14" s="5"/>
      <c r="F14" s="5"/>
      <c r="G14" s="5"/>
      <c r="H14" s="5"/>
    </row>
    <row r="15" spans="1:8" ht="30" customHeight="1">
      <c r="A15" s="5"/>
      <c r="B15" s="5"/>
      <c r="C15" s="5"/>
      <c r="D15" s="5"/>
      <c r="E15" s="5"/>
      <c r="F15" s="5"/>
      <c r="G15" s="5"/>
      <c r="H15" s="5"/>
    </row>
    <row r="17" spans="1:8" ht="21.75" customHeight="1">
      <c r="A17" s="2" t="s">
        <v>138</v>
      </c>
      <c r="B17" s="2"/>
      <c r="C17" s="2"/>
      <c r="D17" s="2"/>
      <c r="E17" s="2"/>
      <c r="F17" s="2"/>
      <c r="G17" s="2"/>
      <c r="H17" s="2"/>
    </row>
    <row r="18" spans="1:8" ht="30" customHeight="1">
      <c r="A18" s="5" t="s">
        <v>139</v>
      </c>
      <c r="B18" s="5"/>
      <c r="C18" s="5"/>
      <c r="D18" s="5"/>
      <c r="E18" s="5"/>
      <c r="F18" s="5"/>
      <c r="G18" s="5"/>
      <c r="H18" s="5"/>
    </row>
    <row r="19" spans="1:8" ht="30" customHeight="1">
      <c r="A19" s="5"/>
      <c r="B19" s="5"/>
      <c r="C19" s="5"/>
      <c r="D19" s="5"/>
      <c r="E19" s="5"/>
      <c r="F19" s="5"/>
      <c r="G19" s="5"/>
      <c r="H19" s="5"/>
    </row>
    <row r="21" spans="1:8" ht="21.75" customHeight="1">
      <c r="A21" s="2" t="s">
        <v>140</v>
      </c>
      <c r="B21" s="2"/>
      <c r="C21" s="2"/>
      <c r="D21" s="2"/>
      <c r="E21" s="2"/>
      <c r="F21" s="2"/>
      <c r="G21" s="2"/>
      <c r="H21" s="2"/>
    </row>
    <row r="22" spans="1:8" ht="30" customHeight="1">
      <c r="A22" s="5" t="s">
        <v>141</v>
      </c>
      <c r="B22" s="5"/>
      <c r="C22" s="5"/>
      <c r="D22" s="5"/>
      <c r="E22" s="5"/>
      <c r="F22" s="5"/>
      <c r="G22" s="5"/>
      <c r="H22" s="5"/>
    </row>
    <row r="23" spans="1:8" ht="30" customHeight="1">
      <c r="A23" s="5"/>
      <c r="B23" s="5"/>
      <c r="C23" s="5"/>
      <c r="D23" s="5"/>
      <c r="E23" s="5"/>
      <c r="F23" s="5"/>
      <c r="G23" s="5"/>
      <c r="H23" s="5"/>
    </row>
    <row r="25" spans="1:8" ht="21.75" customHeight="1">
      <c r="A25" s="2" t="s">
        <v>142</v>
      </c>
      <c r="B25" s="2"/>
      <c r="C25" s="2"/>
      <c r="D25" s="2"/>
      <c r="E25" s="2"/>
      <c r="F25" s="2"/>
      <c r="G25" s="2"/>
      <c r="H25" s="2"/>
    </row>
    <row r="26" spans="1:8" ht="30" customHeight="1">
      <c r="A26" s="5" t="s">
        <v>143</v>
      </c>
      <c r="B26" s="5"/>
      <c r="C26" s="5"/>
      <c r="D26" s="5"/>
      <c r="E26" s="5"/>
      <c r="F26" s="5"/>
      <c r="G26" s="5"/>
      <c r="H26" s="5"/>
    </row>
    <row r="27" spans="1:8" ht="30" customHeight="1">
      <c r="A27" s="5"/>
      <c r="B27" s="5"/>
      <c r="C27" s="5"/>
      <c r="D27" s="5"/>
      <c r="E27" s="5"/>
      <c r="F27" s="5"/>
      <c r="G27" s="5"/>
      <c r="H27" s="5"/>
    </row>
    <row r="29" spans="1:8" ht="21.75" customHeight="1">
      <c r="A29" s="2" t="s">
        <v>144</v>
      </c>
      <c r="B29" s="2"/>
      <c r="C29" s="2"/>
      <c r="D29" s="2"/>
      <c r="E29" s="2"/>
      <c r="F29" s="2"/>
      <c r="G29" s="2"/>
      <c r="H29" s="2"/>
    </row>
    <row r="30" spans="1:8" ht="30" customHeight="1">
      <c r="A30" s="5" t="s">
        <v>145</v>
      </c>
      <c r="B30" s="5"/>
      <c r="C30" s="5"/>
      <c r="D30" s="5"/>
      <c r="E30" s="5"/>
      <c r="F30" s="5"/>
      <c r="G30" s="5"/>
      <c r="H30" s="5"/>
    </row>
    <row r="31" spans="1:8" ht="30" customHeight="1">
      <c r="A31" s="5"/>
      <c r="B31" s="5"/>
      <c r="C31" s="5"/>
      <c r="D31" s="5"/>
      <c r="E31" s="5"/>
      <c r="F31" s="5"/>
      <c r="G31" s="5"/>
      <c r="H31" s="5"/>
    </row>
    <row r="33" spans="1:8" ht="21.75" customHeight="1">
      <c r="A33" s="2" t="s">
        <v>146</v>
      </c>
      <c r="B33" s="2"/>
      <c r="C33" s="2"/>
      <c r="D33" s="2"/>
      <c r="E33" s="2"/>
      <c r="F33" s="2"/>
      <c r="G33" s="2"/>
      <c r="H33" s="2"/>
    </row>
    <row r="34" spans="1:8" ht="30" customHeight="1">
      <c r="A34" s="5" t="s">
        <v>147</v>
      </c>
      <c r="B34" s="5"/>
      <c r="C34" s="5"/>
      <c r="D34" s="5"/>
      <c r="E34" s="5"/>
      <c r="F34" s="5"/>
      <c r="G34" s="5"/>
      <c r="H34" s="5"/>
    </row>
    <row r="35" spans="1:8" ht="30" customHeight="1">
      <c r="A35" s="5"/>
      <c r="B35" s="5"/>
      <c r="C35" s="5"/>
      <c r="D35" s="5"/>
      <c r="E35" s="5"/>
      <c r="F35" s="5"/>
      <c r="G35" s="5"/>
      <c r="H35" s="5"/>
    </row>
    <row r="37" spans="1:8" ht="21.75" customHeight="1">
      <c r="A37" s="2" t="s">
        <v>148</v>
      </c>
      <c r="B37" s="2"/>
      <c r="C37" s="2"/>
      <c r="D37" s="2"/>
      <c r="E37" s="2"/>
      <c r="F37" s="2"/>
      <c r="G37" s="2"/>
      <c r="H37" s="2"/>
    </row>
    <row r="38" spans="1:8" ht="30" customHeight="1">
      <c r="A38" s="5" t="s">
        <v>149</v>
      </c>
      <c r="B38" s="5"/>
      <c r="C38" s="5"/>
      <c r="D38" s="5"/>
      <c r="E38" s="5"/>
      <c r="F38" s="5"/>
      <c r="G38" s="5"/>
      <c r="H38" s="5"/>
    </row>
    <row r="39" spans="1:8" ht="30" customHeight="1">
      <c r="A39" s="5"/>
      <c r="B39" s="5"/>
      <c r="C39" s="5"/>
      <c r="D39" s="5"/>
      <c r="E39" s="5"/>
      <c r="F39" s="5"/>
      <c r="G39" s="5"/>
      <c r="H39" s="5"/>
    </row>
    <row r="41" spans="1:8" ht="21.75" customHeight="1">
      <c r="A41" s="2" t="s">
        <v>150</v>
      </c>
      <c r="B41" s="2"/>
      <c r="C41" s="2"/>
      <c r="D41" s="2"/>
      <c r="E41" s="2"/>
      <c r="F41" s="2"/>
      <c r="G41" s="2"/>
      <c r="H41" s="2"/>
    </row>
    <row r="42" spans="1:8" ht="30" customHeight="1">
      <c r="A42" s="5" t="s">
        <v>151</v>
      </c>
      <c r="B42" s="5"/>
      <c r="C42" s="5"/>
      <c r="D42" s="5"/>
      <c r="E42" s="5"/>
      <c r="F42" s="5"/>
      <c r="G42" s="5"/>
      <c r="H42" s="5"/>
    </row>
    <row r="43" spans="1:8" ht="30" customHeight="1">
      <c r="A43" s="5"/>
      <c r="B43" s="5"/>
      <c r="C43" s="5"/>
      <c r="D43" s="5"/>
      <c r="E43" s="5"/>
      <c r="F43" s="5"/>
      <c r="G43" s="5"/>
      <c r="H43" s="5"/>
    </row>
    <row r="45" spans="1:8" ht="21.75" customHeight="1">
      <c r="A45" s="2" t="s">
        <v>152</v>
      </c>
      <c r="B45" s="2"/>
      <c r="C45" s="2"/>
      <c r="D45" s="2"/>
      <c r="E45" s="2"/>
      <c r="F45" s="2"/>
      <c r="G45" s="2"/>
      <c r="H45" s="2"/>
    </row>
    <row r="46" spans="1:8" ht="30" customHeight="1">
      <c r="A46" s="1" t="s">
        <v>153</v>
      </c>
      <c r="B46" s="1"/>
      <c r="C46" s="1"/>
      <c r="D46" s="1"/>
      <c r="E46" s="1"/>
      <c r="F46" s="1"/>
      <c r="G46" s="1"/>
      <c r="H46" s="1"/>
    </row>
    <row r="47" spans="1:8" ht="30" customHeight="1">
      <c r="A47" s="1"/>
      <c r="B47" s="1"/>
      <c r="C47" s="1"/>
      <c r="D47" s="1"/>
      <c r="E47" s="1"/>
      <c r="F47" s="1"/>
      <c r="G47" s="1"/>
      <c r="H47" s="1"/>
    </row>
    <row r="49" spans="1:8" ht="17.25" customHeight="1">
      <c r="A49" s="2" t="s">
        <v>154</v>
      </c>
      <c r="B49" s="2"/>
      <c r="C49" s="2"/>
      <c r="D49" s="2"/>
      <c r="E49" s="2"/>
      <c r="F49" s="2"/>
      <c r="G49" s="2"/>
      <c r="H49" s="2"/>
    </row>
    <row r="50" spans="1:8" ht="24.75" customHeight="1">
      <c r="A50" s="5" t="s">
        <v>155</v>
      </c>
      <c r="B50" s="5"/>
      <c r="C50" s="5"/>
      <c r="D50" s="5"/>
      <c r="E50" s="5"/>
      <c r="F50" s="5"/>
      <c r="G50" s="5"/>
      <c r="H50" s="5"/>
    </row>
    <row r="51" spans="1:8" ht="24.75" customHeight="1">
      <c r="A51" s="5"/>
      <c r="B51" s="5"/>
      <c r="C51" s="5"/>
      <c r="D51" s="5"/>
      <c r="E51" s="5"/>
      <c r="F51" s="5"/>
      <c r="G51" s="5"/>
      <c r="H51" s="5"/>
    </row>
    <row r="52" spans="1:8" ht="24.75" customHeight="1">
      <c r="A52" s="5"/>
      <c r="B52" s="5"/>
      <c r="C52" s="5"/>
      <c r="D52" s="5"/>
      <c r="E52" s="5"/>
      <c r="F52" s="5"/>
      <c r="G52" s="5"/>
      <c r="H52" s="5"/>
    </row>
  </sheetData>
  <mergeCells count="26">
    <mergeCell ref="A50:H52"/>
    <mergeCell ref="A41:H41"/>
    <mergeCell ref="A42:H43"/>
    <mergeCell ref="A45:H45"/>
    <mergeCell ref="A46:H47"/>
    <mergeCell ref="A49:H49"/>
    <mergeCell ref="A30:H31"/>
    <mergeCell ref="A33:H33"/>
    <mergeCell ref="A34:H35"/>
    <mergeCell ref="A37:H37"/>
    <mergeCell ref="A38:H39"/>
    <mergeCell ref="A21:H21"/>
    <mergeCell ref="A22:H23"/>
    <mergeCell ref="A25:H25"/>
    <mergeCell ref="A26:H27"/>
    <mergeCell ref="A29:H29"/>
    <mergeCell ref="A10:H11"/>
    <mergeCell ref="A13:H13"/>
    <mergeCell ref="A14:H15"/>
    <mergeCell ref="A17:H17"/>
    <mergeCell ref="A18:H19"/>
    <mergeCell ref="A1:H2"/>
    <mergeCell ref="A3:H3"/>
    <mergeCell ref="A5:H5"/>
    <mergeCell ref="A6:H7"/>
    <mergeCell ref="A9:H9"/>
  </mergeCells>
  <phoneticPr fontId="29" type="noConversion"/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7E8B"/>
    <pageSetUpPr fitToPage="1"/>
  </sheetPr>
  <dimension ref="A1:T24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11" sqref="D11"/>
    </sheetView>
  </sheetViews>
  <sheetFormatPr defaultColWidth="8.59765625" defaultRowHeight="21.75" customHeight="1"/>
  <cols>
    <col min="1" max="2" width="15.73046875" customWidth="1"/>
    <col min="3" max="18" width="18.73046875" customWidth="1"/>
    <col min="19" max="19" width="30.73046875" customWidth="1"/>
    <col min="20" max="20" width="35.73046875" customWidth="1"/>
  </cols>
  <sheetData>
    <row r="1" spans="1:20" ht="21.75" customHeight="1">
      <c r="A1" s="8" t="s">
        <v>113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ht="21.7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33.75" customHeight="1">
      <c r="A3" s="7" t="s">
        <v>156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5" spans="1:20" ht="42" customHeight="1">
      <c r="A5" s="12" t="s">
        <v>157</v>
      </c>
      <c r="B5" s="12" t="s">
        <v>158</v>
      </c>
      <c r="C5" s="12" t="s">
        <v>159</v>
      </c>
      <c r="D5" s="12" t="s">
        <v>160</v>
      </c>
      <c r="E5" s="12" t="s">
        <v>161</v>
      </c>
      <c r="F5" s="12" t="s">
        <v>162</v>
      </c>
      <c r="G5" s="12" t="s">
        <v>163</v>
      </c>
      <c r="H5" s="12" t="s">
        <v>164</v>
      </c>
      <c r="I5" s="12" t="s">
        <v>165</v>
      </c>
      <c r="J5" s="12" t="s">
        <v>166</v>
      </c>
      <c r="K5" s="12" t="s">
        <v>167</v>
      </c>
      <c r="L5" s="12" t="s">
        <v>168</v>
      </c>
      <c r="M5" s="12" t="s">
        <v>169</v>
      </c>
      <c r="N5" s="12" t="s">
        <v>170</v>
      </c>
      <c r="O5" s="12" t="s">
        <v>171</v>
      </c>
      <c r="P5" s="12" t="s">
        <v>172</v>
      </c>
      <c r="Q5" s="12" t="s">
        <v>173</v>
      </c>
      <c r="R5" s="12" t="s">
        <v>174</v>
      </c>
      <c r="S5" s="12" t="s">
        <v>84</v>
      </c>
      <c r="T5" s="12" t="s">
        <v>60</v>
      </c>
    </row>
    <row r="6" spans="1:20" ht="21.75" customHeight="1">
      <c r="A6" s="16">
        <v>46273</v>
      </c>
      <c r="B6" s="33">
        <v>1</v>
      </c>
      <c r="C6" s="10"/>
      <c r="D6" s="10"/>
      <c r="E6" s="10"/>
      <c r="F6" s="10"/>
      <c r="G6" s="10"/>
      <c r="H6" s="10"/>
      <c r="I6" s="10"/>
      <c r="J6" s="10"/>
      <c r="K6" s="16"/>
      <c r="L6" s="15" t="str">
        <f t="shared" ref="L6:L69" si="0">IF(OR(C6="",D6="",D6&lt;=0),"",C6/D6)</f>
        <v/>
      </c>
      <c r="M6" s="15" t="str">
        <f t="shared" ref="M6:M69" si="1">IF(OR(F6="",G6=""),"",F6-G6)</f>
        <v/>
      </c>
      <c r="N6" s="15" t="str">
        <f t="shared" ref="N6:N69" si="2">IF(OR(D6="",F6=""),"",D6-F6)</f>
        <v/>
      </c>
      <c r="O6" s="15" t="str">
        <f t="shared" ref="O6:O69" si="3">IF(OR(G6="",H6=""),"",G6-H6-I6)</f>
        <v/>
      </c>
      <c r="P6" s="15" t="str">
        <f t="shared" ref="P6:P69" si="4">IF(OR(H6="",J6="",J6&lt;=0),"",H6/J6)</f>
        <v/>
      </c>
      <c r="Q6" s="15" t="str">
        <f t="shared" ref="Q6:Q69" si="5">IF(S6&lt;&gt;"已完整划转","",C6+E6)</f>
        <v/>
      </c>
      <c r="R6" s="15" t="str">
        <f t="shared" ref="R6:R69" si="6">IF(Q6="","",Q6/J6)</f>
        <v/>
      </c>
      <c r="S6" s="19" t="str">
        <f t="shared" ref="S6:S69" si="7">IF(COUNTA(A6:K6)=0,"",IF(OR(A6="",C6="",D6="",F6="",G6="",H6="",J6="",K6=""),"待补分段记录",IF(OR(C6&lt;=0,D6&lt;=0,J6&lt;=0,E6&lt;0,I6&lt;0,M6&lt; -0.01,N6&lt; -0.01,O6&lt; -0.01),"金额关系待检查",IF(OR(ABS(N6)&gt;0.01,ABS(O6)&gt;0.01),"尚有港元余额","已完整划转"))))</f>
        <v>待补分段记录</v>
      </c>
      <c r="T6" s="33"/>
    </row>
    <row r="7" spans="1:20" ht="21.75" customHeight="1">
      <c r="A7" s="16">
        <v>46274</v>
      </c>
      <c r="B7" s="33">
        <v>2</v>
      </c>
      <c r="C7" s="10"/>
      <c r="D7" s="10"/>
      <c r="E7" s="10"/>
      <c r="F7" s="10"/>
      <c r="G7" s="10"/>
      <c r="H7" s="10"/>
      <c r="I7" s="10"/>
      <c r="J7" s="10"/>
      <c r="K7" s="16"/>
      <c r="L7" s="15" t="str">
        <f t="shared" si="0"/>
        <v/>
      </c>
      <c r="M7" s="15" t="str">
        <f t="shared" si="1"/>
        <v/>
      </c>
      <c r="N7" s="15" t="str">
        <f t="shared" si="2"/>
        <v/>
      </c>
      <c r="O7" s="15" t="str">
        <f t="shared" si="3"/>
        <v/>
      </c>
      <c r="P7" s="15" t="str">
        <f t="shared" si="4"/>
        <v/>
      </c>
      <c r="Q7" s="15" t="str">
        <f t="shared" si="5"/>
        <v/>
      </c>
      <c r="R7" s="15" t="str">
        <f t="shared" si="6"/>
        <v/>
      </c>
      <c r="S7" s="19" t="str">
        <f t="shared" si="7"/>
        <v>待补分段记录</v>
      </c>
      <c r="T7" s="33"/>
    </row>
    <row r="8" spans="1:20" ht="21.75" customHeight="1">
      <c r="A8" s="16">
        <v>46300</v>
      </c>
      <c r="B8" s="33">
        <v>3</v>
      </c>
      <c r="C8" s="10"/>
      <c r="D8" s="10"/>
      <c r="E8" s="10"/>
      <c r="F8" s="10"/>
      <c r="G8" s="10"/>
      <c r="H8" s="10"/>
      <c r="I8" s="10"/>
      <c r="J8" s="10"/>
      <c r="K8" s="16"/>
      <c r="L8" s="15" t="str">
        <f t="shared" si="0"/>
        <v/>
      </c>
      <c r="M8" s="15" t="str">
        <f t="shared" si="1"/>
        <v/>
      </c>
      <c r="N8" s="15" t="str">
        <f t="shared" si="2"/>
        <v/>
      </c>
      <c r="O8" s="15" t="str">
        <f t="shared" si="3"/>
        <v/>
      </c>
      <c r="P8" s="15" t="str">
        <f t="shared" si="4"/>
        <v/>
      </c>
      <c r="Q8" s="15" t="str">
        <f t="shared" si="5"/>
        <v/>
      </c>
      <c r="R8" s="15" t="str">
        <f t="shared" si="6"/>
        <v/>
      </c>
      <c r="S8" s="19" t="str">
        <f t="shared" si="7"/>
        <v>待补分段记录</v>
      </c>
      <c r="T8" s="33"/>
    </row>
    <row r="9" spans="1:20" ht="21.75" customHeight="1">
      <c r="A9" s="16"/>
      <c r="B9" s="33"/>
      <c r="C9" s="10"/>
      <c r="D9" s="10"/>
      <c r="E9" s="10"/>
      <c r="F9" s="10"/>
      <c r="G9" s="10"/>
      <c r="H9" s="10"/>
      <c r="I9" s="10"/>
      <c r="J9" s="10"/>
      <c r="K9" s="16"/>
      <c r="L9" s="15" t="str">
        <f t="shared" si="0"/>
        <v/>
      </c>
      <c r="M9" s="15" t="str">
        <f t="shared" si="1"/>
        <v/>
      </c>
      <c r="N9" s="15" t="str">
        <f t="shared" si="2"/>
        <v/>
      </c>
      <c r="O9" s="15" t="str">
        <f t="shared" si="3"/>
        <v/>
      </c>
      <c r="P9" s="15" t="str">
        <f t="shared" si="4"/>
        <v/>
      </c>
      <c r="Q9" s="15" t="str">
        <f t="shared" si="5"/>
        <v/>
      </c>
      <c r="R9" s="15" t="str">
        <f t="shared" si="6"/>
        <v/>
      </c>
      <c r="S9" s="19" t="str">
        <f t="shared" si="7"/>
        <v/>
      </c>
      <c r="T9" s="33"/>
    </row>
    <row r="10" spans="1:20" ht="21.75" customHeight="1">
      <c r="A10" s="16"/>
      <c r="B10" s="33"/>
      <c r="C10" s="10"/>
      <c r="D10" s="10"/>
      <c r="E10" s="10"/>
      <c r="F10" s="10"/>
      <c r="G10" s="10"/>
      <c r="H10" s="10"/>
      <c r="I10" s="10"/>
      <c r="J10" s="10"/>
      <c r="K10" s="16"/>
      <c r="L10" s="15" t="str">
        <f t="shared" si="0"/>
        <v/>
      </c>
      <c r="M10" s="15" t="str">
        <f t="shared" si="1"/>
        <v/>
      </c>
      <c r="N10" s="15" t="str">
        <f t="shared" si="2"/>
        <v/>
      </c>
      <c r="O10" s="15" t="str">
        <f t="shared" si="3"/>
        <v/>
      </c>
      <c r="P10" s="15" t="str">
        <f t="shared" si="4"/>
        <v/>
      </c>
      <c r="Q10" s="15" t="str">
        <f t="shared" si="5"/>
        <v/>
      </c>
      <c r="R10" s="15" t="str">
        <f t="shared" si="6"/>
        <v/>
      </c>
      <c r="S10" s="19" t="str">
        <f t="shared" si="7"/>
        <v/>
      </c>
      <c r="T10" s="33"/>
    </row>
    <row r="11" spans="1:20" ht="21.75" customHeight="1">
      <c r="A11" s="16"/>
      <c r="B11" s="33"/>
      <c r="C11" s="10"/>
      <c r="D11" s="10"/>
      <c r="E11" s="10"/>
      <c r="F11" s="10"/>
      <c r="G11" s="10"/>
      <c r="H11" s="10"/>
      <c r="I11" s="10"/>
      <c r="J11" s="10"/>
      <c r="K11" s="16"/>
      <c r="L11" s="15" t="str">
        <f t="shared" si="0"/>
        <v/>
      </c>
      <c r="M11" s="15" t="str">
        <f t="shared" si="1"/>
        <v/>
      </c>
      <c r="N11" s="15" t="str">
        <f t="shared" si="2"/>
        <v/>
      </c>
      <c r="O11" s="15" t="str">
        <f t="shared" si="3"/>
        <v/>
      </c>
      <c r="P11" s="15" t="str">
        <f t="shared" si="4"/>
        <v/>
      </c>
      <c r="Q11" s="15" t="str">
        <f t="shared" si="5"/>
        <v/>
      </c>
      <c r="R11" s="15" t="str">
        <f t="shared" si="6"/>
        <v/>
      </c>
      <c r="S11" s="19" t="str">
        <f t="shared" si="7"/>
        <v/>
      </c>
      <c r="T11" s="33"/>
    </row>
    <row r="12" spans="1:20" ht="21.75" customHeight="1">
      <c r="A12" s="16"/>
      <c r="B12" s="33"/>
      <c r="C12" s="10"/>
      <c r="D12" s="10"/>
      <c r="E12" s="10"/>
      <c r="F12" s="10"/>
      <c r="G12" s="10"/>
      <c r="H12" s="10"/>
      <c r="I12" s="10"/>
      <c r="J12" s="10"/>
      <c r="K12" s="16"/>
      <c r="L12" s="15" t="str">
        <f t="shared" si="0"/>
        <v/>
      </c>
      <c r="M12" s="15" t="str">
        <f t="shared" si="1"/>
        <v/>
      </c>
      <c r="N12" s="15" t="str">
        <f t="shared" si="2"/>
        <v/>
      </c>
      <c r="O12" s="15" t="str">
        <f t="shared" si="3"/>
        <v/>
      </c>
      <c r="P12" s="15" t="str">
        <f t="shared" si="4"/>
        <v/>
      </c>
      <c r="Q12" s="15" t="str">
        <f t="shared" si="5"/>
        <v/>
      </c>
      <c r="R12" s="15" t="str">
        <f t="shared" si="6"/>
        <v/>
      </c>
      <c r="S12" s="19" t="str">
        <f t="shared" si="7"/>
        <v/>
      </c>
      <c r="T12" s="33"/>
    </row>
    <row r="13" spans="1:20" ht="21.75" customHeight="1">
      <c r="A13" s="16"/>
      <c r="B13" s="33"/>
      <c r="C13" s="10"/>
      <c r="D13" s="10"/>
      <c r="E13" s="10"/>
      <c r="F13" s="10"/>
      <c r="G13" s="10"/>
      <c r="H13" s="10"/>
      <c r="I13" s="10"/>
      <c r="J13" s="10"/>
      <c r="K13" s="16"/>
      <c r="L13" s="15" t="str">
        <f t="shared" si="0"/>
        <v/>
      </c>
      <c r="M13" s="15" t="str">
        <f t="shared" si="1"/>
        <v/>
      </c>
      <c r="N13" s="15" t="str">
        <f t="shared" si="2"/>
        <v/>
      </c>
      <c r="O13" s="15" t="str">
        <f t="shared" si="3"/>
        <v/>
      </c>
      <c r="P13" s="15" t="str">
        <f t="shared" si="4"/>
        <v/>
      </c>
      <c r="Q13" s="15" t="str">
        <f t="shared" si="5"/>
        <v/>
      </c>
      <c r="R13" s="15" t="str">
        <f t="shared" si="6"/>
        <v/>
      </c>
      <c r="S13" s="19" t="str">
        <f t="shared" si="7"/>
        <v/>
      </c>
      <c r="T13" s="33"/>
    </row>
    <row r="14" spans="1:20" ht="21.75" customHeight="1">
      <c r="A14" s="16"/>
      <c r="B14" s="33"/>
      <c r="C14" s="10"/>
      <c r="D14" s="10"/>
      <c r="E14" s="10"/>
      <c r="F14" s="10"/>
      <c r="G14" s="10"/>
      <c r="H14" s="10"/>
      <c r="I14" s="10"/>
      <c r="J14" s="10"/>
      <c r="K14" s="16"/>
      <c r="L14" s="15" t="str">
        <f t="shared" si="0"/>
        <v/>
      </c>
      <c r="M14" s="15" t="str">
        <f t="shared" si="1"/>
        <v/>
      </c>
      <c r="N14" s="15" t="str">
        <f t="shared" si="2"/>
        <v/>
      </c>
      <c r="O14" s="15" t="str">
        <f t="shared" si="3"/>
        <v/>
      </c>
      <c r="P14" s="15" t="str">
        <f t="shared" si="4"/>
        <v/>
      </c>
      <c r="Q14" s="15" t="str">
        <f t="shared" si="5"/>
        <v/>
      </c>
      <c r="R14" s="15" t="str">
        <f t="shared" si="6"/>
        <v/>
      </c>
      <c r="S14" s="19" t="str">
        <f t="shared" si="7"/>
        <v/>
      </c>
      <c r="T14" s="33"/>
    </row>
    <row r="15" spans="1:20" ht="21.75" customHeight="1">
      <c r="A15" s="16"/>
      <c r="B15" s="33"/>
      <c r="C15" s="10"/>
      <c r="D15" s="10"/>
      <c r="E15" s="10"/>
      <c r="F15" s="10"/>
      <c r="G15" s="10"/>
      <c r="H15" s="10"/>
      <c r="I15" s="10"/>
      <c r="J15" s="10"/>
      <c r="K15" s="16"/>
      <c r="L15" s="15" t="str">
        <f t="shared" si="0"/>
        <v/>
      </c>
      <c r="M15" s="15" t="str">
        <f t="shared" si="1"/>
        <v/>
      </c>
      <c r="N15" s="15" t="str">
        <f t="shared" si="2"/>
        <v/>
      </c>
      <c r="O15" s="15" t="str">
        <f t="shared" si="3"/>
        <v/>
      </c>
      <c r="P15" s="15" t="str">
        <f t="shared" si="4"/>
        <v/>
      </c>
      <c r="Q15" s="15" t="str">
        <f t="shared" si="5"/>
        <v/>
      </c>
      <c r="R15" s="15" t="str">
        <f t="shared" si="6"/>
        <v/>
      </c>
      <c r="S15" s="19" t="str">
        <f t="shared" si="7"/>
        <v/>
      </c>
      <c r="T15" s="33"/>
    </row>
    <row r="16" spans="1:20" ht="21.75" customHeight="1">
      <c r="A16" s="16"/>
      <c r="B16" s="33"/>
      <c r="C16" s="10"/>
      <c r="D16" s="10"/>
      <c r="E16" s="10"/>
      <c r="F16" s="10"/>
      <c r="G16" s="10"/>
      <c r="H16" s="10"/>
      <c r="I16" s="10"/>
      <c r="J16" s="10"/>
      <c r="K16" s="16"/>
      <c r="L16" s="15" t="str">
        <f t="shared" si="0"/>
        <v/>
      </c>
      <c r="M16" s="15" t="str">
        <f t="shared" si="1"/>
        <v/>
      </c>
      <c r="N16" s="15" t="str">
        <f t="shared" si="2"/>
        <v/>
      </c>
      <c r="O16" s="15" t="str">
        <f t="shared" si="3"/>
        <v/>
      </c>
      <c r="P16" s="15" t="str">
        <f t="shared" si="4"/>
        <v/>
      </c>
      <c r="Q16" s="15" t="str">
        <f t="shared" si="5"/>
        <v/>
      </c>
      <c r="R16" s="15" t="str">
        <f t="shared" si="6"/>
        <v/>
      </c>
      <c r="S16" s="19" t="str">
        <f t="shared" si="7"/>
        <v/>
      </c>
      <c r="T16" s="33"/>
    </row>
    <row r="17" spans="1:20" ht="21.75" customHeight="1">
      <c r="A17" s="16"/>
      <c r="B17" s="33"/>
      <c r="C17" s="10"/>
      <c r="D17" s="10"/>
      <c r="E17" s="10"/>
      <c r="F17" s="10"/>
      <c r="G17" s="10"/>
      <c r="H17" s="10"/>
      <c r="I17" s="10"/>
      <c r="J17" s="10"/>
      <c r="K17" s="16"/>
      <c r="L17" s="15" t="str">
        <f t="shared" si="0"/>
        <v/>
      </c>
      <c r="M17" s="15" t="str">
        <f t="shared" si="1"/>
        <v/>
      </c>
      <c r="N17" s="15" t="str">
        <f t="shared" si="2"/>
        <v/>
      </c>
      <c r="O17" s="15" t="str">
        <f t="shared" si="3"/>
        <v/>
      </c>
      <c r="P17" s="15" t="str">
        <f t="shared" si="4"/>
        <v/>
      </c>
      <c r="Q17" s="15" t="str">
        <f t="shared" si="5"/>
        <v/>
      </c>
      <c r="R17" s="15" t="str">
        <f t="shared" si="6"/>
        <v/>
      </c>
      <c r="S17" s="19" t="str">
        <f t="shared" si="7"/>
        <v/>
      </c>
      <c r="T17" s="33"/>
    </row>
    <row r="18" spans="1:20" ht="21.75" customHeight="1">
      <c r="A18" s="16"/>
      <c r="B18" s="33"/>
      <c r="C18" s="10"/>
      <c r="D18" s="10"/>
      <c r="E18" s="10"/>
      <c r="F18" s="10"/>
      <c r="G18" s="10"/>
      <c r="H18" s="10"/>
      <c r="I18" s="10"/>
      <c r="J18" s="10"/>
      <c r="K18" s="16"/>
      <c r="L18" s="15" t="str">
        <f t="shared" si="0"/>
        <v/>
      </c>
      <c r="M18" s="15" t="str">
        <f t="shared" si="1"/>
        <v/>
      </c>
      <c r="N18" s="15" t="str">
        <f t="shared" si="2"/>
        <v/>
      </c>
      <c r="O18" s="15" t="str">
        <f t="shared" si="3"/>
        <v/>
      </c>
      <c r="P18" s="15" t="str">
        <f t="shared" si="4"/>
        <v/>
      </c>
      <c r="Q18" s="15" t="str">
        <f t="shared" si="5"/>
        <v/>
      </c>
      <c r="R18" s="15" t="str">
        <f t="shared" si="6"/>
        <v/>
      </c>
      <c r="S18" s="19" t="str">
        <f t="shared" si="7"/>
        <v/>
      </c>
      <c r="T18" s="33"/>
    </row>
    <row r="19" spans="1:20" ht="21.75" customHeight="1">
      <c r="A19" s="16"/>
      <c r="B19" s="33"/>
      <c r="C19" s="10"/>
      <c r="D19" s="10"/>
      <c r="E19" s="10"/>
      <c r="F19" s="10"/>
      <c r="G19" s="10"/>
      <c r="H19" s="10"/>
      <c r="I19" s="10"/>
      <c r="J19" s="10"/>
      <c r="K19" s="16"/>
      <c r="L19" s="15" t="str">
        <f t="shared" si="0"/>
        <v/>
      </c>
      <c r="M19" s="15" t="str">
        <f t="shared" si="1"/>
        <v/>
      </c>
      <c r="N19" s="15" t="str">
        <f t="shared" si="2"/>
        <v/>
      </c>
      <c r="O19" s="15" t="str">
        <f t="shared" si="3"/>
        <v/>
      </c>
      <c r="P19" s="15" t="str">
        <f t="shared" si="4"/>
        <v/>
      </c>
      <c r="Q19" s="15" t="str">
        <f t="shared" si="5"/>
        <v/>
      </c>
      <c r="R19" s="15" t="str">
        <f t="shared" si="6"/>
        <v/>
      </c>
      <c r="S19" s="19" t="str">
        <f t="shared" si="7"/>
        <v/>
      </c>
      <c r="T19" s="33"/>
    </row>
    <row r="20" spans="1:20" ht="21.75" customHeight="1">
      <c r="A20" s="16"/>
      <c r="B20" s="33"/>
      <c r="C20" s="10"/>
      <c r="D20" s="10"/>
      <c r="E20" s="10"/>
      <c r="F20" s="10"/>
      <c r="G20" s="10"/>
      <c r="H20" s="10"/>
      <c r="I20" s="10"/>
      <c r="J20" s="10"/>
      <c r="K20" s="16"/>
      <c r="L20" s="15" t="str">
        <f t="shared" si="0"/>
        <v/>
      </c>
      <c r="M20" s="15" t="str">
        <f t="shared" si="1"/>
        <v/>
      </c>
      <c r="N20" s="15" t="str">
        <f t="shared" si="2"/>
        <v/>
      </c>
      <c r="O20" s="15" t="str">
        <f t="shared" si="3"/>
        <v/>
      </c>
      <c r="P20" s="15" t="str">
        <f t="shared" si="4"/>
        <v/>
      </c>
      <c r="Q20" s="15" t="str">
        <f t="shared" si="5"/>
        <v/>
      </c>
      <c r="R20" s="15" t="str">
        <f t="shared" si="6"/>
        <v/>
      </c>
      <c r="S20" s="19" t="str">
        <f t="shared" si="7"/>
        <v/>
      </c>
      <c r="T20" s="33"/>
    </row>
    <row r="21" spans="1:20" ht="21.75" customHeight="1">
      <c r="A21" s="16"/>
      <c r="B21" s="33"/>
      <c r="C21" s="10"/>
      <c r="D21" s="10"/>
      <c r="E21" s="10"/>
      <c r="F21" s="10"/>
      <c r="G21" s="10"/>
      <c r="H21" s="10"/>
      <c r="I21" s="10"/>
      <c r="J21" s="10"/>
      <c r="K21" s="16"/>
      <c r="L21" s="15" t="str">
        <f t="shared" si="0"/>
        <v/>
      </c>
      <c r="M21" s="15" t="str">
        <f t="shared" si="1"/>
        <v/>
      </c>
      <c r="N21" s="15" t="str">
        <f t="shared" si="2"/>
        <v/>
      </c>
      <c r="O21" s="15" t="str">
        <f t="shared" si="3"/>
        <v/>
      </c>
      <c r="P21" s="15" t="str">
        <f t="shared" si="4"/>
        <v/>
      </c>
      <c r="Q21" s="15" t="str">
        <f t="shared" si="5"/>
        <v/>
      </c>
      <c r="R21" s="15" t="str">
        <f t="shared" si="6"/>
        <v/>
      </c>
      <c r="S21" s="19" t="str">
        <f t="shared" si="7"/>
        <v/>
      </c>
      <c r="T21" s="33"/>
    </row>
    <row r="22" spans="1:20" ht="21.75" customHeight="1">
      <c r="A22" s="16"/>
      <c r="B22" s="33"/>
      <c r="C22" s="10"/>
      <c r="D22" s="10"/>
      <c r="E22" s="10"/>
      <c r="F22" s="10"/>
      <c r="G22" s="10"/>
      <c r="H22" s="10"/>
      <c r="I22" s="10"/>
      <c r="J22" s="10"/>
      <c r="K22" s="16"/>
      <c r="L22" s="15" t="str">
        <f t="shared" si="0"/>
        <v/>
      </c>
      <c r="M22" s="15" t="str">
        <f t="shared" si="1"/>
        <v/>
      </c>
      <c r="N22" s="15" t="str">
        <f t="shared" si="2"/>
        <v/>
      </c>
      <c r="O22" s="15" t="str">
        <f t="shared" si="3"/>
        <v/>
      </c>
      <c r="P22" s="15" t="str">
        <f t="shared" si="4"/>
        <v/>
      </c>
      <c r="Q22" s="15" t="str">
        <f t="shared" si="5"/>
        <v/>
      </c>
      <c r="R22" s="15" t="str">
        <f t="shared" si="6"/>
        <v/>
      </c>
      <c r="S22" s="19" t="str">
        <f t="shared" si="7"/>
        <v/>
      </c>
      <c r="T22" s="33"/>
    </row>
    <row r="23" spans="1:20" ht="21.75" customHeight="1">
      <c r="A23" s="16"/>
      <c r="B23" s="33"/>
      <c r="C23" s="10"/>
      <c r="D23" s="10"/>
      <c r="E23" s="10"/>
      <c r="F23" s="10"/>
      <c r="G23" s="10"/>
      <c r="H23" s="10"/>
      <c r="I23" s="10"/>
      <c r="J23" s="10"/>
      <c r="K23" s="16"/>
      <c r="L23" s="15" t="str">
        <f t="shared" si="0"/>
        <v/>
      </c>
      <c r="M23" s="15" t="str">
        <f t="shared" si="1"/>
        <v/>
      </c>
      <c r="N23" s="15" t="str">
        <f t="shared" si="2"/>
        <v/>
      </c>
      <c r="O23" s="15" t="str">
        <f t="shared" si="3"/>
        <v/>
      </c>
      <c r="P23" s="15" t="str">
        <f t="shared" si="4"/>
        <v/>
      </c>
      <c r="Q23" s="15" t="str">
        <f t="shared" si="5"/>
        <v/>
      </c>
      <c r="R23" s="15" t="str">
        <f t="shared" si="6"/>
        <v/>
      </c>
      <c r="S23" s="19" t="str">
        <f t="shared" si="7"/>
        <v/>
      </c>
      <c r="T23" s="33"/>
    </row>
    <row r="24" spans="1:20" ht="21.75" customHeight="1">
      <c r="A24" s="16"/>
      <c r="B24" s="33"/>
      <c r="C24" s="10"/>
      <c r="D24" s="10"/>
      <c r="E24" s="10"/>
      <c r="F24" s="10"/>
      <c r="G24" s="10"/>
      <c r="H24" s="10"/>
      <c r="I24" s="10"/>
      <c r="J24" s="10"/>
      <c r="K24" s="16"/>
      <c r="L24" s="15" t="str">
        <f t="shared" si="0"/>
        <v/>
      </c>
      <c r="M24" s="15" t="str">
        <f t="shared" si="1"/>
        <v/>
      </c>
      <c r="N24" s="15" t="str">
        <f t="shared" si="2"/>
        <v/>
      </c>
      <c r="O24" s="15" t="str">
        <f t="shared" si="3"/>
        <v/>
      </c>
      <c r="P24" s="15" t="str">
        <f t="shared" si="4"/>
        <v/>
      </c>
      <c r="Q24" s="15" t="str">
        <f t="shared" si="5"/>
        <v/>
      </c>
      <c r="R24" s="15" t="str">
        <f t="shared" si="6"/>
        <v/>
      </c>
      <c r="S24" s="19" t="str">
        <f t="shared" si="7"/>
        <v/>
      </c>
      <c r="T24" s="33"/>
    </row>
    <row r="25" spans="1:20" ht="21.75" customHeight="1">
      <c r="A25" s="16"/>
      <c r="B25" s="33"/>
      <c r="C25" s="10"/>
      <c r="D25" s="10"/>
      <c r="E25" s="10"/>
      <c r="F25" s="10"/>
      <c r="G25" s="10"/>
      <c r="H25" s="10"/>
      <c r="I25" s="10"/>
      <c r="J25" s="10"/>
      <c r="K25" s="16"/>
      <c r="L25" s="15" t="str">
        <f t="shared" si="0"/>
        <v/>
      </c>
      <c r="M25" s="15" t="str">
        <f t="shared" si="1"/>
        <v/>
      </c>
      <c r="N25" s="15" t="str">
        <f t="shared" si="2"/>
        <v/>
      </c>
      <c r="O25" s="15" t="str">
        <f t="shared" si="3"/>
        <v/>
      </c>
      <c r="P25" s="15" t="str">
        <f t="shared" si="4"/>
        <v/>
      </c>
      <c r="Q25" s="15" t="str">
        <f t="shared" si="5"/>
        <v/>
      </c>
      <c r="R25" s="15" t="str">
        <f t="shared" si="6"/>
        <v/>
      </c>
      <c r="S25" s="19" t="str">
        <f t="shared" si="7"/>
        <v/>
      </c>
      <c r="T25" s="33"/>
    </row>
    <row r="26" spans="1:20" ht="21.75" customHeight="1">
      <c r="A26" s="16"/>
      <c r="B26" s="33"/>
      <c r="C26" s="10"/>
      <c r="D26" s="10"/>
      <c r="E26" s="10"/>
      <c r="F26" s="10"/>
      <c r="G26" s="10"/>
      <c r="H26" s="10"/>
      <c r="I26" s="10"/>
      <c r="J26" s="10"/>
      <c r="K26" s="16"/>
      <c r="L26" s="15" t="str">
        <f t="shared" si="0"/>
        <v/>
      </c>
      <c r="M26" s="15" t="str">
        <f t="shared" si="1"/>
        <v/>
      </c>
      <c r="N26" s="15" t="str">
        <f t="shared" si="2"/>
        <v/>
      </c>
      <c r="O26" s="15" t="str">
        <f t="shared" si="3"/>
        <v/>
      </c>
      <c r="P26" s="15" t="str">
        <f t="shared" si="4"/>
        <v/>
      </c>
      <c r="Q26" s="15" t="str">
        <f t="shared" si="5"/>
        <v/>
      </c>
      <c r="R26" s="15" t="str">
        <f t="shared" si="6"/>
        <v/>
      </c>
      <c r="S26" s="19" t="str">
        <f t="shared" si="7"/>
        <v/>
      </c>
      <c r="T26" s="33"/>
    </row>
    <row r="27" spans="1:20" ht="21.75" customHeight="1">
      <c r="A27" s="16"/>
      <c r="B27" s="33"/>
      <c r="C27" s="10"/>
      <c r="D27" s="10"/>
      <c r="E27" s="10"/>
      <c r="F27" s="10"/>
      <c r="G27" s="10"/>
      <c r="H27" s="10"/>
      <c r="I27" s="10"/>
      <c r="J27" s="10"/>
      <c r="K27" s="16"/>
      <c r="L27" s="15" t="str">
        <f t="shared" si="0"/>
        <v/>
      </c>
      <c r="M27" s="15" t="str">
        <f t="shared" si="1"/>
        <v/>
      </c>
      <c r="N27" s="15" t="str">
        <f t="shared" si="2"/>
        <v/>
      </c>
      <c r="O27" s="15" t="str">
        <f t="shared" si="3"/>
        <v/>
      </c>
      <c r="P27" s="15" t="str">
        <f t="shared" si="4"/>
        <v/>
      </c>
      <c r="Q27" s="15" t="str">
        <f t="shared" si="5"/>
        <v/>
      </c>
      <c r="R27" s="15" t="str">
        <f t="shared" si="6"/>
        <v/>
      </c>
      <c r="S27" s="19" t="str">
        <f t="shared" si="7"/>
        <v/>
      </c>
      <c r="T27" s="33"/>
    </row>
    <row r="28" spans="1:20" ht="21.75" customHeight="1">
      <c r="A28" s="16"/>
      <c r="B28" s="33"/>
      <c r="C28" s="10"/>
      <c r="D28" s="10"/>
      <c r="E28" s="10"/>
      <c r="F28" s="10"/>
      <c r="G28" s="10"/>
      <c r="H28" s="10"/>
      <c r="I28" s="10"/>
      <c r="J28" s="10"/>
      <c r="K28" s="16"/>
      <c r="L28" s="15" t="str">
        <f t="shared" si="0"/>
        <v/>
      </c>
      <c r="M28" s="15" t="str">
        <f t="shared" si="1"/>
        <v/>
      </c>
      <c r="N28" s="15" t="str">
        <f t="shared" si="2"/>
        <v/>
      </c>
      <c r="O28" s="15" t="str">
        <f t="shared" si="3"/>
        <v/>
      </c>
      <c r="P28" s="15" t="str">
        <f t="shared" si="4"/>
        <v/>
      </c>
      <c r="Q28" s="15" t="str">
        <f t="shared" si="5"/>
        <v/>
      </c>
      <c r="R28" s="15" t="str">
        <f t="shared" si="6"/>
        <v/>
      </c>
      <c r="S28" s="19" t="str">
        <f t="shared" si="7"/>
        <v/>
      </c>
      <c r="T28" s="33"/>
    </row>
    <row r="29" spans="1:20" ht="21.75" customHeight="1">
      <c r="A29" s="16"/>
      <c r="B29" s="33"/>
      <c r="C29" s="10"/>
      <c r="D29" s="10"/>
      <c r="E29" s="10"/>
      <c r="F29" s="10"/>
      <c r="G29" s="10"/>
      <c r="H29" s="10"/>
      <c r="I29" s="10"/>
      <c r="J29" s="10"/>
      <c r="K29" s="16"/>
      <c r="L29" s="15" t="str">
        <f t="shared" si="0"/>
        <v/>
      </c>
      <c r="M29" s="15" t="str">
        <f t="shared" si="1"/>
        <v/>
      </c>
      <c r="N29" s="15" t="str">
        <f t="shared" si="2"/>
        <v/>
      </c>
      <c r="O29" s="15" t="str">
        <f t="shared" si="3"/>
        <v/>
      </c>
      <c r="P29" s="15" t="str">
        <f t="shared" si="4"/>
        <v/>
      </c>
      <c r="Q29" s="15" t="str">
        <f t="shared" si="5"/>
        <v/>
      </c>
      <c r="R29" s="15" t="str">
        <f t="shared" si="6"/>
        <v/>
      </c>
      <c r="S29" s="19" t="str">
        <f t="shared" si="7"/>
        <v/>
      </c>
      <c r="T29" s="33"/>
    </row>
    <row r="30" spans="1:20" ht="21.75" customHeight="1">
      <c r="A30" s="16"/>
      <c r="B30" s="33"/>
      <c r="C30" s="10"/>
      <c r="D30" s="10"/>
      <c r="E30" s="10"/>
      <c r="F30" s="10"/>
      <c r="G30" s="10"/>
      <c r="H30" s="10"/>
      <c r="I30" s="10"/>
      <c r="J30" s="10"/>
      <c r="K30" s="16"/>
      <c r="L30" s="15" t="str">
        <f t="shared" si="0"/>
        <v/>
      </c>
      <c r="M30" s="15" t="str">
        <f t="shared" si="1"/>
        <v/>
      </c>
      <c r="N30" s="15" t="str">
        <f t="shared" si="2"/>
        <v/>
      </c>
      <c r="O30" s="15" t="str">
        <f t="shared" si="3"/>
        <v/>
      </c>
      <c r="P30" s="15" t="str">
        <f t="shared" si="4"/>
        <v/>
      </c>
      <c r="Q30" s="15" t="str">
        <f t="shared" si="5"/>
        <v/>
      </c>
      <c r="R30" s="15" t="str">
        <f t="shared" si="6"/>
        <v/>
      </c>
      <c r="S30" s="19" t="str">
        <f t="shared" si="7"/>
        <v/>
      </c>
      <c r="T30" s="33"/>
    </row>
    <row r="31" spans="1:20" ht="21.75" customHeight="1">
      <c r="A31" s="16"/>
      <c r="B31" s="33"/>
      <c r="C31" s="10"/>
      <c r="D31" s="10"/>
      <c r="E31" s="10"/>
      <c r="F31" s="10"/>
      <c r="G31" s="10"/>
      <c r="H31" s="10"/>
      <c r="I31" s="10"/>
      <c r="J31" s="10"/>
      <c r="K31" s="16"/>
      <c r="L31" s="15" t="str">
        <f t="shared" si="0"/>
        <v/>
      </c>
      <c r="M31" s="15" t="str">
        <f t="shared" si="1"/>
        <v/>
      </c>
      <c r="N31" s="15" t="str">
        <f t="shared" si="2"/>
        <v/>
      </c>
      <c r="O31" s="15" t="str">
        <f t="shared" si="3"/>
        <v/>
      </c>
      <c r="P31" s="15" t="str">
        <f t="shared" si="4"/>
        <v/>
      </c>
      <c r="Q31" s="15" t="str">
        <f t="shared" si="5"/>
        <v/>
      </c>
      <c r="R31" s="15" t="str">
        <f t="shared" si="6"/>
        <v/>
      </c>
      <c r="S31" s="19" t="str">
        <f t="shared" si="7"/>
        <v/>
      </c>
      <c r="T31" s="33"/>
    </row>
    <row r="32" spans="1:20" ht="21.75" customHeight="1">
      <c r="A32" s="16"/>
      <c r="B32" s="33"/>
      <c r="C32" s="10"/>
      <c r="D32" s="10"/>
      <c r="E32" s="10"/>
      <c r="F32" s="10"/>
      <c r="G32" s="10"/>
      <c r="H32" s="10"/>
      <c r="I32" s="10"/>
      <c r="J32" s="10"/>
      <c r="K32" s="16"/>
      <c r="L32" s="15" t="str">
        <f t="shared" si="0"/>
        <v/>
      </c>
      <c r="M32" s="15" t="str">
        <f t="shared" si="1"/>
        <v/>
      </c>
      <c r="N32" s="15" t="str">
        <f t="shared" si="2"/>
        <v/>
      </c>
      <c r="O32" s="15" t="str">
        <f t="shared" si="3"/>
        <v/>
      </c>
      <c r="P32" s="15" t="str">
        <f t="shared" si="4"/>
        <v/>
      </c>
      <c r="Q32" s="15" t="str">
        <f t="shared" si="5"/>
        <v/>
      </c>
      <c r="R32" s="15" t="str">
        <f t="shared" si="6"/>
        <v/>
      </c>
      <c r="S32" s="19" t="str">
        <f t="shared" si="7"/>
        <v/>
      </c>
      <c r="T32" s="33"/>
    </row>
    <row r="33" spans="1:20" ht="21.75" customHeight="1">
      <c r="A33" s="16"/>
      <c r="B33" s="33"/>
      <c r="C33" s="10"/>
      <c r="D33" s="10"/>
      <c r="E33" s="10"/>
      <c r="F33" s="10"/>
      <c r="G33" s="10"/>
      <c r="H33" s="10"/>
      <c r="I33" s="10"/>
      <c r="J33" s="10"/>
      <c r="K33" s="16"/>
      <c r="L33" s="15" t="str">
        <f t="shared" si="0"/>
        <v/>
      </c>
      <c r="M33" s="15" t="str">
        <f t="shared" si="1"/>
        <v/>
      </c>
      <c r="N33" s="15" t="str">
        <f t="shared" si="2"/>
        <v/>
      </c>
      <c r="O33" s="15" t="str">
        <f t="shared" si="3"/>
        <v/>
      </c>
      <c r="P33" s="15" t="str">
        <f t="shared" si="4"/>
        <v/>
      </c>
      <c r="Q33" s="15" t="str">
        <f t="shared" si="5"/>
        <v/>
      </c>
      <c r="R33" s="15" t="str">
        <f t="shared" si="6"/>
        <v/>
      </c>
      <c r="S33" s="19" t="str">
        <f t="shared" si="7"/>
        <v/>
      </c>
      <c r="T33" s="33"/>
    </row>
    <row r="34" spans="1:20" ht="21.75" customHeight="1">
      <c r="A34" s="16"/>
      <c r="B34" s="33"/>
      <c r="C34" s="10"/>
      <c r="D34" s="10"/>
      <c r="E34" s="10"/>
      <c r="F34" s="10"/>
      <c r="G34" s="10"/>
      <c r="H34" s="10"/>
      <c r="I34" s="10"/>
      <c r="J34" s="10"/>
      <c r="K34" s="16"/>
      <c r="L34" s="15" t="str">
        <f t="shared" si="0"/>
        <v/>
      </c>
      <c r="M34" s="15" t="str">
        <f t="shared" si="1"/>
        <v/>
      </c>
      <c r="N34" s="15" t="str">
        <f t="shared" si="2"/>
        <v/>
      </c>
      <c r="O34" s="15" t="str">
        <f t="shared" si="3"/>
        <v/>
      </c>
      <c r="P34" s="15" t="str">
        <f t="shared" si="4"/>
        <v/>
      </c>
      <c r="Q34" s="15" t="str">
        <f t="shared" si="5"/>
        <v/>
      </c>
      <c r="R34" s="15" t="str">
        <f t="shared" si="6"/>
        <v/>
      </c>
      <c r="S34" s="19" t="str">
        <f t="shared" si="7"/>
        <v/>
      </c>
      <c r="T34" s="33"/>
    </row>
    <row r="35" spans="1:20" ht="21.75" customHeight="1">
      <c r="A35" s="16"/>
      <c r="B35" s="33"/>
      <c r="C35" s="10"/>
      <c r="D35" s="10"/>
      <c r="E35" s="10"/>
      <c r="F35" s="10"/>
      <c r="G35" s="10"/>
      <c r="H35" s="10"/>
      <c r="I35" s="10"/>
      <c r="J35" s="10"/>
      <c r="K35" s="16"/>
      <c r="L35" s="15" t="str">
        <f t="shared" si="0"/>
        <v/>
      </c>
      <c r="M35" s="15" t="str">
        <f t="shared" si="1"/>
        <v/>
      </c>
      <c r="N35" s="15" t="str">
        <f t="shared" si="2"/>
        <v/>
      </c>
      <c r="O35" s="15" t="str">
        <f t="shared" si="3"/>
        <v/>
      </c>
      <c r="P35" s="15" t="str">
        <f t="shared" si="4"/>
        <v/>
      </c>
      <c r="Q35" s="15" t="str">
        <f t="shared" si="5"/>
        <v/>
      </c>
      <c r="R35" s="15" t="str">
        <f t="shared" si="6"/>
        <v/>
      </c>
      <c r="S35" s="19" t="str">
        <f t="shared" si="7"/>
        <v/>
      </c>
      <c r="T35" s="33"/>
    </row>
    <row r="36" spans="1:20" ht="21.75" customHeight="1">
      <c r="A36" s="16"/>
      <c r="B36" s="33"/>
      <c r="C36" s="10"/>
      <c r="D36" s="10"/>
      <c r="E36" s="10"/>
      <c r="F36" s="10"/>
      <c r="G36" s="10"/>
      <c r="H36" s="10"/>
      <c r="I36" s="10"/>
      <c r="J36" s="10"/>
      <c r="K36" s="16"/>
      <c r="L36" s="15" t="str">
        <f t="shared" si="0"/>
        <v/>
      </c>
      <c r="M36" s="15" t="str">
        <f t="shared" si="1"/>
        <v/>
      </c>
      <c r="N36" s="15" t="str">
        <f t="shared" si="2"/>
        <v/>
      </c>
      <c r="O36" s="15" t="str">
        <f t="shared" si="3"/>
        <v/>
      </c>
      <c r="P36" s="15" t="str">
        <f t="shared" si="4"/>
        <v/>
      </c>
      <c r="Q36" s="15" t="str">
        <f t="shared" si="5"/>
        <v/>
      </c>
      <c r="R36" s="15" t="str">
        <f t="shared" si="6"/>
        <v/>
      </c>
      <c r="S36" s="19" t="str">
        <f t="shared" si="7"/>
        <v/>
      </c>
      <c r="T36" s="33"/>
    </row>
    <row r="37" spans="1:20" ht="21.75" customHeight="1">
      <c r="A37" s="16"/>
      <c r="B37" s="33"/>
      <c r="C37" s="10"/>
      <c r="D37" s="10"/>
      <c r="E37" s="10"/>
      <c r="F37" s="10"/>
      <c r="G37" s="10"/>
      <c r="H37" s="10"/>
      <c r="I37" s="10"/>
      <c r="J37" s="10"/>
      <c r="K37" s="16"/>
      <c r="L37" s="15" t="str">
        <f t="shared" si="0"/>
        <v/>
      </c>
      <c r="M37" s="15" t="str">
        <f t="shared" si="1"/>
        <v/>
      </c>
      <c r="N37" s="15" t="str">
        <f t="shared" si="2"/>
        <v/>
      </c>
      <c r="O37" s="15" t="str">
        <f t="shared" si="3"/>
        <v/>
      </c>
      <c r="P37" s="15" t="str">
        <f t="shared" si="4"/>
        <v/>
      </c>
      <c r="Q37" s="15" t="str">
        <f t="shared" si="5"/>
        <v/>
      </c>
      <c r="R37" s="15" t="str">
        <f t="shared" si="6"/>
        <v/>
      </c>
      <c r="S37" s="19" t="str">
        <f t="shared" si="7"/>
        <v/>
      </c>
      <c r="T37" s="33"/>
    </row>
    <row r="38" spans="1:20" ht="21.75" customHeight="1">
      <c r="A38" s="16"/>
      <c r="B38" s="33"/>
      <c r="C38" s="10"/>
      <c r="D38" s="10"/>
      <c r="E38" s="10"/>
      <c r="F38" s="10"/>
      <c r="G38" s="10"/>
      <c r="H38" s="10"/>
      <c r="I38" s="10"/>
      <c r="J38" s="10"/>
      <c r="K38" s="16"/>
      <c r="L38" s="15" t="str">
        <f t="shared" si="0"/>
        <v/>
      </c>
      <c r="M38" s="15" t="str">
        <f t="shared" si="1"/>
        <v/>
      </c>
      <c r="N38" s="15" t="str">
        <f t="shared" si="2"/>
        <v/>
      </c>
      <c r="O38" s="15" t="str">
        <f t="shared" si="3"/>
        <v/>
      </c>
      <c r="P38" s="15" t="str">
        <f t="shared" si="4"/>
        <v/>
      </c>
      <c r="Q38" s="15" t="str">
        <f t="shared" si="5"/>
        <v/>
      </c>
      <c r="R38" s="15" t="str">
        <f t="shared" si="6"/>
        <v/>
      </c>
      <c r="S38" s="19" t="str">
        <f t="shared" si="7"/>
        <v/>
      </c>
      <c r="T38" s="33"/>
    </row>
    <row r="39" spans="1:20" ht="21.75" customHeight="1">
      <c r="A39" s="16"/>
      <c r="B39" s="33"/>
      <c r="C39" s="10"/>
      <c r="D39" s="10"/>
      <c r="E39" s="10"/>
      <c r="F39" s="10"/>
      <c r="G39" s="10"/>
      <c r="H39" s="10"/>
      <c r="I39" s="10"/>
      <c r="J39" s="10"/>
      <c r="K39" s="16"/>
      <c r="L39" s="15" t="str">
        <f t="shared" si="0"/>
        <v/>
      </c>
      <c r="M39" s="15" t="str">
        <f t="shared" si="1"/>
        <v/>
      </c>
      <c r="N39" s="15" t="str">
        <f t="shared" si="2"/>
        <v/>
      </c>
      <c r="O39" s="15" t="str">
        <f t="shared" si="3"/>
        <v/>
      </c>
      <c r="P39" s="15" t="str">
        <f t="shared" si="4"/>
        <v/>
      </c>
      <c r="Q39" s="15" t="str">
        <f t="shared" si="5"/>
        <v/>
      </c>
      <c r="R39" s="15" t="str">
        <f t="shared" si="6"/>
        <v/>
      </c>
      <c r="S39" s="19" t="str">
        <f t="shared" si="7"/>
        <v/>
      </c>
      <c r="T39" s="33"/>
    </row>
    <row r="40" spans="1:20" ht="21.75" customHeight="1">
      <c r="A40" s="16"/>
      <c r="B40" s="33"/>
      <c r="C40" s="10"/>
      <c r="D40" s="10"/>
      <c r="E40" s="10"/>
      <c r="F40" s="10"/>
      <c r="G40" s="10"/>
      <c r="H40" s="10"/>
      <c r="I40" s="10"/>
      <c r="J40" s="10"/>
      <c r="K40" s="16"/>
      <c r="L40" s="15" t="str">
        <f t="shared" si="0"/>
        <v/>
      </c>
      <c r="M40" s="15" t="str">
        <f t="shared" si="1"/>
        <v/>
      </c>
      <c r="N40" s="15" t="str">
        <f t="shared" si="2"/>
        <v/>
      </c>
      <c r="O40" s="15" t="str">
        <f t="shared" si="3"/>
        <v/>
      </c>
      <c r="P40" s="15" t="str">
        <f t="shared" si="4"/>
        <v/>
      </c>
      <c r="Q40" s="15" t="str">
        <f t="shared" si="5"/>
        <v/>
      </c>
      <c r="R40" s="15" t="str">
        <f t="shared" si="6"/>
        <v/>
      </c>
      <c r="S40" s="19" t="str">
        <f t="shared" si="7"/>
        <v/>
      </c>
      <c r="T40" s="33"/>
    </row>
    <row r="41" spans="1:20" ht="21.75" customHeight="1">
      <c r="A41" s="16"/>
      <c r="B41" s="33"/>
      <c r="C41" s="10"/>
      <c r="D41" s="10"/>
      <c r="E41" s="10"/>
      <c r="F41" s="10"/>
      <c r="G41" s="10"/>
      <c r="H41" s="10"/>
      <c r="I41" s="10"/>
      <c r="J41" s="10"/>
      <c r="K41" s="16"/>
      <c r="L41" s="15" t="str">
        <f t="shared" si="0"/>
        <v/>
      </c>
      <c r="M41" s="15" t="str">
        <f t="shared" si="1"/>
        <v/>
      </c>
      <c r="N41" s="15" t="str">
        <f t="shared" si="2"/>
        <v/>
      </c>
      <c r="O41" s="15" t="str">
        <f t="shared" si="3"/>
        <v/>
      </c>
      <c r="P41" s="15" t="str">
        <f t="shared" si="4"/>
        <v/>
      </c>
      <c r="Q41" s="15" t="str">
        <f t="shared" si="5"/>
        <v/>
      </c>
      <c r="R41" s="15" t="str">
        <f t="shared" si="6"/>
        <v/>
      </c>
      <c r="S41" s="19" t="str">
        <f t="shared" si="7"/>
        <v/>
      </c>
      <c r="T41" s="33"/>
    </row>
    <row r="42" spans="1:20" ht="21.75" customHeight="1">
      <c r="A42" s="16"/>
      <c r="B42" s="33"/>
      <c r="C42" s="10"/>
      <c r="D42" s="10"/>
      <c r="E42" s="10"/>
      <c r="F42" s="10"/>
      <c r="G42" s="10"/>
      <c r="H42" s="10"/>
      <c r="I42" s="10"/>
      <c r="J42" s="10"/>
      <c r="K42" s="16"/>
      <c r="L42" s="15" t="str">
        <f t="shared" si="0"/>
        <v/>
      </c>
      <c r="M42" s="15" t="str">
        <f t="shared" si="1"/>
        <v/>
      </c>
      <c r="N42" s="15" t="str">
        <f t="shared" si="2"/>
        <v/>
      </c>
      <c r="O42" s="15" t="str">
        <f t="shared" si="3"/>
        <v/>
      </c>
      <c r="P42" s="15" t="str">
        <f t="shared" si="4"/>
        <v/>
      </c>
      <c r="Q42" s="15" t="str">
        <f t="shared" si="5"/>
        <v/>
      </c>
      <c r="R42" s="15" t="str">
        <f t="shared" si="6"/>
        <v/>
      </c>
      <c r="S42" s="19" t="str">
        <f t="shared" si="7"/>
        <v/>
      </c>
      <c r="T42" s="33"/>
    </row>
    <row r="43" spans="1:20" ht="21.75" customHeight="1">
      <c r="A43" s="16"/>
      <c r="B43" s="33"/>
      <c r="C43" s="10"/>
      <c r="D43" s="10"/>
      <c r="E43" s="10"/>
      <c r="F43" s="10"/>
      <c r="G43" s="10"/>
      <c r="H43" s="10"/>
      <c r="I43" s="10"/>
      <c r="J43" s="10"/>
      <c r="K43" s="16"/>
      <c r="L43" s="15" t="str">
        <f t="shared" si="0"/>
        <v/>
      </c>
      <c r="M43" s="15" t="str">
        <f t="shared" si="1"/>
        <v/>
      </c>
      <c r="N43" s="15" t="str">
        <f t="shared" si="2"/>
        <v/>
      </c>
      <c r="O43" s="15" t="str">
        <f t="shared" si="3"/>
        <v/>
      </c>
      <c r="P43" s="15" t="str">
        <f t="shared" si="4"/>
        <v/>
      </c>
      <c r="Q43" s="15" t="str">
        <f t="shared" si="5"/>
        <v/>
      </c>
      <c r="R43" s="15" t="str">
        <f t="shared" si="6"/>
        <v/>
      </c>
      <c r="S43" s="19" t="str">
        <f t="shared" si="7"/>
        <v/>
      </c>
      <c r="T43" s="33"/>
    </row>
    <row r="44" spans="1:20" ht="21.75" customHeight="1">
      <c r="A44" s="16"/>
      <c r="B44" s="33"/>
      <c r="C44" s="10"/>
      <c r="D44" s="10"/>
      <c r="E44" s="10"/>
      <c r="F44" s="10"/>
      <c r="G44" s="10"/>
      <c r="H44" s="10"/>
      <c r="I44" s="10"/>
      <c r="J44" s="10"/>
      <c r="K44" s="16"/>
      <c r="L44" s="15" t="str">
        <f t="shared" si="0"/>
        <v/>
      </c>
      <c r="M44" s="15" t="str">
        <f t="shared" si="1"/>
        <v/>
      </c>
      <c r="N44" s="15" t="str">
        <f t="shared" si="2"/>
        <v/>
      </c>
      <c r="O44" s="15" t="str">
        <f t="shared" si="3"/>
        <v/>
      </c>
      <c r="P44" s="15" t="str">
        <f t="shared" si="4"/>
        <v/>
      </c>
      <c r="Q44" s="15" t="str">
        <f t="shared" si="5"/>
        <v/>
      </c>
      <c r="R44" s="15" t="str">
        <f t="shared" si="6"/>
        <v/>
      </c>
      <c r="S44" s="19" t="str">
        <f t="shared" si="7"/>
        <v/>
      </c>
      <c r="T44" s="33"/>
    </row>
    <row r="45" spans="1:20" ht="21.75" customHeight="1">
      <c r="A45" s="16"/>
      <c r="B45" s="33"/>
      <c r="C45" s="10"/>
      <c r="D45" s="10"/>
      <c r="E45" s="10"/>
      <c r="F45" s="10"/>
      <c r="G45" s="10"/>
      <c r="H45" s="10"/>
      <c r="I45" s="10"/>
      <c r="J45" s="10"/>
      <c r="K45" s="16"/>
      <c r="L45" s="15" t="str">
        <f t="shared" si="0"/>
        <v/>
      </c>
      <c r="M45" s="15" t="str">
        <f t="shared" si="1"/>
        <v/>
      </c>
      <c r="N45" s="15" t="str">
        <f t="shared" si="2"/>
        <v/>
      </c>
      <c r="O45" s="15" t="str">
        <f t="shared" si="3"/>
        <v/>
      </c>
      <c r="P45" s="15" t="str">
        <f t="shared" si="4"/>
        <v/>
      </c>
      <c r="Q45" s="15" t="str">
        <f t="shared" si="5"/>
        <v/>
      </c>
      <c r="R45" s="15" t="str">
        <f t="shared" si="6"/>
        <v/>
      </c>
      <c r="S45" s="19" t="str">
        <f t="shared" si="7"/>
        <v/>
      </c>
      <c r="T45" s="33"/>
    </row>
    <row r="46" spans="1:20" ht="21.75" customHeight="1">
      <c r="A46" s="16"/>
      <c r="B46" s="33"/>
      <c r="C46" s="10"/>
      <c r="D46" s="10"/>
      <c r="E46" s="10"/>
      <c r="F46" s="10"/>
      <c r="G46" s="10"/>
      <c r="H46" s="10"/>
      <c r="I46" s="10"/>
      <c r="J46" s="10"/>
      <c r="K46" s="16"/>
      <c r="L46" s="15" t="str">
        <f t="shared" si="0"/>
        <v/>
      </c>
      <c r="M46" s="15" t="str">
        <f t="shared" si="1"/>
        <v/>
      </c>
      <c r="N46" s="15" t="str">
        <f t="shared" si="2"/>
        <v/>
      </c>
      <c r="O46" s="15" t="str">
        <f t="shared" si="3"/>
        <v/>
      </c>
      <c r="P46" s="15" t="str">
        <f t="shared" si="4"/>
        <v/>
      </c>
      <c r="Q46" s="15" t="str">
        <f t="shared" si="5"/>
        <v/>
      </c>
      <c r="R46" s="15" t="str">
        <f t="shared" si="6"/>
        <v/>
      </c>
      <c r="S46" s="19" t="str">
        <f t="shared" si="7"/>
        <v/>
      </c>
      <c r="T46" s="33"/>
    </row>
    <row r="47" spans="1:20" ht="21.75" customHeight="1">
      <c r="A47" s="16"/>
      <c r="B47" s="33"/>
      <c r="C47" s="10"/>
      <c r="D47" s="10"/>
      <c r="E47" s="10"/>
      <c r="F47" s="10"/>
      <c r="G47" s="10"/>
      <c r="H47" s="10"/>
      <c r="I47" s="10"/>
      <c r="J47" s="10"/>
      <c r="K47" s="16"/>
      <c r="L47" s="15" t="str">
        <f t="shared" si="0"/>
        <v/>
      </c>
      <c r="M47" s="15" t="str">
        <f t="shared" si="1"/>
        <v/>
      </c>
      <c r="N47" s="15" t="str">
        <f t="shared" si="2"/>
        <v/>
      </c>
      <c r="O47" s="15" t="str">
        <f t="shared" si="3"/>
        <v/>
      </c>
      <c r="P47" s="15" t="str">
        <f t="shared" si="4"/>
        <v/>
      </c>
      <c r="Q47" s="15" t="str">
        <f t="shared" si="5"/>
        <v/>
      </c>
      <c r="R47" s="15" t="str">
        <f t="shared" si="6"/>
        <v/>
      </c>
      <c r="S47" s="19" t="str">
        <f t="shared" si="7"/>
        <v/>
      </c>
      <c r="T47" s="33"/>
    </row>
    <row r="48" spans="1:20" ht="21.75" customHeight="1">
      <c r="A48" s="16"/>
      <c r="B48" s="33"/>
      <c r="C48" s="10"/>
      <c r="D48" s="10"/>
      <c r="E48" s="10"/>
      <c r="F48" s="10"/>
      <c r="G48" s="10"/>
      <c r="H48" s="10"/>
      <c r="I48" s="10"/>
      <c r="J48" s="10"/>
      <c r="K48" s="16"/>
      <c r="L48" s="15" t="str">
        <f t="shared" si="0"/>
        <v/>
      </c>
      <c r="M48" s="15" t="str">
        <f t="shared" si="1"/>
        <v/>
      </c>
      <c r="N48" s="15" t="str">
        <f t="shared" si="2"/>
        <v/>
      </c>
      <c r="O48" s="15" t="str">
        <f t="shared" si="3"/>
        <v/>
      </c>
      <c r="P48" s="15" t="str">
        <f t="shared" si="4"/>
        <v/>
      </c>
      <c r="Q48" s="15" t="str">
        <f t="shared" si="5"/>
        <v/>
      </c>
      <c r="R48" s="15" t="str">
        <f t="shared" si="6"/>
        <v/>
      </c>
      <c r="S48" s="19" t="str">
        <f t="shared" si="7"/>
        <v/>
      </c>
      <c r="T48" s="33"/>
    </row>
    <row r="49" spans="1:20" ht="21.75" customHeight="1">
      <c r="A49" s="16"/>
      <c r="B49" s="33"/>
      <c r="C49" s="10"/>
      <c r="D49" s="10"/>
      <c r="E49" s="10"/>
      <c r="F49" s="10"/>
      <c r="G49" s="10"/>
      <c r="H49" s="10"/>
      <c r="I49" s="10"/>
      <c r="J49" s="10"/>
      <c r="K49" s="16"/>
      <c r="L49" s="15" t="str">
        <f t="shared" si="0"/>
        <v/>
      </c>
      <c r="M49" s="15" t="str">
        <f t="shared" si="1"/>
        <v/>
      </c>
      <c r="N49" s="15" t="str">
        <f t="shared" si="2"/>
        <v/>
      </c>
      <c r="O49" s="15" t="str">
        <f t="shared" si="3"/>
        <v/>
      </c>
      <c r="P49" s="15" t="str">
        <f t="shared" si="4"/>
        <v/>
      </c>
      <c r="Q49" s="15" t="str">
        <f t="shared" si="5"/>
        <v/>
      </c>
      <c r="R49" s="15" t="str">
        <f t="shared" si="6"/>
        <v/>
      </c>
      <c r="S49" s="19" t="str">
        <f t="shared" si="7"/>
        <v/>
      </c>
      <c r="T49" s="33"/>
    </row>
    <row r="50" spans="1:20" ht="21.75" customHeight="1">
      <c r="A50" s="16"/>
      <c r="B50" s="33"/>
      <c r="C50" s="10"/>
      <c r="D50" s="10"/>
      <c r="E50" s="10"/>
      <c r="F50" s="10"/>
      <c r="G50" s="10"/>
      <c r="H50" s="10"/>
      <c r="I50" s="10"/>
      <c r="J50" s="10"/>
      <c r="K50" s="16"/>
      <c r="L50" s="15" t="str">
        <f t="shared" si="0"/>
        <v/>
      </c>
      <c r="M50" s="15" t="str">
        <f t="shared" si="1"/>
        <v/>
      </c>
      <c r="N50" s="15" t="str">
        <f t="shared" si="2"/>
        <v/>
      </c>
      <c r="O50" s="15" t="str">
        <f t="shared" si="3"/>
        <v/>
      </c>
      <c r="P50" s="15" t="str">
        <f t="shared" si="4"/>
        <v/>
      </c>
      <c r="Q50" s="15" t="str">
        <f t="shared" si="5"/>
        <v/>
      </c>
      <c r="R50" s="15" t="str">
        <f t="shared" si="6"/>
        <v/>
      </c>
      <c r="S50" s="19" t="str">
        <f t="shared" si="7"/>
        <v/>
      </c>
      <c r="T50" s="33"/>
    </row>
    <row r="51" spans="1:20" ht="21.75" customHeight="1">
      <c r="A51" s="16"/>
      <c r="B51" s="33"/>
      <c r="C51" s="10"/>
      <c r="D51" s="10"/>
      <c r="E51" s="10"/>
      <c r="F51" s="10"/>
      <c r="G51" s="10"/>
      <c r="H51" s="10"/>
      <c r="I51" s="10"/>
      <c r="J51" s="10"/>
      <c r="K51" s="16"/>
      <c r="L51" s="15" t="str">
        <f t="shared" si="0"/>
        <v/>
      </c>
      <c r="M51" s="15" t="str">
        <f t="shared" si="1"/>
        <v/>
      </c>
      <c r="N51" s="15" t="str">
        <f t="shared" si="2"/>
        <v/>
      </c>
      <c r="O51" s="15" t="str">
        <f t="shared" si="3"/>
        <v/>
      </c>
      <c r="P51" s="15" t="str">
        <f t="shared" si="4"/>
        <v/>
      </c>
      <c r="Q51" s="15" t="str">
        <f t="shared" si="5"/>
        <v/>
      </c>
      <c r="R51" s="15" t="str">
        <f t="shared" si="6"/>
        <v/>
      </c>
      <c r="S51" s="19" t="str">
        <f t="shared" si="7"/>
        <v/>
      </c>
      <c r="T51" s="33"/>
    </row>
    <row r="52" spans="1:20" ht="21.75" customHeight="1">
      <c r="A52" s="16"/>
      <c r="B52" s="33"/>
      <c r="C52" s="10"/>
      <c r="D52" s="10"/>
      <c r="E52" s="10"/>
      <c r="F52" s="10"/>
      <c r="G52" s="10"/>
      <c r="H52" s="10"/>
      <c r="I52" s="10"/>
      <c r="J52" s="10"/>
      <c r="K52" s="16"/>
      <c r="L52" s="15" t="str">
        <f t="shared" si="0"/>
        <v/>
      </c>
      <c r="M52" s="15" t="str">
        <f t="shared" si="1"/>
        <v/>
      </c>
      <c r="N52" s="15" t="str">
        <f t="shared" si="2"/>
        <v/>
      </c>
      <c r="O52" s="15" t="str">
        <f t="shared" si="3"/>
        <v/>
      </c>
      <c r="P52" s="15" t="str">
        <f t="shared" si="4"/>
        <v/>
      </c>
      <c r="Q52" s="15" t="str">
        <f t="shared" si="5"/>
        <v/>
      </c>
      <c r="R52" s="15" t="str">
        <f t="shared" si="6"/>
        <v/>
      </c>
      <c r="S52" s="19" t="str">
        <f t="shared" si="7"/>
        <v/>
      </c>
      <c r="T52" s="33"/>
    </row>
    <row r="53" spans="1:20" ht="21.75" customHeight="1">
      <c r="A53" s="16"/>
      <c r="B53" s="33"/>
      <c r="C53" s="10"/>
      <c r="D53" s="10"/>
      <c r="E53" s="10"/>
      <c r="F53" s="10"/>
      <c r="G53" s="10"/>
      <c r="H53" s="10"/>
      <c r="I53" s="10"/>
      <c r="J53" s="10"/>
      <c r="K53" s="16"/>
      <c r="L53" s="15" t="str">
        <f t="shared" si="0"/>
        <v/>
      </c>
      <c r="M53" s="15" t="str">
        <f t="shared" si="1"/>
        <v/>
      </c>
      <c r="N53" s="15" t="str">
        <f t="shared" si="2"/>
        <v/>
      </c>
      <c r="O53" s="15" t="str">
        <f t="shared" si="3"/>
        <v/>
      </c>
      <c r="P53" s="15" t="str">
        <f t="shared" si="4"/>
        <v/>
      </c>
      <c r="Q53" s="15" t="str">
        <f t="shared" si="5"/>
        <v/>
      </c>
      <c r="R53" s="15" t="str">
        <f t="shared" si="6"/>
        <v/>
      </c>
      <c r="S53" s="19" t="str">
        <f t="shared" si="7"/>
        <v/>
      </c>
      <c r="T53" s="33"/>
    </row>
    <row r="54" spans="1:20" ht="21.75" customHeight="1">
      <c r="A54" s="16"/>
      <c r="B54" s="33"/>
      <c r="C54" s="10"/>
      <c r="D54" s="10"/>
      <c r="E54" s="10"/>
      <c r="F54" s="10"/>
      <c r="G54" s="10"/>
      <c r="H54" s="10"/>
      <c r="I54" s="10"/>
      <c r="J54" s="10"/>
      <c r="K54" s="16"/>
      <c r="L54" s="15" t="str">
        <f t="shared" si="0"/>
        <v/>
      </c>
      <c r="M54" s="15" t="str">
        <f t="shared" si="1"/>
        <v/>
      </c>
      <c r="N54" s="15" t="str">
        <f t="shared" si="2"/>
        <v/>
      </c>
      <c r="O54" s="15" t="str">
        <f t="shared" si="3"/>
        <v/>
      </c>
      <c r="P54" s="15" t="str">
        <f t="shared" si="4"/>
        <v/>
      </c>
      <c r="Q54" s="15" t="str">
        <f t="shared" si="5"/>
        <v/>
      </c>
      <c r="R54" s="15" t="str">
        <f t="shared" si="6"/>
        <v/>
      </c>
      <c r="S54" s="19" t="str">
        <f t="shared" si="7"/>
        <v/>
      </c>
      <c r="T54" s="33"/>
    </row>
    <row r="55" spans="1:20" ht="21.75" customHeight="1">
      <c r="A55" s="16"/>
      <c r="B55" s="33"/>
      <c r="C55" s="10"/>
      <c r="D55" s="10"/>
      <c r="E55" s="10"/>
      <c r="F55" s="10"/>
      <c r="G55" s="10"/>
      <c r="H55" s="10"/>
      <c r="I55" s="10"/>
      <c r="J55" s="10"/>
      <c r="K55" s="16"/>
      <c r="L55" s="15" t="str">
        <f t="shared" si="0"/>
        <v/>
      </c>
      <c r="M55" s="15" t="str">
        <f t="shared" si="1"/>
        <v/>
      </c>
      <c r="N55" s="15" t="str">
        <f t="shared" si="2"/>
        <v/>
      </c>
      <c r="O55" s="15" t="str">
        <f t="shared" si="3"/>
        <v/>
      </c>
      <c r="P55" s="15" t="str">
        <f t="shared" si="4"/>
        <v/>
      </c>
      <c r="Q55" s="15" t="str">
        <f t="shared" si="5"/>
        <v/>
      </c>
      <c r="R55" s="15" t="str">
        <f t="shared" si="6"/>
        <v/>
      </c>
      <c r="S55" s="19" t="str">
        <f t="shared" si="7"/>
        <v/>
      </c>
      <c r="T55" s="33"/>
    </row>
    <row r="56" spans="1:20" ht="21.75" customHeight="1">
      <c r="A56" s="16"/>
      <c r="B56" s="33"/>
      <c r="C56" s="10"/>
      <c r="D56" s="10"/>
      <c r="E56" s="10"/>
      <c r="F56" s="10"/>
      <c r="G56" s="10"/>
      <c r="H56" s="10"/>
      <c r="I56" s="10"/>
      <c r="J56" s="10"/>
      <c r="K56" s="16"/>
      <c r="L56" s="15" t="str">
        <f t="shared" si="0"/>
        <v/>
      </c>
      <c r="M56" s="15" t="str">
        <f t="shared" si="1"/>
        <v/>
      </c>
      <c r="N56" s="15" t="str">
        <f t="shared" si="2"/>
        <v/>
      </c>
      <c r="O56" s="15" t="str">
        <f t="shared" si="3"/>
        <v/>
      </c>
      <c r="P56" s="15" t="str">
        <f t="shared" si="4"/>
        <v/>
      </c>
      <c r="Q56" s="15" t="str">
        <f t="shared" si="5"/>
        <v/>
      </c>
      <c r="R56" s="15" t="str">
        <f t="shared" si="6"/>
        <v/>
      </c>
      <c r="S56" s="19" t="str">
        <f t="shared" si="7"/>
        <v/>
      </c>
      <c r="T56" s="33"/>
    </row>
    <row r="57" spans="1:20" ht="21.75" customHeight="1">
      <c r="A57" s="16"/>
      <c r="B57" s="33"/>
      <c r="C57" s="10"/>
      <c r="D57" s="10"/>
      <c r="E57" s="10"/>
      <c r="F57" s="10"/>
      <c r="G57" s="10"/>
      <c r="H57" s="10"/>
      <c r="I57" s="10"/>
      <c r="J57" s="10"/>
      <c r="K57" s="16"/>
      <c r="L57" s="15" t="str">
        <f t="shared" si="0"/>
        <v/>
      </c>
      <c r="M57" s="15" t="str">
        <f t="shared" si="1"/>
        <v/>
      </c>
      <c r="N57" s="15" t="str">
        <f t="shared" si="2"/>
        <v/>
      </c>
      <c r="O57" s="15" t="str">
        <f t="shared" si="3"/>
        <v/>
      </c>
      <c r="P57" s="15" t="str">
        <f t="shared" si="4"/>
        <v/>
      </c>
      <c r="Q57" s="15" t="str">
        <f t="shared" si="5"/>
        <v/>
      </c>
      <c r="R57" s="15" t="str">
        <f t="shared" si="6"/>
        <v/>
      </c>
      <c r="S57" s="19" t="str">
        <f t="shared" si="7"/>
        <v/>
      </c>
      <c r="T57" s="33"/>
    </row>
    <row r="58" spans="1:20" ht="21.75" customHeight="1">
      <c r="A58" s="16"/>
      <c r="B58" s="33"/>
      <c r="C58" s="10"/>
      <c r="D58" s="10"/>
      <c r="E58" s="10"/>
      <c r="F58" s="10"/>
      <c r="G58" s="10"/>
      <c r="H58" s="10"/>
      <c r="I58" s="10"/>
      <c r="J58" s="10"/>
      <c r="K58" s="16"/>
      <c r="L58" s="15" t="str">
        <f t="shared" si="0"/>
        <v/>
      </c>
      <c r="M58" s="15" t="str">
        <f t="shared" si="1"/>
        <v/>
      </c>
      <c r="N58" s="15" t="str">
        <f t="shared" si="2"/>
        <v/>
      </c>
      <c r="O58" s="15" t="str">
        <f t="shared" si="3"/>
        <v/>
      </c>
      <c r="P58" s="15" t="str">
        <f t="shared" si="4"/>
        <v/>
      </c>
      <c r="Q58" s="15" t="str">
        <f t="shared" si="5"/>
        <v/>
      </c>
      <c r="R58" s="15" t="str">
        <f t="shared" si="6"/>
        <v/>
      </c>
      <c r="S58" s="19" t="str">
        <f t="shared" si="7"/>
        <v/>
      </c>
      <c r="T58" s="33"/>
    </row>
    <row r="59" spans="1:20" ht="21.75" customHeight="1">
      <c r="A59" s="16"/>
      <c r="B59" s="33"/>
      <c r="C59" s="10"/>
      <c r="D59" s="10"/>
      <c r="E59" s="10"/>
      <c r="F59" s="10"/>
      <c r="G59" s="10"/>
      <c r="H59" s="10"/>
      <c r="I59" s="10"/>
      <c r="J59" s="10"/>
      <c r="K59" s="16"/>
      <c r="L59" s="15" t="str">
        <f t="shared" si="0"/>
        <v/>
      </c>
      <c r="M59" s="15" t="str">
        <f t="shared" si="1"/>
        <v/>
      </c>
      <c r="N59" s="15" t="str">
        <f t="shared" si="2"/>
        <v/>
      </c>
      <c r="O59" s="15" t="str">
        <f t="shared" si="3"/>
        <v/>
      </c>
      <c r="P59" s="15" t="str">
        <f t="shared" si="4"/>
        <v/>
      </c>
      <c r="Q59" s="15" t="str">
        <f t="shared" si="5"/>
        <v/>
      </c>
      <c r="R59" s="15" t="str">
        <f t="shared" si="6"/>
        <v/>
      </c>
      <c r="S59" s="19" t="str">
        <f t="shared" si="7"/>
        <v/>
      </c>
      <c r="T59" s="33"/>
    </row>
    <row r="60" spans="1:20" ht="21.75" customHeight="1">
      <c r="A60" s="16"/>
      <c r="B60" s="33"/>
      <c r="C60" s="10"/>
      <c r="D60" s="10"/>
      <c r="E60" s="10"/>
      <c r="F60" s="10"/>
      <c r="G60" s="10"/>
      <c r="H60" s="10"/>
      <c r="I60" s="10"/>
      <c r="J60" s="10"/>
      <c r="K60" s="16"/>
      <c r="L60" s="15" t="str">
        <f t="shared" si="0"/>
        <v/>
      </c>
      <c r="M60" s="15" t="str">
        <f t="shared" si="1"/>
        <v/>
      </c>
      <c r="N60" s="15" t="str">
        <f t="shared" si="2"/>
        <v/>
      </c>
      <c r="O60" s="15" t="str">
        <f t="shared" si="3"/>
        <v/>
      </c>
      <c r="P60" s="15" t="str">
        <f t="shared" si="4"/>
        <v/>
      </c>
      <c r="Q60" s="15" t="str">
        <f t="shared" si="5"/>
        <v/>
      </c>
      <c r="R60" s="15" t="str">
        <f t="shared" si="6"/>
        <v/>
      </c>
      <c r="S60" s="19" t="str">
        <f t="shared" si="7"/>
        <v/>
      </c>
      <c r="T60" s="33"/>
    </row>
    <row r="61" spans="1:20" ht="21.75" customHeight="1">
      <c r="A61" s="16"/>
      <c r="B61" s="33"/>
      <c r="C61" s="10"/>
      <c r="D61" s="10"/>
      <c r="E61" s="10"/>
      <c r="F61" s="10"/>
      <c r="G61" s="10"/>
      <c r="H61" s="10"/>
      <c r="I61" s="10"/>
      <c r="J61" s="10"/>
      <c r="K61" s="16"/>
      <c r="L61" s="15" t="str">
        <f t="shared" si="0"/>
        <v/>
      </c>
      <c r="M61" s="15" t="str">
        <f t="shared" si="1"/>
        <v/>
      </c>
      <c r="N61" s="15" t="str">
        <f t="shared" si="2"/>
        <v/>
      </c>
      <c r="O61" s="15" t="str">
        <f t="shared" si="3"/>
        <v/>
      </c>
      <c r="P61" s="15" t="str">
        <f t="shared" si="4"/>
        <v/>
      </c>
      <c r="Q61" s="15" t="str">
        <f t="shared" si="5"/>
        <v/>
      </c>
      <c r="R61" s="15" t="str">
        <f t="shared" si="6"/>
        <v/>
      </c>
      <c r="S61" s="19" t="str">
        <f t="shared" si="7"/>
        <v/>
      </c>
      <c r="T61" s="33"/>
    </row>
    <row r="62" spans="1:20" ht="21.75" customHeight="1">
      <c r="A62" s="16"/>
      <c r="B62" s="33"/>
      <c r="C62" s="10"/>
      <c r="D62" s="10"/>
      <c r="E62" s="10"/>
      <c r="F62" s="10"/>
      <c r="G62" s="10"/>
      <c r="H62" s="10"/>
      <c r="I62" s="10"/>
      <c r="J62" s="10"/>
      <c r="K62" s="16"/>
      <c r="L62" s="15" t="str">
        <f t="shared" si="0"/>
        <v/>
      </c>
      <c r="M62" s="15" t="str">
        <f t="shared" si="1"/>
        <v/>
      </c>
      <c r="N62" s="15" t="str">
        <f t="shared" si="2"/>
        <v/>
      </c>
      <c r="O62" s="15" t="str">
        <f t="shared" si="3"/>
        <v/>
      </c>
      <c r="P62" s="15" t="str">
        <f t="shared" si="4"/>
        <v/>
      </c>
      <c r="Q62" s="15" t="str">
        <f t="shared" si="5"/>
        <v/>
      </c>
      <c r="R62" s="15" t="str">
        <f t="shared" si="6"/>
        <v/>
      </c>
      <c r="S62" s="19" t="str">
        <f t="shared" si="7"/>
        <v/>
      </c>
      <c r="T62" s="33"/>
    </row>
    <row r="63" spans="1:20" ht="21.75" customHeight="1">
      <c r="A63" s="16"/>
      <c r="B63" s="33"/>
      <c r="C63" s="10"/>
      <c r="D63" s="10"/>
      <c r="E63" s="10"/>
      <c r="F63" s="10"/>
      <c r="G63" s="10"/>
      <c r="H63" s="10"/>
      <c r="I63" s="10"/>
      <c r="J63" s="10"/>
      <c r="K63" s="16"/>
      <c r="L63" s="15" t="str">
        <f t="shared" si="0"/>
        <v/>
      </c>
      <c r="M63" s="15" t="str">
        <f t="shared" si="1"/>
        <v/>
      </c>
      <c r="N63" s="15" t="str">
        <f t="shared" si="2"/>
        <v/>
      </c>
      <c r="O63" s="15" t="str">
        <f t="shared" si="3"/>
        <v/>
      </c>
      <c r="P63" s="15" t="str">
        <f t="shared" si="4"/>
        <v/>
      </c>
      <c r="Q63" s="15" t="str">
        <f t="shared" si="5"/>
        <v/>
      </c>
      <c r="R63" s="15" t="str">
        <f t="shared" si="6"/>
        <v/>
      </c>
      <c r="S63" s="19" t="str">
        <f t="shared" si="7"/>
        <v/>
      </c>
      <c r="T63" s="33"/>
    </row>
    <row r="64" spans="1:20" ht="21.75" customHeight="1">
      <c r="A64" s="16"/>
      <c r="B64" s="33"/>
      <c r="C64" s="10"/>
      <c r="D64" s="10"/>
      <c r="E64" s="10"/>
      <c r="F64" s="10"/>
      <c r="G64" s="10"/>
      <c r="H64" s="10"/>
      <c r="I64" s="10"/>
      <c r="J64" s="10"/>
      <c r="K64" s="16"/>
      <c r="L64" s="15" t="str">
        <f t="shared" si="0"/>
        <v/>
      </c>
      <c r="M64" s="15" t="str">
        <f t="shared" si="1"/>
        <v/>
      </c>
      <c r="N64" s="15" t="str">
        <f t="shared" si="2"/>
        <v/>
      </c>
      <c r="O64" s="15" t="str">
        <f t="shared" si="3"/>
        <v/>
      </c>
      <c r="P64" s="15" t="str">
        <f t="shared" si="4"/>
        <v/>
      </c>
      <c r="Q64" s="15" t="str">
        <f t="shared" si="5"/>
        <v/>
      </c>
      <c r="R64" s="15" t="str">
        <f t="shared" si="6"/>
        <v/>
      </c>
      <c r="S64" s="19" t="str">
        <f t="shared" si="7"/>
        <v/>
      </c>
      <c r="T64" s="33"/>
    </row>
    <row r="65" spans="1:20" ht="21.75" customHeight="1">
      <c r="A65" s="16"/>
      <c r="B65" s="33"/>
      <c r="C65" s="10"/>
      <c r="D65" s="10"/>
      <c r="E65" s="10"/>
      <c r="F65" s="10"/>
      <c r="G65" s="10"/>
      <c r="H65" s="10"/>
      <c r="I65" s="10"/>
      <c r="J65" s="10"/>
      <c r="K65" s="16"/>
      <c r="L65" s="15" t="str">
        <f t="shared" si="0"/>
        <v/>
      </c>
      <c r="M65" s="15" t="str">
        <f t="shared" si="1"/>
        <v/>
      </c>
      <c r="N65" s="15" t="str">
        <f t="shared" si="2"/>
        <v/>
      </c>
      <c r="O65" s="15" t="str">
        <f t="shared" si="3"/>
        <v/>
      </c>
      <c r="P65" s="15" t="str">
        <f t="shared" si="4"/>
        <v/>
      </c>
      <c r="Q65" s="15" t="str">
        <f t="shared" si="5"/>
        <v/>
      </c>
      <c r="R65" s="15" t="str">
        <f t="shared" si="6"/>
        <v/>
      </c>
      <c r="S65" s="19" t="str">
        <f t="shared" si="7"/>
        <v/>
      </c>
      <c r="T65" s="33"/>
    </row>
    <row r="66" spans="1:20" ht="21.75" customHeight="1">
      <c r="A66" s="16"/>
      <c r="B66" s="33"/>
      <c r="C66" s="10"/>
      <c r="D66" s="10"/>
      <c r="E66" s="10"/>
      <c r="F66" s="10"/>
      <c r="G66" s="10"/>
      <c r="H66" s="10"/>
      <c r="I66" s="10"/>
      <c r="J66" s="10"/>
      <c r="K66" s="16"/>
      <c r="L66" s="15" t="str">
        <f t="shared" si="0"/>
        <v/>
      </c>
      <c r="M66" s="15" t="str">
        <f t="shared" si="1"/>
        <v/>
      </c>
      <c r="N66" s="15" t="str">
        <f t="shared" si="2"/>
        <v/>
      </c>
      <c r="O66" s="15" t="str">
        <f t="shared" si="3"/>
        <v/>
      </c>
      <c r="P66" s="15" t="str">
        <f t="shared" si="4"/>
        <v/>
      </c>
      <c r="Q66" s="15" t="str">
        <f t="shared" si="5"/>
        <v/>
      </c>
      <c r="R66" s="15" t="str">
        <f t="shared" si="6"/>
        <v/>
      </c>
      <c r="S66" s="19" t="str">
        <f t="shared" si="7"/>
        <v/>
      </c>
      <c r="T66" s="33"/>
    </row>
    <row r="67" spans="1:20" ht="21.75" customHeight="1">
      <c r="A67" s="16"/>
      <c r="B67" s="33"/>
      <c r="C67" s="10"/>
      <c r="D67" s="10"/>
      <c r="E67" s="10"/>
      <c r="F67" s="10"/>
      <c r="G67" s="10"/>
      <c r="H67" s="10"/>
      <c r="I67" s="10"/>
      <c r="J67" s="10"/>
      <c r="K67" s="16"/>
      <c r="L67" s="15" t="str">
        <f t="shared" si="0"/>
        <v/>
      </c>
      <c r="M67" s="15" t="str">
        <f t="shared" si="1"/>
        <v/>
      </c>
      <c r="N67" s="15" t="str">
        <f t="shared" si="2"/>
        <v/>
      </c>
      <c r="O67" s="15" t="str">
        <f t="shared" si="3"/>
        <v/>
      </c>
      <c r="P67" s="15" t="str">
        <f t="shared" si="4"/>
        <v/>
      </c>
      <c r="Q67" s="15" t="str">
        <f t="shared" si="5"/>
        <v/>
      </c>
      <c r="R67" s="15" t="str">
        <f t="shared" si="6"/>
        <v/>
      </c>
      <c r="S67" s="19" t="str">
        <f t="shared" si="7"/>
        <v/>
      </c>
      <c r="T67" s="33"/>
    </row>
    <row r="68" spans="1:20" ht="21.75" customHeight="1">
      <c r="A68" s="16"/>
      <c r="B68" s="33"/>
      <c r="C68" s="10"/>
      <c r="D68" s="10"/>
      <c r="E68" s="10"/>
      <c r="F68" s="10"/>
      <c r="G68" s="10"/>
      <c r="H68" s="10"/>
      <c r="I68" s="10"/>
      <c r="J68" s="10"/>
      <c r="K68" s="16"/>
      <c r="L68" s="15" t="str">
        <f t="shared" si="0"/>
        <v/>
      </c>
      <c r="M68" s="15" t="str">
        <f t="shared" si="1"/>
        <v/>
      </c>
      <c r="N68" s="15" t="str">
        <f t="shared" si="2"/>
        <v/>
      </c>
      <c r="O68" s="15" t="str">
        <f t="shared" si="3"/>
        <v/>
      </c>
      <c r="P68" s="15" t="str">
        <f t="shared" si="4"/>
        <v/>
      </c>
      <c r="Q68" s="15" t="str">
        <f t="shared" si="5"/>
        <v/>
      </c>
      <c r="R68" s="15" t="str">
        <f t="shared" si="6"/>
        <v/>
      </c>
      <c r="S68" s="19" t="str">
        <f t="shared" si="7"/>
        <v/>
      </c>
      <c r="T68" s="33"/>
    </row>
    <row r="69" spans="1:20" ht="21.75" customHeight="1">
      <c r="A69" s="16"/>
      <c r="B69" s="33"/>
      <c r="C69" s="10"/>
      <c r="D69" s="10"/>
      <c r="E69" s="10"/>
      <c r="F69" s="10"/>
      <c r="G69" s="10"/>
      <c r="H69" s="10"/>
      <c r="I69" s="10"/>
      <c r="J69" s="10"/>
      <c r="K69" s="16"/>
      <c r="L69" s="15" t="str">
        <f t="shared" si="0"/>
        <v/>
      </c>
      <c r="M69" s="15" t="str">
        <f t="shared" si="1"/>
        <v/>
      </c>
      <c r="N69" s="15" t="str">
        <f t="shared" si="2"/>
        <v/>
      </c>
      <c r="O69" s="15" t="str">
        <f t="shared" si="3"/>
        <v/>
      </c>
      <c r="P69" s="15" t="str">
        <f t="shared" si="4"/>
        <v/>
      </c>
      <c r="Q69" s="15" t="str">
        <f t="shared" si="5"/>
        <v/>
      </c>
      <c r="R69" s="15" t="str">
        <f t="shared" si="6"/>
        <v/>
      </c>
      <c r="S69" s="19" t="str">
        <f t="shared" si="7"/>
        <v/>
      </c>
      <c r="T69" s="33"/>
    </row>
    <row r="70" spans="1:20" ht="21.75" customHeight="1">
      <c r="A70" s="16"/>
      <c r="B70" s="33"/>
      <c r="C70" s="10"/>
      <c r="D70" s="10"/>
      <c r="E70" s="10"/>
      <c r="F70" s="10"/>
      <c r="G70" s="10"/>
      <c r="H70" s="10"/>
      <c r="I70" s="10"/>
      <c r="J70" s="10"/>
      <c r="K70" s="16"/>
      <c r="L70" s="15" t="str">
        <f t="shared" ref="L70:L133" si="8">IF(OR(C70="",D70="",D70&lt;=0),"",C70/D70)</f>
        <v/>
      </c>
      <c r="M70" s="15" t="str">
        <f t="shared" ref="M70:M133" si="9">IF(OR(F70="",G70=""),"",F70-G70)</f>
        <v/>
      </c>
      <c r="N70" s="15" t="str">
        <f t="shared" ref="N70:N133" si="10">IF(OR(D70="",F70=""),"",D70-F70)</f>
        <v/>
      </c>
      <c r="O70" s="15" t="str">
        <f t="shared" ref="O70:O133" si="11">IF(OR(G70="",H70=""),"",G70-H70-I70)</f>
        <v/>
      </c>
      <c r="P70" s="15" t="str">
        <f t="shared" ref="P70:P133" si="12">IF(OR(H70="",J70="",J70&lt;=0),"",H70/J70)</f>
        <v/>
      </c>
      <c r="Q70" s="15" t="str">
        <f t="shared" ref="Q70:Q133" si="13">IF(S70&lt;&gt;"已完整划转","",C70+E70)</f>
        <v/>
      </c>
      <c r="R70" s="15" t="str">
        <f t="shared" ref="R70:R133" si="14">IF(Q70="","",Q70/J70)</f>
        <v/>
      </c>
      <c r="S70" s="19" t="str">
        <f t="shared" ref="S70:S133" si="15">IF(COUNTA(A70:K70)=0,"",IF(OR(A70="",C70="",D70="",F70="",G70="",H70="",J70="",K70=""),"待补分段记录",IF(OR(C70&lt;=0,D70&lt;=0,J70&lt;=0,E70&lt;0,I70&lt;0,M70&lt; -0.01,N70&lt; -0.01,O70&lt; -0.01),"金额关系待检查",IF(OR(ABS(N70)&gt;0.01,ABS(O70)&gt;0.01),"尚有港元余额","已完整划转"))))</f>
        <v/>
      </c>
      <c r="T70" s="33"/>
    </row>
    <row r="71" spans="1:20" ht="21.75" customHeight="1">
      <c r="A71" s="16"/>
      <c r="B71" s="33"/>
      <c r="C71" s="10"/>
      <c r="D71" s="10"/>
      <c r="E71" s="10"/>
      <c r="F71" s="10"/>
      <c r="G71" s="10"/>
      <c r="H71" s="10"/>
      <c r="I71" s="10"/>
      <c r="J71" s="10"/>
      <c r="K71" s="16"/>
      <c r="L71" s="15" t="str">
        <f t="shared" si="8"/>
        <v/>
      </c>
      <c r="M71" s="15" t="str">
        <f t="shared" si="9"/>
        <v/>
      </c>
      <c r="N71" s="15" t="str">
        <f t="shared" si="10"/>
        <v/>
      </c>
      <c r="O71" s="15" t="str">
        <f t="shared" si="11"/>
        <v/>
      </c>
      <c r="P71" s="15" t="str">
        <f t="shared" si="12"/>
        <v/>
      </c>
      <c r="Q71" s="15" t="str">
        <f t="shared" si="13"/>
        <v/>
      </c>
      <c r="R71" s="15" t="str">
        <f t="shared" si="14"/>
        <v/>
      </c>
      <c r="S71" s="19" t="str">
        <f t="shared" si="15"/>
        <v/>
      </c>
      <c r="T71" s="33"/>
    </row>
    <row r="72" spans="1:20" ht="21.75" customHeight="1">
      <c r="A72" s="16"/>
      <c r="B72" s="33"/>
      <c r="C72" s="10"/>
      <c r="D72" s="10"/>
      <c r="E72" s="10"/>
      <c r="F72" s="10"/>
      <c r="G72" s="10"/>
      <c r="H72" s="10"/>
      <c r="I72" s="10"/>
      <c r="J72" s="10"/>
      <c r="K72" s="16"/>
      <c r="L72" s="15" t="str">
        <f t="shared" si="8"/>
        <v/>
      </c>
      <c r="M72" s="15" t="str">
        <f t="shared" si="9"/>
        <v/>
      </c>
      <c r="N72" s="15" t="str">
        <f t="shared" si="10"/>
        <v/>
      </c>
      <c r="O72" s="15" t="str">
        <f t="shared" si="11"/>
        <v/>
      </c>
      <c r="P72" s="15" t="str">
        <f t="shared" si="12"/>
        <v/>
      </c>
      <c r="Q72" s="15" t="str">
        <f t="shared" si="13"/>
        <v/>
      </c>
      <c r="R72" s="15" t="str">
        <f t="shared" si="14"/>
        <v/>
      </c>
      <c r="S72" s="19" t="str">
        <f t="shared" si="15"/>
        <v/>
      </c>
      <c r="T72" s="33"/>
    </row>
    <row r="73" spans="1:20" ht="21.75" customHeight="1">
      <c r="A73" s="16"/>
      <c r="B73" s="33"/>
      <c r="C73" s="10"/>
      <c r="D73" s="10"/>
      <c r="E73" s="10"/>
      <c r="F73" s="10"/>
      <c r="G73" s="10"/>
      <c r="H73" s="10"/>
      <c r="I73" s="10"/>
      <c r="J73" s="10"/>
      <c r="K73" s="16"/>
      <c r="L73" s="15" t="str">
        <f t="shared" si="8"/>
        <v/>
      </c>
      <c r="M73" s="15" t="str">
        <f t="shared" si="9"/>
        <v/>
      </c>
      <c r="N73" s="15" t="str">
        <f t="shared" si="10"/>
        <v/>
      </c>
      <c r="O73" s="15" t="str">
        <f t="shared" si="11"/>
        <v/>
      </c>
      <c r="P73" s="15" t="str">
        <f t="shared" si="12"/>
        <v/>
      </c>
      <c r="Q73" s="15" t="str">
        <f t="shared" si="13"/>
        <v/>
      </c>
      <c r="R73" s="15" t="str">
        <f t="shared" si="14"/>
        <v/>
      </c>
      <c r="S73" s="19" t="str">
        <f t="shared" si="15"/>
        <v/>
      </c>
      <c r="T73" s="33"/>
    </row>
    <row r="74" spans="1:20" ht="21.75" customHeight="1">
      <c r="A74" s="16"/>
      <c r="B74" s="33"/>
      <c r="C74" s="10"/>
      <c r="D74" s="10"/>
      <c r="E74" s="10"/>
      <c r="F74" s="10"/>
      <c r="G74" s="10"/>
      <c r="H74" s="10"/>
      <c r="I74" s="10"/>
      <c r="J74" s="10"/>
      <c r="K74" s="16"/>
      <c r="L74" s="15" t="str">
        <f t="shared" si="8"/>
        <v/>
      </c>
      <c r="M74" s="15" t="str">
        <f t="shared" si="9"/>
        <v/>
      </c>
      <c r="N74" s="15" t="str">
        <f t="shared" si="10"/>
        <v/>
      </c>
      <c r="O74" s="15" t="str">
        <f t="shared" si="11"/>
        <v/>
      </c>
      <c r="P74" s="15" t="str">
        <f t="shared" si="12"/>
        <v/>
      </c>
      <c r="Q74" s="15" t="str">
        <f t="shared" si="13"/>
        <v/>
      </c>
      <c r="R74" s="15" t="str">
        <f t="shared" si="14"/>
        <v/>
      </c>
      <c r="S74" s="19" t="str">
        <f t="shared" si="15"/>
        <v/>
      </c>
      <c r="T74" s="33"/>
    </row>
    <row r="75" spans="1:20" ht="21.75" customHeight="1">
      <c r="A75" s="16"/>
      <c r="B75" s="33"/>
      <c r="C75" s="10"/>
      <c r="D75" s="10"/>
      <c r="E75" s="10"/>
      <c r="F75" s="10"/>
      <c r="G75" s="10"/>
      <c r="H75" s="10"/>
      <c r="I75" s="10"/>
      <c r="J75" s="10"/>
      <c r="K75" s="16"/>
      <c r="L75" s="15" t="str">
        <f t="shared" si="8"/>
        <v/>
      </c>
      <c r="M75" s="15" t="str">
        <f t="shared" si="9"/>
        <v/>
      </c>
      <c r="N75" s="15" t="str">
        <f t="shared" si="10"/>
        <v/>
      </c>
      <c r="O75" s="15" t="str">
        <f t="shared" si="11"/>
        <v/>
      </c>
      <c r="P75" s="15" t="str">
        <f t="shared" si="12"/>
        <v/>
      </c>
      <c r="Q75" s="15" t="str">
        <f t="shared" si="13"/>
        <v/>
      </c>
      <c r="R75" s="15" t="str">
        <f t="shared" si="14"/>
        <v/>
      </c>
      <c r="S75" s="19" t="str">
        <f t="shared" si="15"/>
        <v/>
      </c>
      <c r="T75" s="33"/>
    </row>
    <row r="76" spans="1:20" ht="21.75" customHeight="1">
      <c r="A76" s="16"/>
      <c r="B76" s="33"/>
      <c r="C76" s="10"/>
      <c r="D76" s="10"/>
      <c r="E76" s="10"/>
      <c r="F76" s="10"/>
      <c r="G76" s="10"/>
      <c r="H76" s="10"/>
      <c r="I76" s="10"/>
      <c r="J76" s="10"/>
      <c r="K76" s="16"/>
      <c r="L76" s="15" t="str">
        <f t="shared" si="8"/>
        <v/>
      </c>
      <c r="M76" s="15" t="str">
        <f t="shared" si="9"/>
        <v/>
      </c>
      <c r="N76" s="15" t="str">
        <f t="shared" si="10"/>
        <v/>
      </c>
      <c r="O76" s="15" t="str">
        <f t="shared" si="11"/>
        <v/>
      </c>
      <c r="P76" s="15" t="str">
        <f t="shared" si="12"/>
        <v/>
      </c>
      <c r="Q76" s="15" t="str">
        <f t="shared" si="13"/>
        <v/>
      </c>
      <c r="R76" s="15" t="str">
        <f t="shared" si="14"/>
        <v/>
      </c>
      <c r="S76" s="19" t="str">
        <f t="shared" si="15"/>
        <v/>
      </c>
      <c r="T76" s="33"/>
    </row>
    <row r="77" spans="1:20" ht="21.75" customHeight="1">
      <c r="A77" s="16"/>
      <c r="B77" s="33"/>
      <c r="C77" s="10"/>
      <c r="D77" s="10"/>
      <c r="E77" s="10"/>
      <c r="F77" s="10"/>
      <c r="G77" s="10"/>
      <c r="H77" s="10"/>
      <c r="I77" s="10"/>
      <c r="J77" s="10"/>
      <c r="K77" s="16"/>
      <c r="L77" s="15" t="str">
        <f t="shared" si="8"/>
        <v/>
      </c>
      <c r="M77" s="15" t="str">
        <f t="shared" si="9"/>
        <v/>
      </c>
      <c r="N77" s="15" t="str">
        <f t="shared" si="10"/>
        <v/>
      </c>
      <c r="O77" s="15" t="str">
        <f t="shared" si="11"/>
        <v/>
      </c>
      <c r="P77" s="15" t="str">
        <f t="shared" si="12"/>
        <v/>
      </c>
      <c r="Q77" s="15" t="str">
        <f t="shared" si="13"/>
        <v/>
      </c>
      <c r="R77" s="15" t="str">
        <f t="shared" si="14"/>
        <v/>
      </c>
      <c r="S77" s="19" t="str">
        <f t="shared" si="15"/>
        <v/>
      </c>
      <c r="T77" s="33"/>
    </row>
    <row r="78" spans="1:20" ht="21.75" customHeight="1">
      <c r="A78" s="16"/>
      <c r="B78" s="33"/>
      <c r="C78" s="10"/>
      <c r="D78" s="10"/>
      <c r="E78" s="10"/>
      <c r="F78" s="10"/>
      <c r="G78" s="10"/>
      <c r="H78" s="10"/>
      <c r="I78" s="10"/>
      <c r="J78" s="10"/>
      <c r="K78" s="16"/>
      <c r="L78" s="15" t="str">
        <f t="shared" si="8"/>
        <v/>
      </c>
      <c r="M78" s="15" t="str">
        <f t="shared" si="9"/>
        <v/>
      </c>
      <c r="N78" s="15" t="str">
        <f t="shared" si="10"/>
        <v/>
      </c>
      <c r="O78" s="15" t="str">
        <f t="shared" si="11"/>
        <v/>
      </c>
      <c r="P78" s="15" t="str">
        <f t="shared" si="12"/>
        <v/>
      </c>
      <c r="Q78" s="15" t="str">
        <f t="shared" si="13"/>
        <v/>
      </c>
      <c r="R78" s="15" t="str">
        <f t="shared" si="14"/>
        <v/>
      </c>
      <c r="S78" s="19" t="str">
        <f t="shared" si="15"/>
        <v/>
      </c>
      <c r="T78" s="33"/>
    </row>
    <row r="79" spans="1:20" ht="21.75" customHeight="1">
      <c r="A79" s="16"/>
      <c r="B79" s="33"/>
      <c r="C79" s="10"/>
      <c r="D79" s="10"/>
      <c r="E79" s="10"/>
      <c r="F79" s="10"/>
      <c r="G79" s="10"/>
      <c r="H79" s="10"/>
      <c r="I79" s="10"/>
      <c r="J79" s="10"/>
      <c r="K79" s="16"/>
      <c r="L79" s="15" t="str">
        <f t="shared" si="8"/>
        <v/>
      </c>
      <c r="M79" s="15" t="str">
        <f t="shared" si="9"/>
        <v/>
      </c>
      <c r="N79" s="15" t="str">
        <f t="shared" si="10"/>
        <v/>
      </c>
      <c r="O79" s="15" t="str">
        <f t="shared" si="11"/>
        <v/>
      </c>
      <c r="P79" s="15" t="str">
        <f t="shared" si="12"/>
        <v/>
      </c>
      <c r="Q79" s="15" t="str">
        <f t="shared" si="13"/>
        <v/>
      </c>
      <c r="R79" s="15" t="str">
        <f t="shared" si="14"/>
        <v/>
      </c>
      <c r="S79" s="19" t="str">
        <f t="shared" si="15"/>
        <v/>
      </c>
      <c r="T79" s="33"/>
    </row>
    <row r="80" spans="1:20" ht="21.75" customHeight="1">
      <c r="A80" s="16"/>
      <c r="B80" s="33"/>
      <c r="C80" s="10"/>
      <c r="D80" s="10"/>
      <c r="E80" s="10"/>
      <c r="F80" s="10"/>
      <c r="G80" s="10"/>
      <c r="H80" s="10"/>
      <c r="I80" s="10"/>
      <c r="J80" s="10"/>
      <c r="K80" s="16"/>
      <c r="L80" s="15" t="str">
        <f t="shared" si="8"/>
        <v/>
      </c>
      <c r="M80" s="15" t="str">
        <f t="shared" si="9"/>
        <v/>
      </c>
      <c r="N80" s="15" t="str">
        <f t="shared" si="10"/>
        <v/>
      </c>
      <c r="O80" s="15" t="str">
        <f t="shared" si="11"/>
        <v/>
      </c>
      <c r="P80" s="15" t="str">
        <f t="shared" si="12"/>
        <v/>
      </c>
      <c r="Q80" s="15" t="str">
        <f t="shared" si="13"/>
        <v/>
      </c>
      <c r="R80" s="15" t="str">
        <f t="shared" si="14"/>
        <v/>
      </c>
      <c r="S80" s="19" t="str">
        <f t="shared" si="15"/>
        <v/>
      </c>
      <c r="T80" s="33"/>
    </row>
    <row r="81" spans="1:20" ht="21.75" customHeight="1">
      <c r="A81" s="16"/>
      <c r="B81" s="33"/>
      <c r="C81" s="10"/>
      <c r="D81" s="10"/>
      <c r="E81" s="10"/>
      <c r="F81" s="10"/>
      <c r="G81" s="10"/>
      <c r="H81" s="10"/>
      <c r="I81" s="10"/>
      <c r="J81" s="10"/>
      <c r="K81" s="16"/>
      <c r="L81" s="15" t="str">
        <f t="shared" si="8"/>
        <v/>
      </c>
      <c r="M81" s="15" t="str">
        <f t="shared" si="9"/>
        <v/>
      </c>
      <c r="N81" s="15" t="str">
        <f t="shared" si="10"/>
        <v/>
      </c>
      <c r="O81" s="15" t="str">
        <f t="shared" si="11"/>
        <v/>
      </c>
      <c r="P81" s="15" t="str">
        <f t="shared" si="12"/>
        <v/>
      </c>
      <c r="Q81" s="15" t="str">
        <f t="shared" si="13"/>
        <v/>
      </c>
      <c r="R81" s="15" t="str">
        <f t="shared" si="14"/>
        <v/>
      </c>
      <c r="S81" s="19" t="str">
        <f t="shared" si="15"/>
        <v/>
      </c>
      <c r="T81" s="33"/>
    </row>
    <row r="82" spans="1:20" ht="21.75" customHeight="1">
      <c r="A82" s="16"/>
      <c r="B82" s="33"/>
      <c r="C82" s="10"/>
      <c r="D82" s="10"/>
      <c r="E82" s="10"/>
      <c r="F82" s="10"/>
      <c r="G82" s="10"/>
      <c r="H82" s="10"/>
      <c r="I82" s="10"/>
      <c r="J82" s="10"/>
      <c r="K82" s="16"/>
      <c r="L82" s="15" t="str">
        <f t="shared" si="8"/>
        <v/>
      </c>
      <c r="M82" s="15" t="str">
        <f t="shared" si="9"/>
        <v/>
      </c>
      <c r="N82" s="15" t="str">
        <f t="shared" si="10"/>
        <v/>
      </c>
      <c r="O82" s="15" t="str">
        <f t="shared" si="11"/>
        <v/>
      </c>
      <c r="P82" s="15" t="str">
        <f t="shared" si="12"/>
        <v/>
      </c>
      <c r="Q82" s="15" t="str">
        <f t="shared" si="13"/>
        <v/>
      </c>
      <c r="R82" s="15" t="str">
        <f t="shared" si="14"/>
        <v/>
      </c>
      <c r="S82" s="19" t="str">
        <f t="shared" si="15"/>
        <v/>
      </c>
      <c r="T82" s="33"/>
    </row>
    <row r="83" spans="1:20" ht="21.75" customHeight="1">
      <c r="A83" s="16"/>
      <c r="B83" s="33"/>
      <c r="C83" s="10"/>
      <c r="D83" s="10"/>
      <c r="E83" s="10"/>
      <c r="F83" s="10"/>
      <c r="G83" s="10"/>
      <c r="H83" s="10"/>
      <c r="I83" s="10"/>
      <c r="J83" s="10"/>
      <c r="K83" s="16"/>
      <c r="L83" s="15" t="str">
        <f t="shared" si="8"/>
        <v/>
      </c>
      <c r="M83" s="15" t="str">
        <f t="shared" si="9"/>
        <v/>
      </c>
      <c r="N83" s="15" t="str">
        <f t="shared" si="10"/>
        <v/>
      </c>
      <c r="O83" s="15" t="str">
        <f t="shared" si="11"/>
        <v/>
      </c>
      <c r="P83" s="15" t="str">
        <f t="shared" si="12"/>
        <v/>
      </c>
      <c r="Q83" s="15" t="str">
        <f t="shared" si="13"/>
        <v/>
      </c>
      <c r="R83" s="15" t="str">
        <f t="shared" si="14"/>
        <v/>
      </c>
      <c r="S83" s="19" t="str">
        <f t="shared" si="15"/>
        <v/>
      </c>
      <c r="T83" s="33"/>
    </row>
    <row r="84" spans="1:20" ht="21.75" customHeight="1">
      <c r="A84" s="16"/>
      <c r="B84" s="33"/>
      <c r="C84" s="10"/>
      <c r="D84" s="10"/>
      <c r="E84" s="10"/>
      <c r="F84" s="10"/>
      <c r="G84" s="10"/>
      <c r="H84" s="10"/>
      <c r="I84" s="10"/>
      <c r="J84" s="10"/>
      <c r="K84" s="16"/>
      <c r="L84" s="15" t="str">
        <f t="shared" si="8"/>
        <v/>
      </c>
      <c r="M84" s="15" t="str">
        <f t="shared" si="9"/>
        <v/>
      </c>
      <c r="N84" s="15" t="str">
        <f t="shared" si="10"/>
        <v/>
      </c>
      <c r="O84" s="15" t="str">
        <f t="shared" si="11"/>
        <v/>
      </c>
      <c r="P84" s="15" t="str">
        <f t="shared" si="12"/>
        <v/>
      </c>
      <c r="Q84" s="15" t="str">
        <f t="shared" si="13"/>
        <v/>
      </c>
      <c r="R84" s="15" t="str">
        <f t="shared" si="14"/>
        <v/>
      </c>
      <c r="S84" s="19" t="str">
        <f t="shared" si="15"/>
        <v/>
      </c>
      <c r="T84" s="33"/>
    </row>
    <row r="85" spans="1:20" ht="21.75" customHeight="1">
      <c r="A85" s="16"/>
      <c r="B85" s="33"/>
      <c r="C85" s="10"/>
      <c r="D85" s="10"/>
      <c r="E85" s="10"/>
      <c r="F85" s="10"/>
      <c r="G85" s="10"/>
      <c r="H85" s="10"/>
      <c r="I85" s="10"/>
      <c r="J85" s="10"/>
      <c r="K85" s="16"/>
      <c r="L85" s="15" t="str">
        <f t="shared" si="8"/>
        <v/>
      </c>
      <c r="M85" s="15" t="str">
        <f t="shared" si="9"/>
        <v/>
      </c>
      <c r="N85" s="15" t="str">
        <f t="shared" si="10"/>
        <v/>
      </c>
      <c r="O85" s="15" t="str">
        <f t="shared" si="11"/>
        <v/>
      </c>
      <c r="P85" s="15" t="str">
        <f t="shared" si="12"/>
        <v/>
      </c>
      <c r="Q85" s="15" t="str">
        <f t="shared" si="13"/>
        <v/>
      </c>
      <c r="R85" s="15" t="str">
        <f t="shared" si="14"/>
        <v/>
      </c>
      <c r="S85" s="19" t="str">
        <f t="shared" si="15"/>
        <v/>
      </c>
      <c r="T85" s="33"/>
    </row>
    <row r="86" spans="1:20" ht="21.75" customHeight="1">
      <c r="A86" s="16"/>
      <c r="B86" s="33"/>
      <c r="C86" s="10"/>
      <c r="D86" s="10"/>
      <c r="E86" s="10"/>
      <c r="F86" s="10"/>
      <c r="G86" s="10"/>
      <c r="H86" s="10"/>
      <c r="I86" s="10"/>
      <c r="J86" s="10"/>
      <c r="K86" s="16"/>
      <c r="L86" s="15" t="str">
        <f t="shared" si="8"/>
        <v/>
      </c>
      <c r="M86" s="15" t="str">
        <f t="shared" si="9"/>
        <v/>
      </c>
      <c r="N86" s="15" t="str">
        <f t="shared" si="10"/>
        <v/>
      </c>
      <c r="O86" s="15" t="str">
        <f t="shared" si="11"/>
        <v/>
      </c>
      <c r="P86" s="15" t="str">
        <f t="shared" si="12"/>
        <v/>
      </c>
      <c r="Q86" s="15" t="str">
        <f t="shared" si="13"/>
        <v/>
      </c>
      <c r="R86" s="15" t="str">
        <f t="shared" si="14"/>
        <v/>
      </c>
      <c r="S86" s="19" t="str">
        <f t="shared" si="15"/>
        <v/>
      </c>
      <c r="T86" s="33"/>
    </row>
    <row r="87" spans="1:20" ht="21.75" customHeight="1">
      <c r="A87" s="16"/>
      <c r="B87" s="33"/>
      <c r="C87" s="10"/>
      <c r="D87" s="10"/>
      <c r="E87" s="10"/>
      <c r="F87" s="10"/>
      <c r="G87" s="10"/>
      <c r="H87" s="10"/>
      <c r="I87" s="10"/>
      <c r="J87" s="10"/>
      <c r="K87" s="16"/>
      <c r="L87" s="15" t="str">
        <f t="shared" si="8"/>
        <v/>
      </c>
      <c r="M87" s="15" t="str">
        <f t="shared" si="9"/>
        <v/>
      </c>
      <c r="N87" s="15" t="str">
        <f t="shared" si="10"/>
        <v/>
      </c>
      <c r="O87" s="15" t="str">
        <f t="shared" si="11"/>
        <v/>
      </c>
      <c r="P87" s="15" t="str">
        <f t="shared" si="12"/>
        <v/>
      </c>
      <c r="Q87" s="15" t="str">
        <f t="shared" si="13"/>
        <v/>
      </c>
      <c r="R87" s="15" t="str">
        <f t="shared" si="14"/>
        <v/>
      </c>
      <c r="S87" s="19" t="str">
        <f t="shared" si="15"/>
        <v/>
      </c>
      <c r="T87" s="33"/>
    </row>
    <row r="88" spans="1:20" ht="21.75" customHeight="1">
      <c r="A88" s="16"/>
      <c r="B88" s="33"/>
      <c r="C88" s="10"/>
      <c r="D88" s="10"/>
      <c r="E88" s="10"/>
      <c r="F88" s="10"/>
      <c r="G88" s="10"/>
      <c r="H88" s="10"/>
      <c r="I88" s="10"/>
      <c r="J88" s="10"/>
      <c r="K88" s="16"/>
      <c r="L88" s="15" t="str">
        <f t="shared" si="8"/>
        <v/>
      </c>
      <c r="M88" s="15" t="str">
        <f t="shared" si="9"/>
        <v/>
      </c>
      <c r="N88" s="15" t="str">
        <f t="shared" si="10"/>
        <v/>
      </c>
      <c r="O88" s="15" t="str">
        <f t="shared" si="11"/>
        <v/>
      </c>
      <c r="P88" s="15" t="str">
        <f t="shared" si="12"/>
        <v/>
      </c>
      <c r="Q88" s="15" t="str">
        <f t="shared" si="13"/>
        <v/>
      </c>
      <c r="R88" s="15" t="str">
        <f t="shared" si="14"/>
        <v/>
      </c>
      <c r="S88" s="19" t="str">
        <f t="shared" si="15"/>
        <v/>
      </c>
      <c r="T88" s="33"/>
    </row>
    <row r="89" spans="1:20" ht="21.75" customHeight="1">
      <c r="A89" s="16"/>
      <c r="B89" s="33"/>
      <c r="C89" s="10"/>
      <c r="D89" s="10"/>
      <c r="E89" s="10"/>
      <c r="F89" s="10"/>
      <c r="G89" s="10"/>
      <c r="H89" s="10"/>
      <c r="I89" s="10"/>
      <c r="J89" s="10"/>
      <c r="K89" s="16"/>
      <c r="L89" s="15" t="str">
        <f t="shared" si="8"/>
        <v/>
      </c>
      <c r="M89" s="15" t="str">
        <f t="shared" si="9"/>
        <v/>
      </c>
      <c r="N89" s="15" t="str">
        <f t="shared" si="10"/>
        <v/>
      </c>
      <c r="O89" s="15" t="str">
        <f t="shared" si="11"/>
        <v/>
      </c>
      <c r="P89" s="15" t="str">
        <f t="shared" si="12"/>
        <v/>
      </c>
      <c r="Q89" s="15" t="str">
        <f t="shared" si="13"/>
        <v/>
      </c>
      <c r="R89" s="15" t="str">
        <f t="shared" si="14"/>
        <v/>
      </c>
      <c r="S89" s="19" t="str">
        <f t="shared" si="15"/>
        <v/>
      </c>
      <c r="T89" s="33"/>
    </row>
    <row r="90" spans="1:20" ht="21.75" customHeight="1">
      <c r="A90" s="16"/>
      <c r="B90" s="33"/>
      <c r="C90" s="10"/>
      <c r="D90" s="10"/>
      <c r="E90" s="10"/>
      <c r="F90" s="10"/>
      <c r="G90" s="10"/>
      <c r="H90" s="10"/>
      <c r="I90" s="10"/>
      <c r="J90" s="10"/>
      <c r="K90" s="16"/>
      <c r="L90" s="15" t="str">
        <f t="shared" si="8"/>
        <v/>
      </c>
      <c r="M90" s="15" t="str">
        <f t="shared" si="9"/>
        <v/>
      </c>
      <c r="N90" s="15" t="str">
        <f t="shared" si="10"/>
        <v/>
      </c>
      <c r="O90" s="15" t="str">
        <f t="shared" si="11"/>
        <v/>
      </c>
      <c r="P90" s="15" t="str">
        <f t="shared" si="12"/>
        <v/>
      </c>
      <c r="Q90" s="15" t="str">
        <f t="shared" si="13"/>
        <v/>
      </c>
      <c r="R90" s="15" t="str">
        <f t="shared" si="14"/>
        <v/>
      </c>
      <c r="S90" s="19" t="str">
        <f t="shared" si="15"/>
        <v/>
      </c>
      <c r="T90" s="33"/>
    </row>
    <row r="91" spans="1:20" ht="21.75" customHeight="1">
      <c r="A91" s="16"/>
      <c r="B91" s="33"/>
      <c r="C91" s="10"/>
      <c r="D91" s="10"/>
      <c r="E91" s="10"/>
      <c r="F91" s="10"/>
      <c r="G91" s="10"/>
      <c r="H91" s="10"/>
      <c r="I91" s="10"/>
      <c r="J91" s="10"/>
      <c r="K91" s="16"/>
      <c r="L91" s="15" t="str">
        <f t="shared" si="8"/>
        <v/>
      </c>
      <c r="M91" s="15" t="str">
        <f t="shared" si="9"/>
        <v/>
      </c>
      <c r="N91" s="15" t="str">
        <f t="shared" si="10"/>
        <v/>
      </c>
      <c r="O91" s="15" t="str">
        <f t="shared" si="11"/>
        <v/>
      </c>
      <c r="P91" s="15" t="str">
        <f t="shared" si="12"/>
        <v/>
      </c>
      <c r="Q91" s="15" t="str">
        <f t="shared" si="13"/>
        <v/>
      </c>
      <c r="R91" s="15" t="str">
        <f t="shared" si="14"/>
        <v/>
      </c>
      <c r="S91" s="19" t="str">
        <f t="shared" si="15"/>
        <v/>
      </c>
      <c r="T91" s="33"/>
    </row>
    <row r="92" spans="1:20" ht="21.75" customHeight="1">
      <c r="A92" s="16"/>
      <c r="B92" s="33"/>
      <c r="C92" s="10"/>
      <c r="D92" s="10"/>
      <c r="E92" s="10"/>
      <c r="F92" s="10"/>
      <c r="G92" s="10"/>
      <c r="H92" s="10"/>
      <c r="I92" s="10"/>
      <c r="J92" s="10"/>
      <c r="K92" s="16"/>
      <c r="L92" s="15" t="str">
        <f t="shared" si="8"/>
        <v/>
      </c>
      <c r="M92" s="15" t="str">
        <f t="shared" si="9"/>
        <v/>
      </c>
      <c r="N92" s="15" t="str">
        <f t="shared" si="10"/>
        <v/>
      </c>
      <c r="O92" s="15" t="str">
        <f t="shared" si="11"/>
        <v/>
      </c>
      <c r="P92" s="15" t="str">
        <f t="shared" si="12"/>
        <v/>
      </c>
      <c r="Q92" s="15" t="str">
        <f t="shared" si="13"/>
        <v/>
      </c>
      <c r="R92" s="15" t="str">
        <f t="shared" si="14"/>
        <v/>
      </c>
      <c r="S92" s="19" t="str">
        <f t="shared" si="15"/>
        <v/>
      </c>
      <c r="T92" s="33"/>
    </row>
    <row r="93" spans="1:20" ht="21.75" customHeight="1">
      <c r="A93" s="16"/>
      <c r="B93" s="33"/>
      <c r="C93" s="10"/>
      <c r="D93" s="10"/>
      <c r="E93" s="10"/>
      <c r="F93" s="10"/>
      <c r="G93" s="10"/>
      <c r="H93" s="10"/>
      <c r="I93" s="10"/>
      <c r="J93" s="10"/>
      <c r="K93" s="16"/>
      <c r="L93" s="15" t="str">
        <f t="shared" si="8"/>
        <v/>
      </c>
      <c r="M93" s="15" t="str">
        <f t="shared" si="9"/>
        <v/>
      </c>
      <c r="N93" s="15" t="str">
        <f t="shared" si="10"/>
        <v/>
      </c>
      <c r="O93" s="15" t="str">
        <f t="shared" si="11"/>
        <v/>
      </c>
      <c r="P93" s="15" t="str">
        <f t="shared" si="12"/>
        <v/>
      </c>
      <c r="Q93" s="15" t="str">
        <f t="shared" si="13"/>
        <v/>
      </c>
      <c r="R93" s="15" t="str">
        <f t="shared" si="14"/>
        <v/>
      </c>
      <c r="S93" s="19" t="str">
        <f t="shared" si="15"/>
        <v/>
      </c>
      <c r="T93" s="33"/>
    </row>
    <row r="94" spans="1:20" ht="21.75" customHeight="1">
      <c r="A94" s="16"/>
      <c r="B94" s="33"/>
      <c r="C94" s="10"/>
      <c r="D94" s="10"/>
      <c r="E94" s="10"/>
      <c r="F94" s="10"/>
      <c r="G94" s="10"/>
      <c r="H94" s="10"/>
      <c r="I94" s="10"/>
      <c r="J94" s="10"/>
      <c r="K94" s="16"/>
      <c r="L94" s="15" t="str">
        <f t="shared" si="8"/>
        <v/>
      </c>
      <c r="M94" s="15" t="str">
        <f t="shared" si="9"/>
        <v/>
      </c>
      <c r="N94" s="15" t="str">
        <f t="shared" si="10"/>
        <v/>
      </c>
      <c r="O94" s="15" t="str">
        <f t="shared" si="11"/>
        <v/>
      </c>
      <c r="P94" s="15" t="str">
        <f t="shared" si="12"/>
        <v/>
      </c>
      <c r="Q94" s="15" t="str">
        <f t="shared" si="13"/>
        <v/>
      </c>
      <c r="R94" s="15" t="str">
        <f t="shared" si="14"/>
        <v/>
      </c>
      <c r="S94" s="19" t="str">
        <f t="shared" si="15"/>
        <v/>
      </c>
      <c r="T94" s="33"/>
    </row>
    <row r="95" spans="1:20" ht="21.75" customHeight="1">
      <c r="A95" s="16"/>
      <c r="B95" s="33"/>
      <c r="C95" s="10"/>
      <c r="D95" s="10"/>
      <c r="E95" s="10"/>
      <c r="F95" s="10"/>
      <c r="G95" s="10"/>
      <c r="H95" s="10"/>
      <c r="I95" s="10"/>
      <c r="J95" s="10"/>
      <c r="K95" s="16"/>
      <c r="L95" s="15" t="str">
        <f t="shared" si="8"/>
        <v/>
      </c>
      <c r="M95" s="15" t="str">
        <f t="shared" si="9"/>
        <v/>
      </c>
      <c r="N95" s="15" t="str">
        <f t="shared" si="10"/>
        <v/>
      </c>
      <c r="O95" s="15" t="str">
        <f t="shared" si="11"/>
        <v/>
      </c>
      <c r="P95" s="15" t="str">
        <f t="shared" si="12"/>
        <v/>
      </c>
      <c r="Q95" s="15" t="str">
        <f t="shared" si="13"/>
        <v/>
      </c>
      <c r="R95" s="15" t="str">
        <f t="shared" si="14"/>
        <v/>
      </c>
      <c r="S95" s="19" t="str">
        <f t="shared" si="15"/>
        <v/>
      </c>
      <c r="T95" s="33"/>
    </row>
    <row r="96" spans="1:20" ht="21.75" customHeight="1">
      <c r="A96" s="16"/>
      <c r="B96" s="33"/>
      <c r="C96" s="10"/>
      <c r="D96" s="10"/>
      <c r="E96" s="10"/>
      <c r="F96" s="10"/>
      <c r="G96" s="10"/>
      <c r="H96" s="10"/>
      <c r="I96" s="10"/>
      <c r="J96" s="10"/>
      <c r="K96" s="16"/>
      <c r="L96" s="15" t="str">
        <f t="shared" si="8"/>
        <v/>
      </c>
      <c r="M96" s="15" t="str">
        <f t="shared" si="9"/>
        <v/>
      </c>
      <c r="N96" s="15" t="str">
        <f t="shared" si="10"/>
        <v/>
      </c>
      <c r="O96" s="15" t="str">
        <f t="shared" si="11"/>
        <v/>
      </c>
      <c r="P96" s="15" t="str">
        <f t="shared" si="12"/>
        <v/>
      </c>
      <c r="Q96" s="15" t="str">
        <f t="shared" si="13"/>
        <v/>
      </c>
      <c r="R96" s="15" t="str">
        <f t="shared" si="14"/>
        <v/>
      </c>
      <c r="S96" s="19" t="str">
        <f t="shared" si="15"/>
        <v/>
      </c>
      <c r="T96" s="33"/>
    </row>
    <row r="97" spans="1:20" ht="21.75" customHeight="1">
      <c r="A97" s="16"/>
      <c r="B97" s="33"/>
      <c r="C97" s="10"/>
      <c r="D97" s="10"/>
      <c r="E97" s="10"/>
      <c r="F97" s="10"/>
      <c r="G97" s="10"/>
      <c r="H97" s="10"/>
      <c r="I97" s="10"/>
      <c r="J97" s="10"/>
      <c r="K97" s="16"/>
      <c r="L97" s="15" t="str">
        <f t="shared" si="8"/>
        <v/>
      </c>
      <c r="M97" s="15" t="str">
        <f t="shared" si="9"/>
        <v/>
      </c>
      <c r="N97" s="15" t="str">
        <f t="shared" si="10"/>
        <v/>
      </c>
      <c r="O97" s="15" t="str">
        <f t="shared" si="11"/>
        <v/>
      </c>
      <c r="P97" s="15" t="str">
        <f t="shared" si="12"/>
        <v/>
      </c>
      <c r="Q97" s="15" t="str">
        <f t="shared" si="13"/>
        <v/>
      </c>
      <c r="R97" s="15" t="str">
        <f t="shared" si="14"/>
        <v/>
      </c>
      <c r="S97" s="19" t="str">
        <f t="shared" si="15"/>
        <v/>
      </c>
      <c r="T97" s="33"/>
    </row>
    <row r="98" spans="1:20" ht="21.75" customHeight="1">
      <c r="A98" s="16"/>
      <c r="B98" s="33"/>
      <c r="C98" s="10"/>
      <c r="D98" s="10"/>
      <c r="E98" s="10"/>
      <c r="F98" s="10"/>
      <c r="G98" s="10"/>
      <c r="H98" s="10"/>
      <c r="I98" s="10"/>
      <c r="J98" s="10"/>
      <c r="K98" s="16"/>
      <c r="L98" s="15" t="str">
        <f t="shared" si="8"/>
        <v/>
      </c>
      <c r="M98" s="15" t="str">
        <f t="shared" si="9"/>
        <v/>
      </c>
      <c r="N98" s="15" t="str">
        <f t="shared" si="10"/>
        <v/>
      </c>
      <c r="O98" s="15" t="str">
        <f t="shared" si="11"/>
        <v/>
      </c>
      <c r="P98" s="15" t="str">
        <f t="shared" si="12"/>
        <v/>
      </c>
      <c r="Q98" s="15" t="str">
        <f t="shared" si="13"/>
        <v/>
      </c>
      <c r="R98" s="15" t="str">
        <f t="shared" si="14"/>
        <v/>
      </c>
      <c r="S98" s="19" t="str">
        <f t="shared" si="15"/>
        <v/>
      </c>
      <c r="T98" s="33"/>
    </row>
    <row r="99" spans="1:20" ht="21.75" customHeight="1">
      <c r="A99" s="16"/>
      <c r="B99" s="33"/>
      <c r="C99" s="10"/>
      <c r="D99" s="10"/>
      <c r="E99" s="10"/>
      <c r="F99" s="10"/>
      <c r="G99" s="10"/>
      <c r="H99" s="10"/>
      <c r="I99" s="10"/>
      <c r="J99" s="10"/>
      <c r="K99" s="16"/>
      <c r="L99" s="15" t="str">
        <f t="shared" si="8"/>
        <v/>
      </c>
      <c r="M99" s="15" t="str">
        <f t="shared" si="9"/>
        <v/>
      </c>
      <c r="N99" s="15" t="str">
        <f t="shared" si="10"/>
        <v/>
      </c>
      <c r="O99" s="15" t="str">
        <f t="shared" si="11"/>
        <v/>
      </c>
      <c r="P99" s="15" t="str">
        <f t="shared" si="12"/>
        <v/>
      </c>
      <c r="Q99" s="15" t="str">
        <f t="shared" si="13"/>
        <v/>
      </c>
      <c r="R99" s="15" t="str">
        <f t="shared" si="14"/>
        <v/>
      </c>
      <c r="S99" s="19" t="str">
        <f t="shared" si="15"/>
        <v/>
      </c>
      <c r="T99" s="33"/>
    </row>
    <row r="100" spans="1:20" ht="21.75" customHeight="1">
      <c r="A100" s="16"/>
      <c r="B100" s="33"/>
      <c r="C100" s="10"/>
      <c r="D100" s="10"/>
      <c r="E100" s="10"/>
      <c r="F100" s="10"/>
      <c r="G100" s="10"/>
      <c r="H100" s="10"/>
      <c r="I100" s="10"/>
      <c r="J100" s="10"/>
      <c r="K100" s="16"/>
      <c r="L100" s="15" t="str">
        <f t="shared" si="8"/>
        <v/>
      </c>
      <c r="M100" s="15" t="str">
        <f t="shared" si="9"/>
        <v/>
      </c>
      <c r="N100" s="15" t="str">
        <f t="shared" si="10"/>
        <v/>
      </c>
      <c r="O100" s="15" t="str">
        <f t="shared" si="11"/>
        <v/>
      </c>
      <c r="P100" s="15" t="str">
        <f t="shared" si="12"/>
        <v/>
      </c>
      <c r="Q100" s="15" t="str">
        <f t="shared" si="13"/>
        <v/>
      </c>
      <c r="R100" s="15" t="str">
        <f t="shared" si="14"/>
        <v/>
      </c>
      <c r="S100" s="19" t="str">
        <f t="shared" si="15"/>
        <v/>
      </c>
      <c r="T100" s="33"/>
    </row>
    <row r="101" spans="1:20" ht="21.75" customHeight="1">
      <c r="A101" s="16"/>
      <c r="B101" s="33"/>
      <c r="C101" s="10"/>
      <c r="D101" s="10"/>
      <c r="E101" s="10"/>
      <c r="F101" s="10"/>
      <c r="G101" s="10"/>
      <c r="H101" s="10"/>
      <c r="I101" s="10"/>
      <c r="J101" s="10"/>
      <c r="K101" s="16"/>
      <c r="L101" s="15" t="str">
        <f t="shared" si="8"/>
        <v/>
      </c>
      <c r="M101" s="15" t="str">
        <f t="shared" si="9"/>
        <v/>
      </c>
      <c r="N101" s="15" t="str">
        <f t="shared" si="10"/>
        <v/>
      </c>
      <c r="O101" s="15" t="str">
        <f t="shared" si="11"/>
        <v/>
      </c>
      <c r="P101" s="15" t="str">
        <f t="shared" si="12"/>
        <v/>
      </c>
      <c r="Q101" s="15" t="str">
        <f t="shared" si="13"/>
        <v/>
      </c>
      <c r="R101" s="15" t="str">
        <f t="shared" si="14"/>
        <v/>
      </c>
      <c r="S101" s="19" t="str">
        <f t="shared" si="15"/>
        <v/>
      </c>
      <c r="T101" s="33"/>
    </row>
    <row r="102" spans="1:20" ht="21.75" customHeight="1">
      <c r="A102" s="16"/>
      <c r="B102" s="33"/>
      <c r="C102" s="10"/>
      <c r="D102" s="10"/>
      <c r="E102" s="10"/>
      <c r="F102" s="10"/>
      <c r="G102" s="10"/>
      <c r="H102" s="10"/>
      <c r="I102" s="10"/>
      <c r="J102" s="10"/>
      <c r="K102" s="16"/>
      <c r="L102" s="15" t="str">
        <f t="shared" si="8"/>
        <v/>
      </c>
      <c r="M102" s="15" t="str">
        <f t="shared" si="9"/>
        <v/>
      </c>
      <c r="N102" s="15" t="str">
        <f t="shared" si="10"/>
        <v/>
      </c>
      <c r="O102" s="15" t="str">
        <f t="shared" si="11"/>
        <v/>
      </c>
      <c r="P102" s="15" t="str">
        <f t="shared" si="12"/>
        <v/>
      </c>
      <c r="Q102" s="15" t="str">
        <f t="shared" si="13"/>
        <v/>
      </c>
      <c r="R102" s="15" t="str">
        <f t="shared" si="14"/>
        <v/>
      </c>
      <c r="S102" s="19" t="str">
        <f t="shared" si="15"/>
        <v/>
      </c>
      <c r="T102" s="33"/>
    </row>
    <row r="103" spans="1:20" ht="21.75" customHeight="1">
      <c r="A103" s="16"/>
      <c r="B103" s="33"/>
      <c r="C103" s="10"/>
      <c r="D103" s="10"/>
      <c r="E103" s="10"/>
      <c r="F103" s="10"/>
      <c r="G103" s="10"/>
      <c r="H103" s="10"/>
      <c r="I103" s="10"/>
      <c r="J103" s="10"/>
      <c r="K103" s="16"/>
      <c r="L103" s="15" t="str">
        <f t="shared" si="8"/>
        <v/>
      </c>
      <c r="M103" s="15" t="str">
        <f t="shared" si="9"/>
        <v/>
      </c>
      <c r="N103" s="15" t="str">
        <f t="shared" si="10"/>
        <v/>
      </c>
      <c r="O103" s="15" t="str">
        <f t="shared" si="11"/>
        <v/>
      </c>
      <c r="P103" s="15" t="str">
        <f t="shared" si="12"/>
        <v/>
      </c>
      <c r="Q103" s="15" t="str">
        <f t="shared" si="13"/>
        <v/>
      </c>
      <c r="R103" s="15" t="str">
        <f t="shared" si="14"/>
        <v/>
      </c>
      <c r="S103" s="19" t="str">
        <f t="shared" si="15"/>
        <v/>
      </c>
      <c r="T103" s="33"/>
    </row>
    <row r="104" spans="1:20" ht="21.75" customHeight="1">
      <c r="A104" s="16"/>
      <c r="B104" s="33"/>
      <c r="C104" s="10"/>
      <c r="D104" s="10"/>
      <c r="E104" s="10"/>
      <c r="F104" s="10"/>
      <c r="G104" s="10"/>
      <c r="H104" s="10"/>
      <c r="I104" s="10"/>
      <c r="J104" s="10"/>
      <c r="K104" s="16"/>
      <c r="L104" s="15" t="str">
        <f t="shared" si="8"/>
        <v/>
      </c>
      <c r="M104" s="15" t="str">
        <f t="shared" si="9"/>
        <v/>
      </c>
      <c r="N104" s="15" t="str">
        <f t="shared" si="10"/>
        <v/>
      </c>
      <c r="O104" s="15" t="str">
        <f t="shared" si="11"/>
        <v/>
      </c>
      <c r="P104" s="15" t="str">
        <f t="shared" si="12"/>
        <v/>
      </c>
      <c r="Q104" s="15" t="str">
        <f t="shared" si="13"/>
        <v/>
      </c>
      <c r="R104" s="15" t="str">
        <f t="shared" si="14"/>
        <v/>
      </c>
      <c r="S104" s="19" t="str">
        <f t="shared" si="15"/>
        <v/>
      </c>
      <c r="T104" s="33"/>
    </row>
    <row r="105" spans="1:20" ht="21.75" customHeight="1">
      <c r="A105" s="16"/>
      <c r="B105" s="33"/>
      <c r="C105" s="10"/>
      <c r="D105" s="10"/>
      <c r="E105" s="10"/>
      <c r="F105" s="10"/>
      <c r="G105" s="10"/>
      <c r="H105" s="10"/>
      <c r="I105" s="10"/>
      <c r="J105" s="10"/>
      <c r="K105" s="16"/>
      <c r="L105" s="15" t="str">
        <f t="shared" si="8"/>
        <v/>
      </c>
      <c r="M105" s="15" t="str">
        <f t="shared" si="9"/>
        <v/>
      </c>
      <c r="N105" s="15" t="str">
        <f t="shared" si="10"/>
        <v/>
      </c>
      <c r="O105" s="15" t="str">
        <f t="shared" si="11"/>
        <v/>
      </c>
      <c r="P105" s="15" t="str">
        <f t="shared" si="12"/>
        <v/>
      </c>
      <c r="Q105" s="15" t="str">
        <f t="shared" si="13"/>
        <v/>
      </c>
      <c r="R105" s="15" t="str">
        <f t="shared" si="14"/>
        <v/>
      </c>
      <c r="S105" s="19" t="str">
        <f t="shared" si="15"/>
        <v/>
      </c>
      <c r="T105" s="33"/>
    </row>
    <row r="106" spans="1:20" ht="21.75" customHeight="1">
      <c r="A106" s="16"/>
      <c r="B106" s="33"/>
      <c r="C106" s="10"/>
      <c r="D106" s="10"/>
      <c r="E106" s="10"/>
      <c r="F106" s="10"/>
      <c r="G106" s="10"/>
      <c r="H106" s="10"/>
      <c r="I106" s="10"/>
      <c r="J106" s="10"/>
      <c r="K106" s="16"/>
      <c r="L106" s="15" t="str">
        <f t="shared" si="8"/>
        <v/>
      </c>
      <c r="M106" s="15" t="str">
        <f t="shared" si="9"/>
        <v/>
      </c>
      <c r="N106" s="15" t="str">
        <f t="shared" si="10"/>
        <v/>
      </c>
      <c r="O106" s="15" t="str">
        <f t="shared" si="11"/>
        <v/>
      </c>
      <c r="P106" s="15" t="str">
        <f t="shared" si="12"/>
        <v/>
      </c>
      <c r="Q106" s="15" t="str">
        <f t="shared" si="13"/>
        <v/>
      </c>
      <c r="R106" s="15" t="str">
        <f t="shared" si="14"/>
        <v/>
      </c>
      <c r="S106" s="19" t="str">
        <f t="shared" si="15"/>
        <v/>
      </c>
      <c r="T106" s="33"/>
    </row>
    <row r="107" spans="1:20" ht="21.75" customHeight="1">
      <c r="A107" s="16"/>
      <c r="B107" s="33"/>
      <c r="C107" s="10"/>
      <c r="D107" s="10"/>
      <c r="E107" s="10"/>
      <c r="F107" s="10"/>
      <c r="G107" s="10"/>
      <c r="H107" s="10"/>
      <c r="I107" s="10"/>
      <c r="J107" s="10"/>
      <c r="K107" s="16"/>
      <c r="L107" s="15" t="str">
        <f t="shared" si="8"/>
        <v/>
      </c>
      <c r="M107" s="15" t="str">
        <f t="shared" si="9"/>
        <v/>
      </c>
      <c r="N107" s="15" t="str">
        <f t="shared" si="10"/>
        <v/>
      </c>
      <c r="O107" s="15" t="str">
        <f t="shared" si="11"/>
        <v/>
      </c>
      <c r="P107" s="15" t="str">
        <f t="shared" si="12"/>
        <v/>
      </c>
      <c r="Q107" s="15" t="str">
        <f t="shared" si="13"/>
        <v/>
      </c>
      <c r="R107" s="15" t="str">
        <f t="shared" si="14"/>
        <v/>
      </c>
      <c r="S107" s="19" t="str">
        <f t="shared" si="15"/>
        <v/>
      </c>
      <c r="T107" s="33"/>
    </row>
    <row r="108" spans="1:20" ht="21.75" customHeight="1">
      <c r="A108" s="16"/>
      <c r="B108" s="33"/>
      <c r="C108" s="10"/>
      <c r="D108" s="10"/>
      <c r="E108" s="10"/>
      <c r="F108" s="10"/>
      <c r="G108" s="10"/>
      <c r="H108" s="10"/>
      <c r="I108" s="10"/>
      <c r="J108" s="10"/>
      <c r="K108" s="16"/>
      <c r="L108" s="15" t="str">
        <f t="shared" si="8"/>
        <v/>
      </c>
      <c r="M108" s="15" t="str">
        <f t="shared" si="9"/>
        <v/>
      </c>
      <c r="N108" s="15" t="str">
        <f t="shared" si="10"/>
        <v/>
      </c>
      <c r="O108" s="15" t="str">
        <f t="shared" si="11"/>
        <v/>
      </c>
      <c r="P108" s="15" t="str">
        <f t="shared" si="12"/>
        <v/>
      </c>
      <c r="Q108" s="15" t="str">
        <f t="shared" si="13"/>
        <v/>
      </c>
      <c r="R108" s="15" t="str">
        <f t="shared" si="14"/>
        <v/>
      </c>
      <c r="S108" s="19" t="str">
        <f t="shared" si="15"/>
        <v/>
      </c>
      <c r="T108" s="33"/>
    </row>
    <row r="109" spans="1:20" ht="21.75" customHeight="1">
      <c r="A109" s="16"/>
      <c r="B109" s="33"/>
      <c r="C109" s="10"/>
      <c r="D109" s="10"/>
      <c r="E109" s="10"/>
      <c r="F109" s="10"/>
      <c r="G109" s="10"/>
      <c r="H109" s="10"/>
      <c r="I109" s="10"/>
      <c r="J109" s="10"/>
      <c r="K109" s="16"/>
      <c r="L109" s="15" t="str">
        <f t="shared" si="8"/>
        <v/>
      </c>
      <c r="M109" s="15" t="str">
        <f t="shared" si="9"/>
        <v/>
      </c>
      <c r="N109" s="15" t="str">
        <f t="shared" si="10"/>
        <v/>
      </c>
      <c r="O109" s="15" t="str">
        <f t="shared" si="11"/>
        <v/>
      </c>
      <c r="P109" s="15" t="str">
        <f t="shared" si="12"/>
        <v/>
      </c>
      <c r="Q109" s="15" t="str">
        <f t="shared" si="13"/>
        <v/>
      </c>
      <c r="R109" s="15" t="str">
        <f t="shared" si="14"/>
        <v/>
      </c>
      <c r="S109" s="19" t="str">
        <f t="shared" si="15"/>
        <v/>
      </c>
      <c r="T109" s="33"/>
    </row>
    <row r="110" spans="1:20" ht="21.75" customHeight="1">
      <c r="A110" s="16"/>
      <c r="B110" s="33"/>
      <c r="C110" s="10"/>
      <c r="D110" s="10"/>
      <c r="E110" s="10"/>
      <c r="F110" s="10"/>
      <c r="G110" s="10"/>
      <c r="H110" s="10"/>
      <c r="I110" s="10"/>
      <c r="J110" s="10"/>
      <c r="K110" s="16"/>
      <c r="L110" s="15" t="str">
        <f t="shared" si="8"/>
        <v/>
      </c>
      <c r="M110" s="15" t="str">
        <f t="shared" si="9"/>
        <v/>
      </c>
      <c r="N110" s="15" t="str">
        <f t="shared" si="10"/>
        <v/>
      </c>
      <c r="O110" s="15" t="str">
        <f t="shared" si="11"/>
        <v/>
      </c>
      <c r="P110" s="15" t="str">
        <f t="shared" si="12"/>
        <v/>
      </c>
      <c r="Q110" s="15" t="str">
        <f t="shared" si="13"/>
        <v/>
      </c>
      <c r="R110" s="15" t="str">
        <f t="shared" si="14"/>
        <v/>
      </c>
      <c r="S110" s="19" t="str">
        <f t="shared" si="15"/>
        <v/>
      </c>
      <c r="T110" s="33"/>
    </row>
    <row r="111" spans="1:20" ht="21.75" customHeight="1">
      <c r="A111" s="16"/>
      <c r="B111" s="33"/>
      <c r="C111" s="10"/>
      <c r="D111" s="10"/>
      <c r="E111" s="10"/>
      <c r="F111" s="10"/>
      <c r="G111" s="10"/>
      <c r="H111" s="10"/>
      <c r="I111" s="10"/>
      <c r="J111" s="10"/>
      <c r="K111" s="16"/>
      <c r="L111" s="15" t="str">
        <f t="shared" si="8"/>
        <v/>
      </c>
      <c r="M111" s="15" t="str">
        <f t="shared" si="9"/>
        <v/>
      </c>
      <c r="N111" s="15" t="str">
        <f t="shared" si="10"/>
        <v/>
      </c>
      <c r="O111" s="15" t="str">
        <f t="shared" si="11"/>
        <v/>
      </c>
      <c r="P111" s="15" t="str">
        <f t="shared" si="12"/>
        <v/>
      </c>
      <c r="Q111" s="15" t="str">
        <f t="shared" si="13"/>
        <v/>
      </c>
      <c r="R111" s="15" t="str">
        <f t="shared" si="14"/>
        <v/>
      </c>
      <c r="S111" s="19" t="str">
        <f t="shared" si="15"/>
        <v/>
      </c>
      <c r="T111" s="33"/>
    </row>
    <row r="112" spans="1:20" ht="21.75" customHeight="1">
      <c r="A112" s="16"/>
      <c r="B112" s="33"/>
      <c r="C112" s="10"/>
      <c r="D112" s="10"/>
      <c r="E112" s="10"/>
      <c r="F112" s="10"/>
      <c r="G112" s="10"/>
      <c r="H112" s="10"/>
      <c r="I112" s="10"/>
      <c r="J112" s="10"/>
      <c r="K112" s="16"/>
      <c r="L112" s="15" t="str">
        <f t="shared" si="8"/>
        <v/>
      </c>
      <c r="M112" s="15" t="str">
        <f t="shared" si="9"/>
        <v/>
      </c>
      <c r="N112" s="15" t="str">
        <f t="shared" si="10"/>
        <v/>
      </c>
      <c r="O112" s="15" t="str">
        <f t="shared" si="11"/>
        <v/>
      </c>
      <c r="P112" s="15" t="str">
        <f t="shared" si="12"/>
        <v/>
      </c>
      <c r="Q112" s="15" t="str">
        <f t="shared" si="13"/>
        <v/>
      </c>
      <c r="R112" s="15" t="str">
        <f t="shared" si="14"/>
        <v/>
      </c>
      <c r="S112" s="19" t="str">
        <f t="shared" si="15"/>
        <v/>
      </c>
      <c r="T112" s="33"/>
    </row>
    <row r="113" spans="1:20" ht="21.75" customHeight="1">
      <c r="A113" s="16"/>
      <c r="B113" s="33"/>
      <c r="C113" s="10"/>
      <c r="D113" s="10"/>
      <c r="E113" s="10"/>
      <c r="F113" s="10"/>
      <c r="G113" s="10"/>
      <c r="H113" s="10"/>
      <c r="I113" s="10"/>
      <c r="J113" s="10"/>
      <c r="K113" s="16"/>
      <c r="L113" s="15" t="str">
        <f t="shared" si="8"/>
        <v/>
      </c>
      <c r="M113" s="15" t="str">
        <f t="shared" si="9"/>
        <v/>
      </c>
      <c r="N113" s="15" t="str">
        <f t="shared" si="10"/>
        <v/>
      </c>
      <c r="O113" s="15" t="str">
        <f t="shared" si="11"/>
        <v/>
      </c>
      <c r="P113" s="15" t="str">
        <f t="shared" si="12"/>
        <v/>
      </c>
      <c r="Q113" s="15" t="str">
        <f t="shared" si="13"/>
        <v/>
      </c>
      <c r="R113" s="15" t="str">
        <f t="shared" si="14"/>
        <v/>
      </c>
      <c r="S113" s="19" t="str">
        <f t="shared" si="15"/>
        <v/>
      </c>
      <c r="T113" s="33"/>
    </row>
    <row r="114" spans="1:20" ht="21.75" customHeight="1">
      <c r="A114" s="16"/>
      <c r="B114" s="33"/>
      <c r="C114" s="10"/>
      <c r="D114" s="10"/>
      <c r="E114" s="10"/>
      <c r="F114" s="10"/>
      <c r="G114" s="10"/>
      <c r="H114" s="10"/>
      <c r="I114" s="10"/>
      <c r="J114" s="10"/>
      <c r="K114" s="16"/>
      <c r="L114" s="15" t="str">
        <f t="shared" si="8"/>
        <v/>
      </c>
      <c r="M114" s="15" t="str">
        <f t="shared" si="9"/>
        <v/>
      </c>
      <c r="N114" s="15" t="str">
        <f t="shared" si="10"/>
        <v/>
      </c>
      <c r="O114" s="15" t="str">
        <f t="shared" si="11"/>
        <v/>
      </c>
      <c r="P114" s="15" t="str">
        <f t="shared" si="12"/>
        <v/>
      </c>
      <c r="Q114" s="15" t="str">
        <f t="shared" si="13"/>
        <v/>
      </c>
      <c r="R114" s="15" t="str">
        <f t="shared" si="14"/>
        <v/>
      </c>
      <c r="S114" s="19" t="str">
        <f t="shared" si="15"/>
        <v/>
      </c>
      <c r="T114" s="33"/>
    </row>
    <row r="115" spans="1:20" ht="21.75" customHeight="1">
      <c r="A115" s="16"/>
      <c r="B115" s="33"/>
      <c r="C115" s="10"/>
      <c r="D115" s="10"/>
      <c r="E115" s="10"/>
      <c r="F115" s="10"/>
      <c r="G115" s="10"/>
      <c r="H115" s="10"/>
      <c r="I115" s="10"/>
      <c r="J115" s="10"/>
      <c r="K115" s="16"/>
      <c r="L115" s="15" t="str">
        <f t="shared" si="8"/>
        <v/>
      </c>
      <c r="M115" s="15" t="str">
        <f t="shared" si="9"/>
        <v/>
      </c>
      <c r="N115" s="15" t="str">
        <f t="shared" si="10"/>
        <v/>
      </c>
      <c r="O115" s="15" t="str">
        <f t="shared" si="11"/>
        <v/>
      </c>
      <c r="P115" s="15" t="str">
        <f t="shared" si="12"/>
        <v/>
      </c>
      <c r="Q115" s="15" t="str">
        <f t="shared" si="13"/>
        <v/>
      </c>
      <c r="R115" s="15" t="str">
        <f t="shared" si="14"/>
        <v/>
      </c>
      <c r="S115" s="19" t="str">
        <f t="shared" si="15"/>
        <v/>
      </c>
      <c r="T115" s="33"/>
    </row>
    <row r="116" spans="1:20" ht="21.75" customHeight="1">
      <c r="A116" s="16"/>
      <c r="B116" s="33"/>
      <c r="C116" s="10"/>
      <c r="D116" s="10"/>
      <c r="E116" s="10"/>
      <c r="F116" s="10"/>
      <c r="G116" s="10"/>
      <c r="H116" s="10"/>
      <c r="I116" s="10"/>
      <c r="J116" s="10"/>
      <c r="K116" s="16"/>
      <c r="L116" s="15" t="str">
        <f t="shared" si="8"/>
        <v/>
      </c>
      <c r="M116" s="15" t="str">
        <f t="shared" si="9"/>
        <v/>
      </c>
      <c r="N116" s="15" t="str">
        <f t="shared" si="10"/>
        <v/>
      </c>
      <c r="O116" s="15" t="str">
        <f t="shared" si="11"/>
        <v/>
      </c>
      <c r="P116" s="15" t="str">
        <f t="shared" si="12"/>
        <v/>
      </c>
      <c r="Q116" s="15" t="str">
        <f t="shared" si="13"/>
        <v/>
      </c>
      <c r="R116" s="15" t="str">
        <f t="shared" si="14"/>
        <v/>
      </c>
      <c r="S116" s="19" t="str">
        <f t="shared" si="15"/>
        <v/>
      </c>
      <c r="T116" s="33"/>
    </row>
    <row r="117" spans="1:20" ht="21.75" customHeight="1">
      <c r="A117" s="16"/>
      <c r="B117" s="33"/>
      <c r="C117" s="10"/>
      <c r="D117" s="10"/>
      <c r="E117" s="10"/>
      <c r="F117" s="10"/>
      <c r="G117" s="10"/>
      <c r="H117" s="10"/>
      <c r="I117" s="10"/>
      <c r="J117" s="10"/>
      <c r="K117" s="16"/>
      <c r="L117" s="15" t="str">
        <f t="shared" si="8"/>
        <v/>
      </c>
      <c r="M117" s="15" t="str">
        <f t="shared" si="9"/>
        <v/>
      </c>
      <c r="N117" s="15" t="str">
        <f t="shared" si="10"/>
        <v/>
      </c>
      <c r="O117" s="15" t="str">
        <f t="shared" si="11"/>
        <v/>
      </c>
      <c r="P117" s="15" t="str">
        <f t="shared" si="12"/>
        <v/>
      </c>
      <c r="Q117" s="15" t="str">
        <f t="shared" si="13"/>
        <v/>
      </c>
      <c r="R117" s="15" t="str">
        <f t="shared" si="14"/>
        <v/>
      </c>
      <c r="S117" s="19" t="str">
        <f t="shared" si="15"/>
        <v/>
      </c>
      <c r="T117" s="33"/>
    </row>
    <row r="118" spans="1:20" ht="21.75" customHeight="1">
      <c r="A118" s="16"/>
      <c r="B118" s="33"/>
      <c r="C118" s="10"/>
      <c r="D118" s="10"/>
      <c r="E118" s="10"/>
      <c r="F118" s="10"/>
      <c r="G118" s="10"/>
      <c r="H118" s="10"/>
      <c r="I118" s="10"/>
      <c r="J118" s="10"/>
      <c r="K118" s="16"/>
      <c r="L118" s="15" t="str">
        <f t="shared" si="8"/>
        <v/>
      </c>
      <c r="M118" s="15" t="str">
        <f t="shared" si="9"/>
        <v/>
      </c>
      <c r="N118" s="15" t="str">
        <f t="shared" si="10"/>
        <v/>
      </c>
      <c r="O118" s="15" t="str">
        <f t="shared" si="11"/>
        <v/>
      </c>
      <c r="P118" s="15" t="str">
        <f t="shared" si="12"/>
        <v/>
      </c>
      <c r="Q118" s="15" t="str">
        <f t="shared" si="13"/>
        <v/>
      </c>
      <c r="R118" s="15" t="str">
        <f t="shared" si="14"/>
        <v/>
      </c>
      <c r="S118" s="19" t="str">
        <f t="shared" si="15"/>
        <v/>
      </c>
      <c r="T118" s="33"/>
    </row>
    <row r="119" spans="1:20" ht="21.75" customHeight="1">
      <c r="A119" s="16"/>
      <c r="B119" s="33"/>
      <c r="C119" s="10"/>
      <c r="D119" s="10"/>
      <c r="E119" s="10"/>
      <c r="F119" s="10"/>
      <c r="G119" s="10"/>
      <c r="H119" s="10"/>
      <c r="I119" s="10"/>
      <c r="J119" s="10"/>
      <c r="K119" s="16"/>
      <c r="L119" s="15" t="str">
        <f t="shared" si="8"/>
        <v/>
      </c>
      <c r="M119" s="15" t="str">
        <f t="shared" si="9"/>
        <v/>
      </c>
      <c r="N119" s="15" t="str">
        <f t="shared" si="10"/>
        <v/>
      </c>
      <c r="O119" s="15" t="str">
        <f t="shared" si="11"/>
        <v/>
      </c>
      <c r="P119" s="15" t="str">
        <f t="shared" si="12"/>
        <v/>
      </c>
      <c r="Q119" s="15" t="str">
        <f t="shared" si="13"/>
        <v/>
      </c>
      <c r="R119" s="15" t="str">
        <f t="shared" si="14"/>
        <v/>
      </c>
      <c r="S119" s="19" t="str">
        <f t="shared" si="15"/>
        <v/>
      </c>
      <c r="T119" s="33"/>
    </row>
    <row r="120" spans="1:20" ht="21.75" customHeight="1">
      <c r="A120" s="16"/>
      <c r="B120" s="33"/>
      <c r="C120" s="10"/>
      <c r="D120" s="10"/>
      <c r="E120" s="10"/>
      <c r="F120" s="10"/>
      <c r="G120" s="10"/>
      <c r="H120" s="10"/>
      <c r="I120" s="10"/>
      <c r="J120" s="10"/>
      <c r="K120" s="16"/>
      <c r="L120" s="15" t="str">
        <f t="shared" si="8"/>
        <v/>
      </c>
      <c r="M120" s="15" t="str">
        <f t="shared" si="9"/>
        <v/>
      </c>
      <c r="N120" s="15" t="str">
        <f t="shared" si="10"/>
        <v/>
      </c>
      <c r="O120" s="15" t="str">
        <f t="shared" si="11"/>
        <v/>
      </c>
      <c r="P120" s="15" t="str">
        <f t="shared" si="12"/>
        <v/>
      </c>
      <c r="Q120" s="15" t="str">
        <f t="shared" si="13"/>
        <v/>
      </c>
      <c r="R120" s="15" t="str">
        <f t="shared" si="14"/>
        <v/>
      </c>
      <c r="S120" s="19" t="str">
        <f t="shared" si="15"/>
        <v/>
      </c>
      <c r="T120" s="33"/>
    </row>
    <row r="121" spans="1:20" ht="21.75" customHeight="1">
      <c r="A121" s="16"/>
      <c r="B121" s="33"/>
      <c r="C121" s="10"/>
      <c r="D121" s="10"/>
      <c r="E121" s="10"/>
      <c r="F121" s="10"/>
      <c r="G121" s="10"/>
      <c r="H121" s="10"/>
      <c r="I121" s="10"/>
      <c r="J121" s="10"/>
      <c r="K121" s="16"/>
      <c r="L121" s="15" t="str">
        <f t="shared" si="8"/>
        <v/>
      </c>
      <c r="M121" s="15" t="str">
        <f t="shared" si="9"/>
        <v/>
      </c>
      <c r="N121" s="15" t="str">
        <f t="shared" si="10"/>
        <v/>
      </c>
      <c r="O121" s="15" t="str">
        <f t="shared" si="11"/>
        <v/>
      </c>
      <c r="P121" s="15" t="str">
        <f t="shared" si="12"/>
        <v/>
      </c>
      <c r="Q121" s="15" t="str">
        <f t="shared" si="13"/>
        <v/>
      </c>
      <c r="R121" s="15" t="str">
        <f t="shared" si="14"/>
        <v/>
      </c>
      <c r="S121" s="19" t="str">
        <f t="shared" si="15"/>
        <v/>
      </c>
      <c r="T121" s="33"/>
    </row>
    <row r="122" spans="1:20" ht="21.75" customHeight="1">
      <c r="A122" s="16"/>
      <c r="B122" s="33"/>
      <c r="C122" s="10"/>
      <c r="D122" s="10"/>
      <c r="E122" s="10"/>
      <c r="F122" s="10"/>
      <c r="G122" s="10"/>
      <c r="H122" s="10"/>
      <c r="I122" s="10"/>
      <c r="J122" s="10"/>
      <c r="K122" s="16"/>
      <c r="L122" s="15" t="str">
        <f t="shared" si="8"/>
        <v/>
      </c>
      <c r="M122" s="15" t="str">
        <f t="shared" si="9"/>
        <v/>
      </c>
      <c r="N122" s="15" t="str">
        <f t="shared" si="10"/>
        <v/>
      </c>
      <c r="O122" s="15" t="str">
        <f t="shared" si="11"/>
        <v/>
      </c>
      <c r="P122" s="15" t="str">
        <f t="shared" si="12"/>
        <v/>
      </c>
      <c r="Q122" s="15" t="str">
        <f t="shared" si="13"/>
        <v/>
      </c>
      <c r="R122" s="15" t="str">
        <f t="shared" si="14"/>
        <v/>
      </c>
      <c r="S122" s="19" t="str">
        <f t="shared" si="15"/>
        <v/>
      </c>
      <c r="T122" s="33"/>
    </row>
    <row r="123" spans="1:20" ht="21.75" customHeight="1">
      <c r="A123" s="16"/>
      <c r="B123" s="33"/>
      <c r="C123" s="10"/>
      <c r="D123" s="10"/>
      <c r="E123" s="10"/>
      <c r="F123" s="10"/>
      <c r="G123" s="10"/>
      <c r="H123" s="10"/>
      <c r="I123" s="10"/>
      <c r="J123" s="10"/>
      <c r="K123" s="16"/>
      <c r="L123" s="15" t="str">
        <f t="shared" si="8"/>
        <v/>
      </c>
      <c r="M123" s="15" t="str">
        <f t="shared" si="9"/>
        <v/>
      </c>
      <c r="N123" s="15" t="str">
        <f t="shared" si="10"/>
        <v/>
      </c>
      <c r="O123" s="15" t="str">
        <f t="shared" si="11"/>
        <v/>
      </c>
      <c r="P123" s="15" t="str">
        <f t="shared" si="12"/>
        <v/>
      </c>
      <c r="Q123" s="15" t="str">
        <f t="shared" si="13"/>
        <v/>
      </c>
      <c r="R123" s="15" t="str">
        <f t="shared" si="14"/>
        <v/>
      </c>
      <c r="S123" s="19" t="str">
        <f t="shared" si="15"/>
        <v/>
      </c>
      <c r="T123" s="33"/>
    </row>
    <row r="124" spans="1:20" ht="21.75" customHeight="1">
      <c r="A124" s="16"/>
      <c r="B124" s="33"/>
      <c r="C124" s="10"/>
      <c r="D124" s="10"/>
      <c r="E124" s="10"/>
      <c r="F124" s="10"/>
      <c r="G124" s="10"/>
      <c r="H124" s="10"/>
      <c r="I124" s="10"/>
      <c r="J124" s="10"/>
      <c r="K124" s="16"/>
      <c r="L124" s="15" t="str">
        <f t="shared" si="8"/>
        <v/>
      </c>
      <c r="M124" s="15" t="str">
        <f t="shared" si="9"/>
        <v/>
      </c>
      <c r="N124" s="15" t="str">
        <f t="shared" si="10"/>
        <v/>
      </c>
      <c r="O124" s="15" t="str">
        <f t="shared" si="11"/>
        <v/>
      </c>
      <c r="P124" s="15" t="str">
        <f t="shared" si="12"/>
        <v/>
      </c>
      <c r="Q124" s="15" t="str">
        <f t="shared" si="13"/>
        <v/>
      </c>
      <c r="R124" s="15" t="str">
        <f t="shared" si="14"/>
        <v/>
      </c>
      <c r="S124" s="19" t="str">
        <f t="shared" si="15"/>
        <v/>
      </c>
      <c r="T124" s="33"/>
    </row>
    <row r="125" spans="1:20" ht="21.75" customHeight="1">
      <c r="A125" s="16"/>
      <c r="B125" s="33"/>
      <c r="C125" s="10"/>
      <c r="D125" s="10"/>
      <c r="E125" s="10"/>
      <c r="F125" s="10"/>
      <c r="G125" s="10"/>
      <c r="H125" s="10"/>
      <c r="I125" s="10"/>
      <c r="J125" s="10"/>
      <c r="K125" s="16"/>
      <c r="L125" s="15" t="str">
        <f t="shared" si="8"/>
        <v/>
      </c>
      <c r="M125" s="15" t="str">
        <f t="shared" si="9"/>
        <v/>
      </c>
      <c r="N125" s="15" t="str">
        <f t="shared" si="10"/>
        <v/>
      </c>
      <c r="O125" s="15" t="str">
        <f t="shared" si="11"/>
        <v/>
      </c>
      <c r="P125" s="15" t="str">
        <f t="shared" si="12"/>
        <v/>
      </c>
      <c r="Q125" s="15" t="str">
        <f t="shared" si="13"/>
        <v/>
      </c>
      <c r="R125" s="15" t="str">
        <f t="shared" si="14"/>
        <v/>
      </c>
      <c r="S125" s="19" t="str">
        <f t="shared" si="15"/>
        <v/>
      </c>
      <c r="T125" s="33"/>
    </row>
    <row r="126" spans="1:20" ht="21.75" customHeight="1">
      <c r="A126" s="16"/>
      <c r="B126" s="33"/>
      <c r="C126" s="10"/>
      <c r="D126" s="10"/>
      <c r="E126" s="10"/>
      <c r="F126" s="10"/>
      <c r="G126" s="10"/>
      <c r="H126" s="10"/>
      <c r="I126" s="10"/>
      <c r="J126" s="10"/>
      <c r="K126" s="16"/>
      <c r="L126" s="15" t="str">
        <f t="shared" si="8"/>
        <v/>
      </c>
      <c r="M126" s="15" t="str">
        <f t="shared" si="9"/>
        <v/>
      </c>
      <c r="N126" s="15" t="str">
        <f t="shared" si="10"/>
        <v/>
      </c>
      <c r="O126" s="15" t="str">
        <f t="shared" si="11"/>
        <v/>
      </c>
      <c r="P126" s="15" t="str">
        <f t="shared" si="12"/>
        <v/>
      </c>
      <c r="Q126" s="15" t="str">
        <f t="shared" si="13"/>
        <v/>
      </c>
      <c r="R126" s="15" t="str">
        <f t="shared" si="14"/>
        <v/>
      </c>
      <c r="S126" s="19" t="str">
        <f t="shared" si="15"/>
        <v/>
      </c>
      <c r="T126" s="33"/>
    </row>
    <row r="127" spans="1:20" ht="21.75" customHeight="1">
      <c r="A127" s="16"/>
      <c r="B127" s="33"/>
      <c r="C127" s="10"/>
      <c r="D127" s="10"/>
      <c r="E127" s="10"/>
      <c r="F127" s="10"/>
      <c r="G127" s="10"/>
      <c r="H127" s="10"/>
      <c r="I127" s="10"/>
      <c r="J127" s="10"/>
      <c r="K127" s="16"/>
      <c r="L127" s="15" t="str">
        <f t="shared" si="8"/>
        <v/>
      </c>
      <c r="M127" s="15" t="str">
        <f t="shared" si="9"/>
        <v/>
      </c>
      <c r="N127" s="15" t="str">
        <f t="shared" si="10"/>
        <v/>
      </c>
      <c r="O127" s="15" t="str">
        <f t="shared" si="11"/>
        <v/>
      </c>
      <c r="P127" s="15" t="str">
        <f t="shared" si="12"/>
        <v/>
      </c>
      <c r="Q127" s="15" t="str">
        <f t="shared" si="13"/>
        <v/>
      </c>
      <c r="R127" s="15" t="str">
        <f t="shared" si="14"/>
        <v/>
      </c>
      <c r="S127" s="19" t="str">
        <f t="shared" si="15"/>
        <v/>
      </c>
      <c r="T127" s="33"/>
    </row>
    <row r="128" spans="1:20" ht="21.75" customHeight="1">
      <c r="A128" s="16"/>
      <c r="B128" s="33"/>
      <c r="C128" s="10"/>
      <c r="D128" s="10"/>
      <c r="E128" s="10"/>
      <c r="F128" s="10"/>
      <c r="G128" s="10"/>
      <c r="H128" s="10"/>
      <c r="I128" s="10"/>
      <c r="J128" s="10"/>
      <c r="K128" s="16"/>
      <c r="L128" s="15" t="str">
        <f t="shared" si="8"/>
        <v/>
      </c>
      <c r="M128" s="15" t="str">
        <f t="shared" si="9"/>
        <v/>
      </c>
      <c r="N128" s="15" t="str">
        <f t="shared" si="10"/>
        <v/>
      </c>
      <c r="O128" s="15" t="str">
        <f t="shared" si="11"/>
        <v/>
      </c>
      <c r="P128" s="15" t="str">
        <f t="shared" si="12"/>
        <v/>
      </c>
      <c r="Q128" s="15" t="str">
        <f t="shared" si="13"/>
        <v/>
      </c>
      <c r="R128" s="15" t="str">
        <f t="shared" si="14"/>
        <v/>
      </c>
      <c r="S128" s="19" t="str">
        <f t="shared" si="15"/>
        <v/>
      </c>
      <c r="T128" s="33"/>
    </row>
    <row r="129" spans="1:20" ht="21.75" customHeight="1">
      <c r="A129" s="16"/>
      <c r="B129" s="33"/>
      <c r="C129" s="10"/>
      <c r="D129" s="10"/>
      <c r="E129" s="10"/>
      <c r="F129" s="10"/>
      <c r="G129" s="10"/>
      <c r="H129" s="10"/>
      <c r="I129" s="10"/>
      <c r="J129" s="10"/>
      <c r="K129" s="16"/>
      <c r="L129" s="15" t="str">
        <f t="shared" si="8"/>
        <v/>
      </c>
      <c r="M129" s="15" t="str">
        <f t="shared" si="9"/>
        <v/>
      </c>
      <c r="N129" s="15" t="str">
        <f t="shared" si="10"/>
        <v/>
      </c>
      <c r="O129" s="15" t="str">
        <f t="shared" si="11"/>
        <v/>
      </c>
      <c r="P129" s="15" t="str">
        <f t="shared" si="12"/>
        <v/>
      </c>
      <c r="Q129" s="15" t="str">
        <f t="shared" si="13"/>
        <v/>
      </c>
      <c r="R129" s="15" t="str">
        <f t="shared" si="14"/>
        <v/>
      </c>
      <c r="S129" s="19" t="str">
        <f t="shared" si="15"/>
        <v/>
      </c>
      <c r="T129" s="33"/>
    </row>
    <row r="130" spans="1:20" ht="21.75" customHeight="1">
      <c r="A130" s="16"/>
      <c r="B130" s="33"/>
      <c r="C130" s="10"/>
      <c r="D130" s="10"/>
      <c r="E130" s="10"/>
      <c r="F130" s="10"/>
      <c r="G130" s="10"/>
      <c r="H130" s="10"/>
      <c r="I130" s="10"/>
      <c r="J130" s="10"/>
      <c r="K130" s="16"/>
      <c r="L130" s="15" t="str">
        <f t="shared" si="8"/>
        <v/>
      </c>
      <c r="M130" s="15" t="str">
        <f t="shared" si="9"/>
        <v/>
      </c>
      <c r="N130" s="15" t="str">
        <f t="shared" si="10"/>
        <v/>
      </c>
      <c r="O130" s="15" t="str">
        <f t="shared" si="11"/>
        <v/>
      </c>
      <c r="P130" s="15" t="str">
        <f t="shared" si="12"/>
        <v/>
      </c>
      <c r="Q130" s="15" t="str">
        <f t="shared" si="13"/>
        <v/>
      </c>
      <c r="R130" s="15" t="str">
        <f t="shared" si="14"/>
        <v/>
      </c>
      <c r="S130" s="19" t="str">
        <f t="shared" si="15"/>
        <v/>
      </c>
      <c r="T130" s="33"/>
    </row>
    <row r="131" spans="1:20" ht="21.75" customHeight="1">
      <c r="A131" s="16"/>
      <c r="B131" s="33"/>
      <c r="C131" s="10"/>
      <c r="D131" s="10"/>
      <c r="E131" s="10"/>
      <c r="F131" s="10"/>
      <c r="G131" s="10"/>
      <c r="H131" s="10"/>
      <c r="I131" s="10"/>
      <c r="J131" s="10"/>
      <c r="K131" s="16"/>
      <c r="L131" s="15" t="str">
        <f t="shared" si="8"/>
        <v/>
      </c>
      <c r="M131" s="15" t="str">
        <f t="shared" si="9"/>
        <v/>
      </c>
      <c r="N131" s="15" t="str">
        <f t="shared" si="10"/>
        <v/>
      </c>
      <c r="O131" s="15" t="str">
        <f t="shared" si="11"/>
        <v/>
      </c>
      <c r="P131" s="15" t="str">
        <f t="shared" si="12"/>
        <v/>
      </c>
      <c r="Q131" s="15" t="str">
        <f t="shared" si="13"/>
        <v/>
      </c>
      <c r="R131" s="15" t="str">
        <f t="shared" si="14"/>
        <v/>
      </c>
      <c r="S131" s="19" t="str">
        <f t="shared" si="15"/>
        <v/>
      </c>
      <c r="T131" s="33"/>
    </row>
    <row r="132" spans="1:20" ht="21.75" customHeight="1">
      <c r="A132" s="16"/>
      <c r="B132" s="33"/>
      <c r="C132" s="10"/>
      <c r="D132" s="10"/>
      <c r="E132" s="10"/>
      <c r="F132" s="10"/>
      <c r="G132" s="10"/>
      <c r="H132" s="10"/>
      <c r="I132" s="10"/>
      <c r="J132" s="10"/>
      <c r="K132" s="16"/>
      <c r="L132" s="15" t="str">
        <f t="shared" si="8"/>
        <v/>
      </c>
      <c r="M132" s="15" t="str">
        <f t="shared" si="9"/>
        <v/>
      </c>
      <c r="N132" s="15" t="str">
        <f t="shared" si="10"/>
        <v/>
      </c>
      <c r="O132" s="15" t="str">
        <f t="shared" si="11"/>
        <v/>
      </c>
      <c r="P132" s="15" t="str">
        <f t="shared" si="12"/>
        <v/>
      </c>
      <c r="Q132" s="15" t="str">
        <f t="shared" si="13"/>
        <v/>
      </c>
      <c r="R132" s="15" t="str">
        <f t="shared" si="14"/>
        <v/>
      </c>
      <c r="S132" s="19" t="str">
        <f t="shared" si="15"/>
        <v/>
      </c>
      <c r="T132" s="33"/>
    </row>
    <row r="133" spans="1:20" ht="21.75" customHeight="1">
      <c r="A133" s="16"/>
      <c r="B133" s="33"/>
      <c r="C133" s="10"/>
      <c r="D133" s="10"/>
      <c r="E133" s="10"/>
      <c r="F133" s="10"/>
      <c r="G133" s="10"/>
      <c r="H133" s="10"/>
      <c r="I133" s="10"/>
      <c r="J133" s="10"/>
      <c r="K133" s="16"/>
      <c r="L133" s="15" t="str">
        <f t="shared" si="8"/>
        <v/>
      </c>
      <c r="M133" s="15" t="str">
        <f t="shared" si="9"/>
        <v/>
      </c>
      <c r="N133" s="15" t="str">
        <f t="shared" si="10"/>
        <v/>
      </c>
      <c r="O133" s="15" t="str">
        <f t="shared" si="11"/>
        <v/>
      </c>
      <c r="P133" s="15" t="str">
        <f t="shared" si="12"/>
        <v/>
      </c>
      <c r="Q133" s="15" t="str">
        <f t="shared" si="13"/>
        <v/>
      </c>
      <c r="R133" s="15" t="str">
        <f t="shared" si="14"/>
        <v/>
      </c>
      <c r="S133" s="19" t="str">
        <f t="shared" si="15"/>
        <v/>
      </c>
      <c r="T133" s="33"/>
    </row>
    <row r="134" spans="1:20" ht="21.75" customHeight="1">
      <c r="A134" s="16"/>
      <c r="B134" s="33"/>
      <c r="C134" s="10"/>
      <c r="D134" s="10"/>
      <c r="E134" s="10"/>
      <c r="F134" s="10"/>
      <c r="G134" s="10"/>
      <c r="H134" s="10"/>
      <c r="I134" s="10"/>
      <c r="J134" s="10"/>
      <c r="K134" s="16"/>
      <c r="L134" s="15" t="str">
        <f t="shared" ref="L134:L197" si="16">IF(OR(C134="",D134="",D134&lt;=0),"",C134/D134)</f>
        <v/>
      </c>
      <c r="M134" s="15" t="str">
        <f t="shared" ref="M134:M197" si="17">IF(OR(F134="",G134=""),"",F134-G134)</f>
        <v/>
      </c>
      <c r="N134" s="15" t="str">
        <f t="shared" ref="N134:N197" si="18">IF(OR(D134="",F134=""),"",D134-F134)</f>
        <v/>
      </c>
      <c r="O134" s="15" t="str">
        <f t="shared" ref="O134:O197" si="19">IF(OR(G134="",H134=""),"",G134-H134-I134)</f>
        <v/>
      </c>
      <c r="P134" s="15" t="str">
        <f t="shared" ref="P134:P197" si="20">IF(OR(H134="",J134="",J134&lt;=0),"",H134/J134)</f>
        <v/>
      </c>
      <c r="Q134" s="15" t="str">
        <f t="shared" ref="Q134:Q197" si="21">IF(S134&lt;&gt;"已完整划转","",C134+E134)</f>
        <v/>
      </c>
      <c r="R134" s="15" t="str">
        <f t="shared" ref="R134:R197" si="22">IF(Q134="","",Q134/J134)</f>
        <v/>
      </c>
      <c r="S134" s="19" t="str">
        <f t="shared" ref="S134:S197" si="23">IF(COUNTA(A134:K134)=0,"",IF(OR(A134="",C134="",D134="",F134="",G134="",H134="",J134="",K134=""),"待补分段记录",IF(OR(C134&lt;=0,D134&lt;=0,J134&lt;=0,E134&lt;0,I134&lt;0,M134&lt; -0.01,N134&lt; -0.01,O134&lt; -0.01),"金额关系待检查",IF(OR(ABS(N134)&gt;0.01,ABS(O134)&gt;0.01),"尚有港元余额","已完整划转"))))</f>
        <v/>
      </c>
      <c r="T134" s="33"/>
    </row>
    <row r="135" spans="1:20" ht="21.75" customHeight="1">
      <c r="A135" s="16"/>
      <c r="B135" s="33"/>
      <c r="C135" s="10"/>
      <c r="D135" s="10"/>
      <c r="E135" s="10"/>
      <c r="F135" s="10"/>
      <c r="G135" s="10"/>
      <c r="H135" s="10"/>
      <c r="I135" s="10"/>
      <c r="J135" s="10"/>
      <c r="K135" s="16"/>
      <c r="L135" s="15" t="str">
        <f t="shared" si="16"/>
        <v/>
      </c>
      <c r="M135" s="15" t="str">
        <f t="shared" si="17"/>
        <v/>
      </c>
      <c r="N135" s="15" t="str">
        <f t="shared" si="18"/>
        <v/>
      </c>
      <c r="O135" s="15" t="str">
        <f t="shared" si="19"/>
        <v/>
      </c>
      <c r="P135" s="15" t="str">
        <f t="shared" si="20"/>
        <v/>
      </c>
      <c r="Q135" s="15" t="str">
        <f t="shared" si="21"/>
        <v/>
      </c>
      <c r="R135" s="15" t="str">
        <f t="shared" si="22"/>
        <v/>
      </c>
      <c r="S135" s="19" t="str">
        <f t="shared" si="23"/>
        <v/>
      </c>
      <c r="T135" s="33"/>
    </row>
    <row r="136" spans="1:20" ht="21.75" customHeight="1">
      <c r="A136" s="16"/>
      <c r="B136" s="33"/>
      <c r="C136" s="10"/>
      <c r="D136" s="10"/>
      <c r="E136" s="10"/>
      <c r="F136" s="10"/>
      <c r="G136" s="10"/>
      <c r="H136" s="10"/>
      <c r="I136" s="10"/>
      <c r="J136" s="10"/>
      <c r="K136" s="16"/>
      <c r="L136" s="15" t="str">
        <f t="shared" si="16"/>
        <v/>
      </c>
      <c r="M136" s="15" t="str">
        <f t="shared" si="17"/>
        <v/>
      </c>
      <c r="N136" s="15" t="str">
        <f t="shared" si="18"/>
        <v/>
      </c>
      <c r="O136" s="15" t="str">
        <f t="shared" si="19"/>
        <v/>
      </c>
      <c r="P136" s="15" t="str">
        <f t="shared" si="20"/>
        <v/>
      </c>
      <c r="Q136" s="15" t="str">
        <f t="shared" si="21"/>
        <v/>
      </c>
      <c r="R136" s="15" t="str">
        <f t="shared" si="22"/>
        <v/>
      </c>
      <c r="S136" s="19" t="str">
        <f t="shared" si="23"/>
        <v/>
      </c>
      <c r="T136" s="33"/>
    </row>
    <row r="137" spans="1:20" ht="21.75" customHeight="1">
      <c r="A137" s="16"/>
      <c r="B137" s="33"/>
      <c r="C137" s="10"/>
      <c r="D137" s="10"/>
      <c r="E137" s="10"/>
      <c r="F137" s="10"/>
      <c r="G137" s="10"/>
      <c r="H137" s="10"/>
      <c r="I137" s="10"/>
      <c r="J137" s="10"/>
      <c r="K137" s="16"/>
      <c r="L137" s="15" t="str">
        <f t="shared" si="16"/>
        <v/>
      </c>
      <c r="M137" s="15" t="str">
        <f t="shared" si="17"/>
        <v/>
      </c>
      <c r="N137" s="15" t="str">
        <f t="shared" si="18"/>
        <v/>
      </c>
      <c r="O137" s="15" t="str">
        <f t="shared" si="19"/>
        <v/>
      </c>
      <c r="P137" s="15" t="str">
        <f t="shared" si="20"/>
        <v/>
      </c>
      <c r="Q137" s="15" t="str">
        <f t="shared" si="21"/>
        <v/>
      </c>
      <c r="R137" s="15" t="str">
        <f t="shared" si="22"/>
        <v/>
      </c>
      <c r="S137" s="19" t="str">
        <f t="shared" si="23"/>
        <v/>
      </c>
      <c r="T137" s="33"/>
    </row>
    <row r="138" spans="1:20" ht="21.75" customHeight="1">
      <c r="A138" s="16"/>
      <c r="B138" s="33"/>
      <c r="C138" s="10"/>
      <c r="D138" s="10"/>
      <c r="E138" s="10"/>
      <c r="F138" s="10"/>
      <c r="G138" s="10"/>
      <c r="H138" s="10"/>
      <c r="I138" s="10"/>
      <c r="J138" s="10"/>
      <c r="K138" s="16"/>
      <c r="L138" s="15" t="str">
        <f t="shared" si="16"/>
        <v/>
      </c>
      <c r="M138" s="15" t="str">
        <f t="shared" si="17"/>
        <v/>
      </c>
      <c r="N138" s="15" t="str">
        <f t="shared" si="18"/>
        <v/>
      </c>
      <c r="O138" s="15" t="str">
        <f t="shared" si="19"/>
        <v/>
      </c>
      <c r="P138" s="15" t="str">
        <f t="shared" si="20"/>
        <v/>
      </c>
      <c r="Q138" s="15" t="str">
        <f t="shared" si="21"/>
        <v/>
      </c>
      <c r="R138" s="15" t="str">
        <f t="shared" si="22"/>
        <v/>
      </c>
      <c r="S138" s="19" t="str">
        <f t="shared" si="23"/>
        <v/>
      </c>
      <c r="T138" s="33"/>
    </row>
    <row r="139" spans="1:20" ht="21.75" customHeight="1">
      <c r="A139" s="16"/>
      <c r="B139" s="33"/>
      <c r="C139" s="10"/>
      <c r="D139" s="10"/>
      <c r="E139" s="10"/>
      <c r="F139" s="10"/>
      <c r="G139" s="10"/>
      <c r="H139" s="10"/>
      <c r="I139" s="10"/>
      <c r="J139" s="10"/>
      <c r="K139" s="16"/>
      <c r="L139" s="15" t="str">
        <f t="shared" si="16"/>
        <v/>
      </c>
      <c r="M139" s="15" t="str">
        <f t="shared" si="17"/>
        <v/>
      </c>
      <c r="N139" s="15" t="str">
        <f t="shared" si="18"/>
        <v/>
      </c>
      <c r="O139" s="15" t="str">
        <f t="shared" si="19"/>
        <v/>
      </c>
      <c r="P139" s="15" t="str">
        <f t="shared" si="20"/>
        <v/>
      </c>
      <c r="Q139" s="15" t="str">
        <f t="shared" si="21"/>
        <v/>
      </c>
      <c r="R139" s="15" t="str">
        <f t="shared" si="22"/>
        <v/>
      </c>
      <c r="S139" s="19" t="str">
        <f t="shared" si="23"/>
        <v/>
      </c>
      <c r="T139" s="33"/>
    </row>
    <row r="140" spans="1:20" ht="21.75" customHeight="1">
      <c r="A140" s="16"/>
      <c r="B140" s="33"/>
      <c r="C140" s="10"/>
      <c r="D140" s="10"/>
      <c r="E140" s="10"/>
      <c r="F140" s="10"/>
      <c r="G140" s="10"/>
      <c r="H140" s="10"/>
      <c r="I140" s="10"/>
      <c r="J140" s="10"/>
      <c r="K140" s="16"/>
      <c r="L140" s="15" t="str">
        <f t="shared" si="16"/>
        <v/>
      </c>
      <c r="M140" s="15" t="str">
        <f t="shared" si="17"/>
        <v/>
      </c>
      <c r="N140" s="15" t="str">
        <f t="shared" si="18"/>
        <v/>
      </c>
      <c r="O140" s="15" t="str">
        <f t="shared" si="19"/>
        <v/>
      </c>
      <c r="P140" s="15" t="str">
        <f t="shared" si="20"/>
        <v/>
      </c>
      <c r="Q140" s="15" t="str">
        <f t="shared" si="21"/>
        <v/>
      </c>
      <c r="R140" s="15" t="str">
        <f t="shared" si="22"/>
        <v/>
      </c>
      <c r="S140" s="19" t="str">
        <f t="shared" si="23"/>
        <v/>
      </c>
      <c r="T140" s="33"/>
    </row>
    <row r="141" spans="1:20" ht="21.75" customHeight="1">
      <c r="A141" s="16"/>
      <c r="B141" s="33"/>
      <c r="C141" s="10"/>
      <c r="D141" s="10"/>
      <c r="E141" s="10"/>
      <c r="F141" s="10"/>
      <c r="G141" s="10"/>
      <c r="H141" s="10"/>
      <c r="I141" s="10"/>
      <c r="J141" s="10"/>
      <c r="K141" s="16"/>
      <c r="L141" s="15" t="str">
        <f t="shared" si="16"/>
        <v/>
      </c>
      <c r="M141" s="15" t="str">
        <f t="shared" si="17"/>
        <v/>
      </c>
      <c r="N141" s="15" t="str">
        <f t="shared" si="18"/>
        <v/>
      </c>
      <c r="O141" s="15" t="str">
        <f t="shared" si="19"/>
        <v/>
      </c>
      <c r="P141" s="15" t="str">
        <f t="shared" si="20"/>
        <v/>
      </c>
      <c r="Q141" s="15" t="str">
        <f t="shared" si="21"/>
        <v/>
      </c>
      <c r="R141" s="15" t="str">
        <f t="shared" si="22"/>
        <v/>
      </c>
      <c r="S141" s="19" t="str">
        <f t="shared" si="23"/>
        <v/>
      </c>
      <c r="T141" s="33"/>
    </row>
    <row r="142" spans="1:20" ht="21.75" customHeight="1">
      <c r="A142" s="16"/>
      <c r="B142" s="33"/>
      <c r="C142" s="10"/>
      <c r="D142" s="10"/>
      <c r="E142" s="10"/>
      <c r="F142" s="10"/>
      <c r="G142" s="10"/>
      <c r="H142" s="10"/>
      <c r="I142" s="10"/>
      <c r="J142" s="10"/>
      <c r="K142" s="16"/>
      <c r="L142" s="15" t="str">
        <f t="shared" si="16"/>
        <v/>
      </c>
      <c r="M142" s="15" t="str">
        <f t="shared" si="17"/>
        <v/>
      </c>
      <c r="N142" s="15" t="str">
        <f t="shared" si="18"/>
        <v/>
      </c>
      <c r="O142" s="15" t="str">
        <f t="shared" si="19"/>
        <v/>
      </c>
      <c r="P142" s="15" t="str">
        <f t="shared" si="20"/>
        <v/>
      </c>
      <c r="Q142" s="15" t="str">
        <f t="shared" si="21"/>
        <v/>
      </c>
      <c r="R142" s="15" t="str">
        <f t="shared" si="22"/>
        <v/>
      </c>
      <c r="S142" s="19" t="str">
        <f t="shared" si="23"/>
        <v/>
      </c>
      <c r="T142" s="33"/>
    </row>
    <row r="143" spans="1:20" ht="21.75" customHeight="1">
      <c r="A143" s="16"/>
      <c r="B143" s="33"/>
      <c r="C143" s="10"/>
      <c r="D143" s="10"/>
      <c r="E143" s="10"/>
      <c r="F143" s="10"/>
      <c r="G143" s="10"/>
      <c r="H143" s="10"/>
      <c r="I143" s="10"/>
      <c r="J143" s="10"/>
      <c r="K143" s="16"/>
      <c r="L143" s="15" t="str">
        <f t="shared" si="16"/>
        <v/>
      </c>
      <c r="M143" s="15" t="str">
        <f t="shared" si="17"/>
        <v/>
      </c>
      <c r="N143" s="15" t="str">
        <f t="shared" si="18"/>
        <v/>
      </c>
      <c r="O143" s="15" t="str">
        <f t="shared" si="19"/>
        <v/>
      </c>
      <c r="P143" s="15" t="str">
        <f t="shared" si="20"/>
        <v/>
      </c>
      <c r="Q143" s="15" t="str">
        <f t="shared" si="21"/>
        <v/>
      </c>
      <c r="R143" s="15" t="str">
        <f t="shared" si="22"/>
        <v/>
      </c>
      <c r="S143" s="19" t="str">
        <f t="shared" si="23"/>
        <v/>
      </c>
      <c r="T143" s="33"/>
    </row>
    <row r="144" spans="1:20" ht="21.75" customHeight="1">
      <c r="A144" s="16"/>
      <c r="B144" s="33"/>
      <c r="C144" s="10"/>
      <c r="D144" s="10"/>
      <c r="E144" s="10"/>
      <c r="F144" s="10"/>
      <c r="G144" s="10"/>
      <c r="H144" s="10"/>
      <c r="I144" s="10"/>
      <c r="J144" s="10"/>
      <c r="K144" s="16"/>
      <c r="L144" s="15" t="str">
        <f t="shared" si="16"/>
        <v/>
      </c>
      <c r="M144" s="15" t="str">
        <f t="shared" si="17"/>
        <v/>
      </c>
      <c r="N144" s="15" t="str">
        <f t="shared" si="18"/>
        <v/>
      </c>
      <c r="O144" s="15" t="str">
        <f t="shared" si="19"/>
        <v/>
      </c>
      <c r="P144" s="15" t="str">
        <f t="shared" si="20"/>
        <v/>
      </c>
      <c r="Q144" s="15" t="str">
        <f t="shared" si="21"/>
        <v/>
      </c>
      <c r="R144" s="15" t="str">
        <f t="shared" si="22"/>
        <v/>
      </c>
      <c r="S144" s="19" t="str">
        <f t="shared" si="23"/>
        <v/>
      </c>
      <c r="T144" s="33"/>
    </row>
    <row r="145" spans="1:20" ht="21.75" customHeight="1">
      <c r="A145" s="16"/>
      <c r="B145" s="33"/>
      <c r="C145" s="10"/>
      <c r="D145" s="10"/>
      <c r="E145" s="10"/>
      <c r="F145" s="10"/>
      <c r="G145" s="10"/>
      <c r="H145" s="10"/>
      <c r="I145" s="10"/>
      <c r="J145" s="10"/>
      <c r="K145" s="16"/>
      <c r="L145" s="15" t="str">
        <f t="shared" si="16"/>
        <v/>
      </c>
      <c r="M145" s="15" t="str">
        <f t="shared" si="17"/>
        <v/>
      </c>
      <c r="N145" s="15" t="str">
        <f t="shared" si="18"/>
        <v/>
      </c>
      <c r="O145" s="15" t="str">
        <f t="shared" si="19"/>
        <v/>
      </c>
      <c r="P145" s="15" t="str">
        <f t="shared" si="20"/>
        <v/>
      </c>
      <c r="Q145" s="15" t="str">
        <f t="shared" si="21"/>
        <v/>
      </c>
      <c r="R145" s="15" t="str">
        <f t="shared" si="22"/>
        <v/>
      </c>
      <c r="S145" s="19" t="str">
        <f t="shared" si="23"/>
        <v/>
      </c>
      <c r="T145" s="33"/>
    </row>
    <row r="146" spans="1:20" ht="21.75" customHeight="1">
      <c r="A146" s="16"/>
      <c r="B146" s="33"/>
      <c r="C146" s="10"/>
      <c r="D146" s="10"/>
      <c r="E146" s="10"/>
      <c r="F146" s="10"/>
      <c r="G146" s="10"/>
      <c r="H146" s="10"/>
      <c r="I146" s="10"/>
      <c r="J146" s="10"/>
      <c r="K146" s="16"/>
      <c r="L146" s="15" t="str">
        <f t="shared" si="16"/>
        <v/>
      </c>
      <c r="M146" s="15" t="str">
        <f t="shared" si="17"/>
        <v/>
      </c>
      <c r="N146" s="15" t="str">
        <f t="shared" si="18"/>
        <v/>
      </c>
      <c r="O146" s="15" t="str">
        <f t="shared" si="19"/>
        <v/>
      </c>
      <c r="P146" s="15" t="str">
        <f t="shared" si="20"/>
        <v/>
      </c>
      <c r="Q146" s="15" t="str">
        <f t="shared" si="21"/>
        <v/>
      </c>
      <c r="R146" s="15" t="str">
        <f t="shared" si="22"/>
        <v/>
      </c>
      <c r="S146" s="19" t="str">
        <f t="shared" si="23"/>
        <v/>
      </c>
      <c r="T146" s="33"/>
    </row>
    <row r="147" spans="1:20" ht="21.75" customHeight="1">
      <c r="A147" s="16"/>
      <c r="B147" s="33"/>
      <c r="C147" s="10"/>
      <c r="D147" s="10"/>
      <c r="E147" s="10"/>
      <c r="F147" s="10"/>
      <c r="G147" s="10"/>
      <c r="H147" s="10"/>
      <c r="I147" s="10"/>
      <c r="J147" s="10"/>
      <c r="K147" s="16"/>
      <c r="L147" s="15" t="str">
        <f t="shared" si="16"/>
        <v/>
      </c>
      <c r="M147" s="15" t="str">
        <f t="shared" si="17"/>
        <v/>
      </c>
      <c r="N147" s="15" t="str">
        <f t="shared" si="18"/>
        <v/>
      </c>
      <c r="O147" s="15" t="str">
        <f t="shared" si="19"/>
        <v/>
      </c>
      <c r="P147" s="15" t="str">
        <f t="shared" si="20"/>
        <v/>
      </c>
      <c r="Q147" s="15" t="str">
        <f t="shared" si="21"/>
        <v/>
      </c>
      <c r="R147" s="15" t="str">
        <f t="shared" si="22"/>
        <v/>
      </c>
      <c r="S147" s="19" t="str">
        <f t="shared" si="23"/>
        <v/>
      </c>
      <c r="T147" s="33"/>
    </row>
    <row r="148" spans="1:20" ht="21.75" customHeight="1">
      <c r="A148" s="16"/>
      <c r="B148" s="33"/>
      <c r="C148" s="10"/>
      <c r="D148" s="10"/>
      <c r="E148" s="10"/>
      <c r="F148" s="10"/>
      <c r="G148" s="10"/>
      <c r="H148" s="10"/>
      <c r="I148" s="10"/>
      <c r="J148" s="10"/>
      <c r="K148" s="16"/>
      <c r="L148" s="15" t="str">
        <f t="shared" si="16"/>
        <v/>
      </c>
      <c r="M148" s="15" t="str">
        <f t="shared" si="17"/>
        <v/>
      </c>
      <c r="N148" s="15" t="str">
        <f t="shared" si="18"/>
        <v/>
      </c>
      <c r="O148" s="15" t="str">
        <f t="shared" si="19"/>
        <v/>
      </c>
      <c r="P148" s="15" t="str">
        <f t="shared" si="20"/>
        <v/>
      </c>
      <c r="Q148" s="15" t="str">
        <f t="shared" si="21"/>
        <v/>
      </c>
      <c r="R148" s="15" t="str">
        <f t="shared" si="22"/>
        <v/>
      </c>
      <c r="S148" s="19" t="str">
        <f t="shared" si="23"/>
        <v/>
      </c>
      <c r="T148" s="33"/>
    </row>
    <row r="149" spans="1:20" ht="21.75" customHeight="1">
      <c r="A149" s="16"/>
      <c r="B149" s="33"/>
      <c r="C149" s="10"/>
      <c r="D149" s="10"/>
      <c r="E149" s="10"/>
      <c r="F149" s="10"/>
      <c r="G149" s="10"/>
      <c r="H149" s="10"/>
      <c r="I149" s="10"/>
      <c r="J149" s="10"/>
      <c r="K149" s="16"/>
      <c r="L149" s="15" t="str">
        <f t="shared" si="16"/>
        <v/>
      </c>
      <c r="M149" s="15" t="str">
        <f t="shared" si="17"/>
        <v/>
      </c>
      <c r="N149" s="15" t="str">
        <f t="shared" si="18"/>
        <v/>
      </c>
      <c r="O149" s="15" t="str">
        <f t="shared" si="19"/>
        <v/>
      </c>
      <c r="P149" s="15" t="str">
        <f t="shared" si="20"/>
        <v/>
      </c>
      <c r="Q149" s="15" t="str">
        <f t="shared" si="21"/>
        <v/>
      </c>
      <c r="R149" s="15" t="str">
        <f t="shared" si="22"/>
        <v/>
      </c>
      <c r="S149" s="19" t="str">
        <f t="shared" si="23"/>
        <v/>
      </c>
      <c r="T149" s="33"/>
    </row>
    <row r="150" spans="1:20" ht="21.75" customHeight="1">
      <c r="A150" s="16"/>
      <c r="B150" s="33"/>
      <c r="C150" s="10"/>
      <c r="D150" s="10"/>
      <c r="E150" s="10"/>
      <c r="F150" s="10"/>
      <c r="G150" s="10"/>
      <c r="H150" s="10"/>
      <c r="I150" s="10"/>
      <c r="J150" s="10"/>
      <c r="K150" s="16"/>
      <c r="L150" s="15" t="str">
        <f t="shared" si="16"/>
        <v/>
      </c>
      <c r="M150" s="15" t="str">
        <f t="shared" si="17"/>
        <v/>
      </c>
      <c r="N150" s="15" t="str">
        <f t="shared" si="18"/>
        <v/>
      </c>
      <c r="O150" s="15" t="str">
        <f t="shared" si="19"/>
        <v/>
      </c>
      <c r="P150" s="15" t="str">
        <f t="shared" si="20"/>
        <v/>
      </c>
      <c r="Q150" s="15" t="str">
        <f t="shared" si="21"/>
        <v/>
      </c>
      <c r="R150" s="15" t="str">
        <f t="shared" si="22"/>
        <v/>
      </c>
      <c r="S150" s="19" t="str">
        <f t="shared" si="23"/>
        <v/>
      </c>
      <c r="T150" s="33"/>
    </row>
    <row r="151" spans="1:20" ht="21.75" customHeight="1">
      <c r="A151" s="16"/>
      <c r="B151" s="33"/>
      <c r="C151" s="10"/>
      <c r="D151" s="10"/>
      <c r="E151" s="10"/>
      <c r="F151" s="10"/>
      <c r="G151" s="10"/>
      <c r="H151" s="10"/>
      <c r="I151" s="10"/>
      <c r="J151" s="10"/>
      <c r="K151" s="16"/>
      <c r="L151" s="15" t="str">
        <f t="shared" si="16"/>
        <v/>
      </c>
      <c r="M151" s="15" t="str">
        <f t="shared" si="17"/>
        <v/>
      </c>
      <c r="N151" s="15" t="str">
        <f t="shared" si="18"/>
        <v/>
      </c>
      <c r="O151" s="15" t="str">
        <f t="shared" si="19"/>
        <v/>
      </c>
      <c r="P151" s="15" t="str">
        <f t="shared" si="20"/>
        <v/>
      </c>
      <c r="Q151" s="15" t="str">
        <f t="shared" si="21"/>
        <v/>
      </c>
      <c r="R151" s="15" t="str">
        <f t="shared" si="22"/>
        <v/>
      </c>
      <c r="S151" s="19" t="str">
        <f t="shared" si="23"/>
        <v/>
      </c>
      <c r="T151" s="33"/>
    </row>
    <row r="152" spans="1:20" ht="21.75" customHeight="1">
      <c r="A152" s="16"/>
      <c r="B152" s="33"/>
      <c r="C152" s="10"/>
      <c r="D152" s="10"/>
      <c r="E152" s="10"/>
      <c r="F152" s="10"/>
      <c r="G152" s="10"/>
      <c r="H152" s="10"/>
      <c r="I152" s="10"/>
      <c r="J152" s="10"/>
      <c r="K152" s="16"/>
      <c r="L152" s="15" t="str">
        <f t="shared" si="16"/>
        <v/>
      </c>
      <c r="M152" s="15" t="str">
        <f t="shared" si="17"/>
        <v/>
      </c>
      <c r="N152" s="15" t="str">
        <f t="shared" si="18"/>
        <v/>
      </c>
      <c r="O152" s="15" t="str">
        <f t="shared" si="19"/>
        <v/>
      </c>
      <c r="P152" s="15" t="str">
        <f t="shared" si="20"/>
        <v/>
      </c>
      <c r="Q152" s="15" t="str">
        <f t="shared" si="21"/>
        <v/>
      </c>
      <c r="R152" s="15" t="str">
        <f t="shared" si="22"/>
        <v/>
      </c>
      <c r="S152" s="19" t="str">
        <f t="shared" si="23"/>
        <v/>
      </c>
      <c r="T152" s="33"/>
    </row>
    <row r="153" spans="1:20" ht="21.75" customHeight="1">
      <c r="A153" s="16"/>
      <c r="B153" s="33"/>
      <c r="C153" s="10"/>
      <c r="D153" s="10"/>
      <c r="E153" s="10"/>
      <c r="F153" s="10"/>
      <c r="G153" s="10"/>
      <c r="H153" s="10"/>
      <c r="I153" s="10"/>
      <c r="J153" s="10"/>
      <c r="K153" s="16"/>
      <c r="L153" s="15" t="str">
        <f t="shared" si="16"/>
        <v/>
      </c>
      <c r="M153" s="15" t="str">
        <f t="shared" si="17"/>
        <v/>
      </c>
      <c r="N153" s="15" t="str">
        <f t="shared" si="18"/>
        <v/>
      </c>
      <c r="O153" s="15" t="str">
        <f t="shared" si="19"/>
        <v/>
      </c>
      <c r="P153" s="15" t="str">
        <f t="shared" si="20"/>
        <v/>
      </c>
      <c r="Q153" s="15" t="str">
        <f t="shared" si="21"/>
        <v/>
      </c>
      <c r="R153" s="15" t="str">
        <f t="shared" si="22"/>
        <v/>
      </c>
      <c r="S153" s="19" t="str">
        <f t="shared" si="23"/>
        <v/>
      </c>
      <c r="T153" s="33"/>
    </row>
    <row r="154" spans="1:20" ht="21.75" customHeight="1">
      <c r="A154" s="16"/>
      <c r="B154" s="33"/>
      <c r="C154" s="10"/>
      <c r="D154" s="10"/>
      <c r="E154" s="10"/>
      <c r="F154" s="10"/>
      <c r="G154" s="10"/>
      <c r="H154" s="10"/>
      <c r="I154" s="10"/>
      <c r="J154" s="10"/>
      <c r="K154" s="16"/>
      <c r="L154" s="15" t="str">
        <f t="shared" si="16"/>
        <v/>
      </c>
      <c r="M154" s="15" t="str">
        <f t="shared" si="17"/>
        <v/>
      </c>
      <c r="N154" s="15" t="str">
        <f t="shared" si="18"/>
        <v/>
      </c>
      <c r="O154" s="15" t="str">
        <f t="shared" si="19"/>
        <v/>
      </c>
      <c r="P154" s="15" t="str">
        <f t="shared" si="20"/>
        <v/>
      </c>
      <c r="Q154" s="15" t="str">
        <f t="shared" si="21"/>
        <v/>
      </c>
      <c r="R154" s="15" t="str">
        <f t="shared" si="22"/>
        <v/>
      </c>
      <c r="S154" s="19" t="str">
        <f t="shared" si="23"/>
        <v/>
      </c>
      <c r="T154" s="33"/>
    </row>
    <row r="155" spans="1:20" ht="21.75" customHeight="1">
      <c r="A155" s="16"/>
      <c r="B155" s="33"/>
      <c r="C155" s="10"/>
      <c r="D155" s="10"/>
      <c r="E155" s="10"/>
      <c r="F155" s="10"/>
      <c r="G155" s="10"/>
      <c r="H155" s="10"/>
      <c r="I155" s="10"/>
      <c r="J155" s="10"/>
      <c r="K155" s="16"/>
      <c r="L155" s="15" t="str">
        <f t="shared" si="16"/>
        <v/>
      </c>
      <c r="M155" s="15" t="str">
        <f t="shared" si="17"/>
        <v/>
      </c>
      <c r="N155" s="15" t="str">
        <f t="shared" si="18"/>
        <v/>
      </c>
      <c r="O155" s="15" t="str">
        <f t="shared" si="19"/>
        <v/>
      </c>
      <c r="P155" s="15" t="str">
        <f t="shared" si="20"/>
        <v/>
      </c>
      <c r="Q155" s="15" t="str">
        <f t="shared" si="21"/>
        <v/>
      </c>
      <c r="R155" s="15" t="str">
        <f t="shared" si="22"/>
        <v/>
      </c>
      <c r="S155" s="19" t="str">
        <f t="shared" si="23"/>
        <v/>
      </c>
      <c r="T155" s="33"/>
    </row>
    <row r="156" spans="1:20" ht="21.75" customHeight="1">
      <c r="A156" s="16"/>
      <c r="B156" s="33"/>
      <c r="C156" s="10"/>
      <c r="D156" s="10"/>
      <c r="E156" s="10"/>
      <c r="F156" s="10"/>
      <c r="G156" s="10"/>
      <c r="H156" s="10"/>
      <c r="I156" s="10"/>
      <c r="J156" s="10"/>
      <c r="K156" s="16"/>
      <c r="L156" s="15" t="str">
        <f t="shared" si="16"/>
        <v/>
      </c>
      <c r="M156" s="15" t="str">
        <f t="shared" si="17"/>
        <v/>
      </c>
      <c r="N156" s="15" t="str">
        <f t="shared" si="18"/>
        <v/>
      </c>
      <c r="O156" s="15" t="str">
        <f t="shared" si="19"/>
        <v/>
      </c>
      <c r="P156" s="15" t="str">
        <f t="shared" si="20"/>
        <v/>
      </c>
      <c r="Q156" s="15" t="str">
        <f t="shared" si="21"/>
        <v/>
      </c>
      <c r="R156" s="15" t="str">
        <f t="shared" si="22"/>
        <v/>
      </c>
      <c r="S156" s="19" t="str">
        <f t="shared" si="23"/>
        <v/>
      </c>
      <c r="T156" s="33"/>
    </row>
    <row r="157" spans="1:20" ht="21.75" customHeight="1">
      <c r="A157" s="16"/>
      <c r="B157" s="33"/>
      <c r="C157" s="10"/>
      <c r="D157" s="10"/>
      <c r="E157" s="10"/>
      <c r="F157" s="10"/>
      <c r="G157" s="10"/>
      <c r="H157" s="10"/>
      <c r="I157" s="10"/>
      <c r="J157" s="10"/>
      <c r="K157" s="16"/>
      <c r="L157" s="15" t="str">
        <f t="shared" si="16"/>
        <v/>
      </c>
      <c r="M157" s="15" t="str">
        <f t="shared" si="17"/>
        <v/>
      </c>
      <c r="N157" s="15" t="str">
        <f t="shared" si="18"/>
        <v/>
      </c>
      <c r="O157" s="15" t="str">
        <f t="shared" si="19"/>
        <v/>
      </c>
      <c r="P157" s="15" t="str">
        <f t="shared" si="20"/>
        <v/>
      </c>
      <c r="Q157" s="15" t="str">
        <f t="shared" si="21"/>
        <v/>
      </c>
      <c r="R157" s="15" t="str">
        <f t="shared" si="22"/>
        <v/>
      </c>
      <c r="S157" s="19" t="str">
        <f t="shared" si="23"/>
        <v/>
      </c>
      <c r="T157" s="33"/>
    </row>
    <row r="158" spans="1:20" ht="21.75" customHeight="1">
      <c r="A158" s="16"/>
      <c r="B158" s="33"/>
      <c r="C158" s="10"/>
      <c r="D158" s="10"/>
      <c r="E158" s="10"/>
      <c r="F158" s="10"/>
      <c r="G158" s="10"/>
      <c r="H158" s="10"/>
      <c r="I158" s="10"/>
      <c r="J158" s="10"/>
      <c r="K158" s="16"/>
      <c r="L158" s="15" t="str">
        <f t="shared" si="16"/>
        <v/>
      </c>
      <c r="M158" s="15" t="str">
        <f t="shared" si="17"/>
        <v/>
      </c>
      <c r="N158" s="15" t="str">
        <f t="shared" si="18"/>
        <v/>
      </c>
      <c r="O158" s="15" t="str">
        <f t="shared" si="19"/>
        <v/>
      </c>
      <c r="P158" s="15" t="str">
        <f t="shared" si="20"/>
        <v/>
      </c>
      <c r="Q158" s="15" t="str">
        <f t="shared" si="21"/>
        <v/>
      </c>
      <c r="R158" s="15" t="str">
        <f t="shared" si="22"/>
        <v/>
      </c>
      <c r="S158" s="19" t="str">
        <f t="shared" si="23"/>
        <v/>
      </c>
      <c r="T158" s="33"/>
    </row>
    <row r="159" spans="1:20" ht="21.75" customHeight="1">
      <c r="A159" s="16"/>
      <c r="B159" s="33"/>
      <c r="C159" s="10"/>
      <c r="D159" s="10"/>
      <c r="E159" s="10"/>
      <c r="F159" s="10"/>
      <c r="G159" s="10"/>
      <c r="H159" s="10"/>
      <c r="I159" s="10"/>
      <c r="J159" s="10"/>
      <c r="K159" s="16"/>
      <c r="L159" s="15" t="str">
        <f t="shared" si="16"/>
        <v/>
      </c>
      <c r="M159" s="15" t="str">
        <f t="shared" si="17"/>
        <v/>
      </c>
      <c r="N159" s="15" t="str">
        <f t="shared" si="18"/>
        <v/>
      </c>
      <c r="O159" s="15" t="str">
        <f t="shared" si="19"/>
        <v/>
      </c>
      <c r="P159" s="15" t="str">
        <f t="shared" si="20"/>
        <v/>
      </c>
      <c r="Q159" s="15" t="str">
        <f t="shared" si="21"/>
        <v/>
      </c>
      <c r="R159" s="15" t="str">
        <f t="shared" si="22"/>
        <v/>
      </c>
      <c r="S159" s="19" t="str">
        <f t="shared" si="23"/>
        <v/>
      </c>
      <c r="T159" s="33"/>
    </row>
    <row r="160" spans="1:20" ht="21.75" customHeight="1">
      <c r="A160" s="16"/>
      <c r="B160" s="33"/>
      <c r="C160" s="10"/>
      <c r="D160" s="10"/>
      <c r="E160" s="10"/>
      <c r="F160" s="10"/>
      <c r="G160" s="10"/>
      <c r="H160" s="10"/>
      <c r="I160" s="10"/>
      <c r="J160" s="10"/>
      <c r="K160" s="16"/>
      <c r="L160" s="15" t="str">
        <f t="shared" si="16"/>
        <v/>
      </c>
      <c r="M160" s="15" t="str">
        <f t="shared" si="17"/>
        <v/>
      </c>
      <c r="N160" s="15" t="str">
        <f t="shared" si="18"/>
        <v/>
      </c>
      <c r="O160" s="15" t="str">
        <f t="shared" si="19"/>
        <v/>
      </c>
      <c r="P160" s="15" t="str">
        <f t="shared" si="20"/>
        <v/>
      </c>
      <c r="Q160" s="15" t="str">
        <f t="shared" si="21"/>
        <v/>
      </c>
      <c r="R160" s="15" t="str">
        <f t="shared" si="22"/>
        <v/>
      </c>
      <c r="S160" s="19" t="str">
        <f t="shared" si="23"/>
        <v/>
      </c>
      <c r="T160" s="33"/>
    </row>
    <row r="161" spans="1:20" ht="21.75" customHeight="1">
      <c r="A161" s="16"/>
      <c r="B161" s="33"/>
      <c r="C161" s="10"/>
      <c r="D161" s="10"/>
      <c r="E161" s="10"/>
      <c r="F161" s="10"/>
      <c r="G161" s="10"/>
      <c r="H161" s="10"/>
      <c r="I161" s="10"/>
      <c r="J161" s="10"/>
      <c r="K161" s="16"/>
      <c r="L161" s="15" t="str">
        <f t="shared" si="16"/>
        <v/>
      </c>
      <c r="M161" s="15" t="str">
        <f t="shared" si="17"/>
        <v/>
      </c>
      <c r="N161" s="15" t="str">
        <f t="shared" si="18"/>
        <v/>
      </c>
      <c r="O161" s="15" t="str">
        <f t="shared" si="19"/>
        <v/>
      </c>
      <c r="P161" s="15" t="str">
        <f t="shared" si="20"/>
        <v/>
      </c>
      <c r="Q161" s="15" t="str">
        <f t="shared" si="21"/>
        <v/>
      </c>
      <c r="R161" s="15" t="str">
        <f t="shared" si="22"/>
        <v/>
      </c>
      <c r="S161" s="19" t="str">
        <f t="shared" si="23"/>
        <v/>
      </c>
      <c r="T161" s="33"/>
    </row>
    <row r="162" spans="1:20" ht="21.75" customHeight="1">
      <c r="A162" s="16"/>
      <c r="B162" s="33"/>
      <c r="C162" s="10"/>
      <c r="D162" s="10"/>
      <c r="E162" s="10"/>
      <c r="F162" s="10"/>
      <c r="G162" s="10"/>
      <c r="H162" s="10"/>
      <c r="I162" s="10"/>
      <c r="J162" s="10"/>
      <c r="K162" s="16"/>
      <c r="L162" s="15" t="str">
        <f t="shared" si="16"/>
        <v/>
      </c>
      <c r="M162" s="15" t="str">
        <f t="shared" si="17"/>
        <v/>
      </c>
      <c r="N162" s="15" t="str">
        <f t="shared" si="18"/>
        <v/>
      </c>
      <c r="O162" s="15" t="str">
        <f t="shared" si="19"/>
        <v/>
      </c>
      <c r="P162" s="15" t="str">
        <f t="shared" si="20"/>
        <v/>
      </c>
      <c r="Q162" s="15" t="str">
        <f t="shared" si="21"/>
        <v/>
      </c>
      <c r="R162" s="15" t="str">
        <f t="shared" si="22"/>
        <v/>
      </c>
      <c r="S162" s="19" t="str">
        <f t="shared" si="23"/>
        <v/>
      </c>
      <c r="T162" s="33"/>
    </row>
    <row r="163" spans="1:20" ht="21.75" customHeight="1">
      <c r="A163" s="16"/>
      <c r="B163" s="33"/>
      <c r="C163" s="10"/>
      <c r="D163" s="10"/>
      <c r="E163" s="10"/>
      <c r="F163" s="10"/>
      <c r="G163" s="10"/>
      <c r="H163" s="10"/>
      <c r="I163" s="10"/>
      <c r="J163" s="10"/>
      <c r="K163" s="16"/>
      <c r="L163" s="15" t="str">
        <f t="shared" si="16"/>
        <v/>
      </c>
      <c r="M163" s="15" t="str">
        <f t="shared" si="17"/>
        <v/>
      </c>
      <c r="N163" s="15" t="str">
        <f t="shared" si="18"/>
        <v/>
      </c>
      <c r="O163" s="15" t="str">
        <f t="shared" si="19"/>
        <v/>
      </c>
      <c r="P163" s="15" t="str">
        <f t="shared" si="20"/>
        <v/>
      </c>
      <c r="Q163" s="15" t="str">
        <f t="shared" si="21"/>
        <v/>
      </c>
      <c r="R163" s="15" t="str">
        <f t="shared" si="22"/>
        <v/>
      </c>
      <c r="S163" s="19" t="str">
        <f t="shared" si="23"/>
        <v/>
      </c>
      <c r="T163" s="33"/>
    </row>
    <row r="164" spans="1:20" ht="21.75" customHeight="1">
      <c r="A164" s="16"/>
      <c r="B164" s="33"/>
      <c r="C164" s="10"/>
      <c r="D164" s="10"/>
      <c r="E164" s="10"/>
      <c r="F164" s="10"/>
      <c r="G164" s="10"/>
      <c r="H164" s="10"/>
      <c r="I164" s="10"/>
      <c r="J164" s="10"/>
      <c r="K164" s="16"/>
      <c r="L164" s="15" t="str">
        <f t="shared" si="16"/>
        <v/>
      </c>
      <c r="M164" s="15" t="str">
        <f t="shared" si="17"/>
        <v/>
      </c>
      <c r="N164" s="15" t="str">
        <f t="shared" si="18"/>
        <v/>
      </c>
      <c r="O164" s="15" t="str">
        <f t="shared" si="19"/>
        <v/>
      </c>
      <c r="P164" s="15" t="str">
        <f t="shared" si="20"/>
        <v/>
      </c>
      <c r="Q164" s="15" t="str">
        <f t="shared" si="21"/>
        <v/>
      </c>
      <c r="R164" s="15" t="str">
        <f t="shared" si="22"/>
        <v/>
      </c>
      <c r="S164" s="19" t="str">
        <f t="shared" si="23"/>
        <v/>
      </c>
      <c r="T164" s="33"/>
    </row>
    <row r="165" spans="1:20" ht="21.75" customHeight="1">
      <c r="A165" s="16"/>
      <c r="B165" s="33"/>
      <c r="C165" s="10"/>
      <c r="D165" s="10"/>
      <c r="E165" s="10"/>
      <c r="F165" s="10"/>
      <c r="G165" s="10"/>
      <c r="H165" s="10"/>
      <c r="I165" s="10"/>
      <c r="J165" s="10"/>
      <c r="K165" s="16"/>
      <c r="L165" s="15" t="str">
        <f t="shared" si="16"/>
        <v/>
      </c>
      <c r="M165" s="15" t="str">
        <f t="shared" si="17"/>
        <v/>
      </c>
      <c r="N165" s="15" t="str">
        <f t="shared" si="18"/>
        <v/>
      </c>
      <c r="O165" s="15" t="str">
        <f t="shared" si="19"/>
        <v/>
      </c>
      <c r="P165" s="15" t="str">
        <f t="shared" si="20"/>
        <v/>
      </c>
      <c r="Q165" s="15" t="str">
        <f t="shared" si="21"/>
        <v/>
      </c>
      <c r="R165" s="15" t="str">
        <f t="shared" si="22"/>
        <v/>
      </c>
      <c r="S165" s="19" t="str">
        <f t="shared" si="23"/>
        <v/>
      </c>
      <c r="T165" s="33"/>
    </row>
    <row r="166" spans="1:20" ht="21.75" customHeight="1">
      <c r="A166" s="16"/>
      <c r="B166" s="33"/>
      <c r="C166" s="10"/>
      <c r="D166" s="10"/>
      <c r="E166" s="10"/>
      <c r="F166" s="10"/>
      <c r="G166" s="10"/>
      <c r="H166" s="10"/>
      <c r="I166" s="10"/>
      <c r="J166" s="10"/>
      <c r="K166" s="16"/>
      <c r="L166" s="15" t="str">
        <f t="shared" si="16"/>
        <v/>
      </c>
      <c r="M166" s="15" t="str">
        <f t="shared" si="17"/>
        <v/>
      </c>
      <c r="N166" s="15" t="str">
        <f t="shared" si="18"/>
        <v/>
      </c>
      <c r="O166" s="15" t="str">
        <f t="shared" si="19"/>
        <v/>
      </c>
      <c r="P166" s="15" t="str">
        <f t="shared" si="20"/>
        <v/>
      </c>
      <c r="Q166" s="15" t="str">
        <f t="shared" si="21"/>
        <v/>
      </c>
      <c r="R166" s="15" t="str">
        <f t="shared" si="22"/>
        <v/>
      </c>
      <c r="S166" s="19" t="str">
        <f t="shared" si="23"/>
        <v/>
      </c>
      <c r="T166" s="33"/>
    </row>
    <row r="167" spans="1:20" ht="21.75" customHeight="1">
      <c r="A167" s="16"/>
      <c r="B167" s="33"/>
      <c r="C167" s="10"/>
      <c r="D167" s="10"/>
      <c r="E167" s="10"/>
      <c r="F167" s="10"/>
      <c r="G167" s="10"/>
      <c r="H167" s="10"/>
      <c r="I167" s="10"/>
      <c r="J167" s="10"/>
      <c r="K167" s="16"/>
      <c r="L167" s="15" t="str">
        <f t="shared" si="16"/>
        <v/>
      </c>
      <c r="M167" s="15" t="str">
        <f t="shared" si="17"/>
        <v/>
      </c>
      <c r="N167" s="15" t="str">
        <f t="shared" si="18"/>
        <v/>
      </c>
      <c r="O167" s="15" t="str">
        <f t="shared" si="19"/>
        <v/>
      </c>
      <c r="P167" s="15" t="str">
        <f t="shared" si="20"/>
        <v/>
      </c>
      <c r="Q167" s="15" t="str">
        <f t="shared" si="21"/>
        <v/>
      </c>
      <c r="R167" s="15" t="str">
        <f t="shared" si="22"/>
        <v/>
      </c>
      <c r="S167" s="19" t="str">
        <f t="shared" si="23"/>
        <v/>
      </c>
      <c r="T167" s="33"/>
    </row>
    <row r="168" spans="1:20" ht="21.75" customHeight="1">
      <c r="A168" s="16"/>
      <c r="B168" s="33"/>
      <c r="C168" s="10"/>
      <c r="D168" s="10"/>
      <c r="E168" s="10"/>
      <c r="F168" s="10"/>
      <c r="G168" s="10"/>
      <c r="H168" s="10"/>
      <c r="I168" s="10"/>
      <c r="J168" s="10"/>
      <c r="K168" s="16"/>
      <c r="L168" s="15" t="str">
        <f t="shared" si="16"/>
        <v/>
      </c>
      <c r="M168" s="15" t="str">
        <f t="shared" si="17"/>
        <v/>
      </c>
      <c r="N168" s="15" t="str">
        <f t="shared" si="18"/>
        <v/>
      </c>
      <c r="O168" s="15" t="str">
        <f t="shared" si="19"/>
        <v/>
      </c>
      <c r="P168" s="15" t="str">
        <f t="shared" si="20"/>
        <v/>
      </c>
      <c r="Q168" s="15" t="str">
        <f t="shared" si="21"/>
        <v/>
      </c>
      <c r="R168" s="15" t="str">
        <f t="shared" si="22"/>
        <v/>
      </c>
      <c r="S168" s="19" t="str">
        <f t="shared" si="23"/>
        <v/>
      </c>
      <c r="T168" s="33"/>
    </row>
    <row r="169" spans="1:20" ht="21.75" customHeight="1">
      <c r="A169" s="16"/>
      <c r="B169" s="33"/>
      <c r="C169" s="10"/>
      <c r="D169" s="10"/>
      <c r="E169" s="10"/>
      <c r="F169" s="10"/>
      <c r="G169" s="10"/>
      <c r="H169" s="10"/>
      <c r="I169" s="10"/>
      <c r="J169" s="10"/>
      <c r="K169" s="16"/>
      <c r="L169" s="15" t="str">
        <f t="shared" si="16"/>
        <v/>
      </c>
      <c r="M169" s="15" t="str">
        <f t="shared" si="17"/>
        <v/>
      </c>
      <c r="N169" s="15" t="str">
        <f t="shared" si="18"/>
        <v/>
      </c>
      <c r="O169" s="15" t="str">
        <f t="shared" si="19"/>
        <v/>
      </c>
      <c r="P169" s="15" t="str">
        <f t="shared" si="20"/>
        <v/>
      </c>
      <c r="Q169" s="15" t="str">
        <f t="shared" si="21"/>
        <v/>
      </c>
      <c r="R169" s="15" t="str">
        <f t="shared" si="22"/>
        <v/>
      </c>
      <c r="S169" s="19" t="str">
        <f t="shared" si="23"/>
        <v/>
      </c>
      <c r="T169" s="33"/>
    </row>
    <row r="170" spans="1:20" ht="21.75" customHeight="1">
      <c r="A170" s="16"/>
      <c r="B170" s="33"/>
      <c r="C170" s="10"/>
      <c r="D170" s="10"/>
      <c r="E170" s="10"/>
      <c r="F170" s="10"/>
      <c r="G170" s="10"/>
      <c r="H170" s="10"/>
      <c r="I170" s="10"/>
      <c r="J170" s="10"/>
      <c r="K170" s="16"/>
      <c r="L170" s="15" t="str">
        <f t="shared" si="16"/>
        <v/>
      </c>
      <c r="M170" s="15" t="str">
        <f t="shared" si="17"/>
        <v/>
      </c>
      <c r="N170" s="15" t="str">
        <f t="shared" si="18"/>
        <v/>
      </c>
      <c r="O170" s="15" t="str">
        <f t="shared" si="19"/>
        <v/>
      </c>
      <c r="P170" s="15" t="str">
        <f t="shared" si="20"/>
        <v/>
      </c>
      <c r="Q170" s="15" t="str">
        <f t="shared" si="21"/>
        <v/>
      </c>
      <c r="R170" s="15" t="str">
        <f t="shared" si="22"/>
        <v/>
      </c>
      <c r="S170" s="19" t="str">
        <f t="shared" si="23"/>
        <v/>
      </c>
      <c r="T170" s="33"/>
    </row>
    <row r="171" spans="1:20" ht="21.75" customHeight="1">
      <c r="A171" s="16"/>
      <c r="B171" s="33"/>
      <c r="C171" s="10"/>
      <c r="D171" s="10"/>
      <c r="E171" s="10"/>
      <c r="F171" s="10"/>
      <c r="G171" s="10"/>
      <c r="H171" s="10"/>
      <c r="I171" s="10"/>
      <c r="J171" s="10"/>
      <c r="K171" s="16"/>
      <c r="L171" s="15" t="str">
        <f t="shared" si="16"/>
        <v/>
      </c>
      <c r="M171" s="15" t="str">
        <f t="shared" si="17"/>
        <v/>
      </c>
      <c r="N171" s="15" t="str">
        <f t="shared" si="18"/>
        <v/>
      </c>
      <c r="O171" s="15" t="str">
        <f t="shared" si="19"/>
        <v/>
      </c>
      <c r="P171" s="15" t="str">
        <f t="shared" si="20"/>
        <v/>
      </c>
      <c r="Q171" s="15" t="str">
        <f t="shared" si="21"/>
        <v/>
      </c>
      <c r="R171" s="15" t="str">
        <f t="shared" si="22"/>
        <v/>
      </c>
      <c r="S171" s="19" t="str">
        <f t="shared" si="23"/>
        <v/>
      </c>
      <c r="T171" s="33"/>
    </row>
    <row r="172" spans="1:20" ht="21.75" customHeight="1">
      <c r="A172" s="16"/>
      <c r="B172" s="33"/>
      <c r="C172" s="10"/>
      <c r="D172" s="10"/>
      <c r="E172" s="10"/>
      <c r="F172" s="10"/>
      <c r="G172" s="10"/>
      <c r="H172" s="10"/>
      <c r="I172" s="10"/>
      <c r="J172" s="10"/>
      <c r="K172" s="16"/>
      <c r="L172" s="15" t="str">
        <f t="shared" si="16"/>
        <v/>
      </c>
      <c r="M172" s="15" t="str">
        <f t="shared" si="17"/>
        <v/>
      </c>
      <c r="N172" s="15" t="str">
        <f t="shared" si="18"/>
        <v/>
      </c>
      <c r="O172" s="15" t="str">
        <f t="shared" si="19"/>
        <v/>
      </c>
      <c r="P172" s="15" t="str">
        <f t="shared" si="20"/>
        <v/>
      </c>
      <c r="Q172" s="15" t="str">
        <f t="shared" si="21"/>
        <v/>
      </c>
      <c r="R172" s="15" t="str">
        <f t="shared" si="22"/>
        <v/>
      </c>
      <c r="S172" s="19" t="str">
        <f t="shared" si="23"/>
        <v/>
      </c>
      <c r="T172" s="33"/>
    </row>
    <row r="173" spans="1:20" ht="21.75" customHeight="1">
      <c r="A173" s="16"/>
      <c r="B173" s="33"/>
      <c r="C173" s="10"/>
      <c r="D173" s="10"/>
      <c r="E173" s="10"/>
      <c r="F173" s="10"/>
      <c r="G173" s="10"/>
      <c r="H173" s="10"/>
      <c r="I173" s="10"/>
      <c r="J173" s="10"/>
      <c r="K173" s="16"/>
      <c r="L173" s="15" t="str">
        <f t="shared" si="16"/>
        <v/>
      </c>
      <c r="M173" s="15" t="str">
        <f t="shared" si="17"/>
        <v/>
      </c>
      <c r="N173" s="15" t="str">
        <f t="shared" si="18"/>
        <v/>
      </c>
      <c r="O173" s="15" t="str">
        <f t="shared" si="19"/>
        <v/>
      </c>
      <c r="P173" s="15" t="str">
        <f t="shared" si="20"/>
        <v/>
      </c>
      <c r="Q173" s="15" t="str">
        <f t="shared" si="21"/>
        <v/>
      </c>
      <c r="R173" s="15" t="str">
        <f t="shared" si="22"/>
        <v/>
      </c>
      <c r="S173" s="19" t="str">
        <f t="shared" si="23"/>
        <v/>
      </c>
      <c r="T173" s="33"/>
    </row>
    <row r="174" spans="1:20" ht="21.75" customHeight="1">
      <c r="A174" s="16"/>
      <c r="B174" s="33"/>
      <c r="C174" s="10"/>
      <c r="D174" s="10"/>
      <c r="E174" s="10"/>
      <c r="F174" s="10"/>
      <c r="G174" s="10"/>
      <c r="H174" s="10"/>
      <c r="I174" s="10"/>
      <c r="J174" s="10"/>
      <c r="K174" s="16"/>
      <c r="L174" s="15" t="str">
        <f t="shared" si="16"/>
        <v/>
      </c>
      <c r="M174" s="15" t="str">
        <f t="shared" si="17"/>
        <v/>
      </c>
      <c r="N174" s="15" t="str">
        <f t="shared" si="18"/>
        <v/>
      </c>
      <c r="O174" s="15" t="str">
        <f t="shared" si="19"/>
        <v/>
      </c>
      <c r="P174" s="15" t="str">
        <f t="shared" si="20"/>
        <v/>
      </c>
      <c r="Q174" s="15" t="str">
        <f t="shared" si="21"/>
        <v/>
      </c>
      <c r="R174" s="15" t="str">
        <f t="shared" si="22"/>
        <v/>
      </c>
      <c r="S174" s="19" t="str">
        <f t="shared" si="23"/>
        <v/>
      </c>
      <c r="T174" s="33"/>
    </row>
    <row r="175" spans="1:20" ht="21.75" customHeight="1">
      <c r="A175" s="16"/>
      <c r="B175" s="33"/>
      <c r="C175" s="10"/>
      <c r="D175" s="10"/>
      <c r="E175" s="10"/>
      <c r="F175" s="10"/>
      <c r="G175" s="10"/>
      <c r="H175" s="10"/>
      <c r="I175" s="10"/>
      <c r="J175" s="10"/>
      <c r="K175" s="16"/>
      <c r="L175" s="15" t="str">
        <f t="shared" si="16"/>
        <v/>
      </c>
      <c r="M175" s="15" t="str">
        <f t="shared" si="17"/>
        <v/>
      </c>
      <c r="N175" s="15" t="str">
        <f t="shared" si="18"/>
        <v/>
      </c>
      <c r="O175" s="15" t="str">
        <f t="shared" si="19"/>
        <v/>
      </c>
      <c r="P175" s="15" t="str">
        <f t="shared" si="20"/>
        <v/>
      </c>
      <c r="Q175" s="15" t="str">
        <f t="shared" si="21"/>
        <v/>
      </c>
      <c r="R175" s="15" t="str">
        <f t="shared" si="22"/>
        <v/>
      </c>
      <c r="S175" s="19" t="str">
        <f t="shared" si="23"/>
        <v/>
      </c>
      <c r="T175" s="33"/>
    </row>
    <row r="176" spans="1:20" ht="21.75" customHeight="1">
      <c r="A176" s="16"/>
      <c r="B176" s="33"/>
      <c r="C176" s="10"/>
      <c r="D176" s="10"/>
      <c r="E176" s="10"/>
      <c r="F176" s="10"/>
      <c r="G176" s="10"/>
      <c r="H176" s="10"/>
      <c r="I176" s="10"/>
      <c r="J176" s="10"/>
      <c r="K176" s="16"/>
      <c r="L176" s="15" t="str">
        <f t="shared" si="16"/>
        <v/>
      </c>
      <c r="M176" s="15" t="str">
        <f t="shared" si="17"/>
        <v/>
      </c>
      <c r="N176" s="15" t="str">
        <f t="shared" si="18"/>
        <v/>
      </c>
      <c r="O176" s="15" t="str">
        <f t="shared" si="19"/>
        <v/>
      </c>
      <c r="P176" s="15" t="str">
        <f t="shared" si="20"/>
        <v/>
      </c>
      <c r="Q176" s="15" t="str">
        <f t="shared" si="21"/>
        <v/>
      </c>
      <c r="R176" s="15" t="str">
        <f t="shared" si="22"/>
        <v/>
      </c>
      <c r="S176" s="19" t="str">
        <f t="shared" si="23"/>
        <v/>
      </c>
      <c r="T176" s="33"/>
    </row>
    <row r="177" spans="1:20" ht="21.75" customHeight="1">
      <c r="A177" s="16"/>
      <c r="B177" s="33"/>
      <c r="C177" s="10"/>
      <c r="D177" s="10"/>
      <c r="E177" s="10"/>
      <c r="F177" s="10"/>
      <c r="G177" s="10"/>
      <c r="H177" s="10"/>
      <c r="I177" s="10"/>
      <c r="J177" s="10"/>
      <c r="K177" s="16"/>
      <c r="L177" s="15" t="str">
        <f t="shared" si="16"/>
        <v/>
      </c>
      <c r="M177" s="15" t="str">
        <f t="shared" si="17"/>
        <v/>
      </c>
      <c r="N177" s="15" t="str">
        <f t="shared" si="18"/>
        <v/>
      </c>
      <c r="O177" s="15" t="str">
        <f t="shared" si="19"/>
        <v/>
      </c>
      <c r="P177" s="15" t="str">
        <f t="shared" si="20"/>
        <v/>
      </c>
      <c r="Q177" s="15" t="str">
        <f t="shared" si="21"/>
        <v/>
      </c>
      <c r="R177" s="15" t="str">
        <f t="shared" si="22"/>
        <v/>
      </c>
      <c r="S177" s="19" t="str">
        <f t="shared" si="23"/>
        <v/>
      </c>
      <c r="T177" s="33"/>
    </row>
    <row r="178" spans="1:20" ht="21.75" customHeight="1">
      <c r="A178" s="16"/>
      <c r="B178" s="33"/>
      <c r="C178" s="10"/>
      <c r="D178" s="10"/>
      <c r="E178" s="10"/>
      <c r="F178" s="10"/>
      <c r="G178" s="10"/>
      <c r="H178" s="10"/>
      <c r="I178" s="10"/>
      <c r="J178" s="10"/>
      <c r="K178" s="16"/>
      <c r="L178" s="15" t="str">
        <f t="shared" si="16"/>
        <v/>
      </c>
      <c r="M178" s="15" t="str">
        <f t="shared" si="17"/>
        <v/>
      </c>
      <c r="N178" s="15" t="str">
        <f t="shared" si="18"/>
        <v/>
      </c>
      <c r="O178" s="15" t="str">
        <f t="shared" si="19"/>
        <v/>
      </c>
      <c r="P178" s="15" t="str">
        <f t="shared" si="20"/>
        <v/>
      </c>
      <c r="Q178" s="15" t="str">
        <f t="shared" si="21"/>
        <v/>
      </c>
      <c r="R178" s="15" t="str">
        <f t="shared" si="22"/>
        <v/>
      </c>
      <c r="S178" s="19" t="str">
        <f t="shared" si="23"/>
        <v/>
      </c>
      <c r="T178" s="33"/>
    </row>
    <row r="179" spans="1:20" ht="21.75" customHeight="1">
      <c r="A179" s="16"/>
      <c r="B179" s="33"/>
      <c r="C179" s="10"/>
      <c r="D179" s="10"/>
      <c r="E179" s="10"/>
      <c r="F179" s="10"/>
      <c r="G179" s="10"/>
      <c r="H179" s="10"/>
      <c r="I179" s="10"/>
      <c r="J179" s="10"/>
      <c r="K179" s="16"/>
      <c r="L179" s="15" t="str">
        <f t="shared" si="16"/>
        <v/>
      </c>
      <c r="M179" s="15" t="str">
        <f t="shared" si="17"/>
        <v/>
      </c>
      <c r="N179" s="15" t="str">
        <f t="shared" si="18"/>
        <v/>
      </c>
      <c r="O179" s="15" t="str">
        <f t="shared" si="19"/>
        <v/>
      </c>
      <c r="P179" s="15" t="str">
        <f t="shared" si="20"/>
        <v/>
      </c>
      <c r="Q179" s="15" t="str">
        <f t="shared" si="21"/>
        <v/>
      </c>
      <c r="R179" s="15" t="str">
        <f t="shared" si="22"/>
        <v/>
      </c>
      <c r="S179" s="19" t="str">
        <f t="shared" si="23"/>
        <v/>
      </c>
      <c r="T179" s="33"/>
    </row>
    <row r="180" spans="1:20" ht="21.75" customHeight="1">
      <c r="A180" s="16"/>
      <c r="B180" s="33"/>
      <c r="C180" s="10"/>
      <c r="D180" s="10"/>
      <c r="E180" s="10"/>
      <c r="F180" s="10"/>
      <c r="G180" s="10"/>
      <c r="H180" s="10"/>
      <c r="I180" s="10"/>
      <c r="J180" s="10"/>
      <c r="K180" s="16"/>
      <c r="L180" s="15" t="str">
        <f t="shared" si="16"/>
        <v/>
      </c>
      <c r="M180" s="15" t="str">
        <f t="shared" si="17"/>
        <v/>
      </c>
      <c r="N180" s="15" t="str">
        <f t="shared" si="18"/>
        <v/>
      </c>
      <c r="O180" s="15" t="str">
        <f t="shared" si="19"/>
        <v/>
      </c>
      <c r="P180" s="15" t="str">
        <f t="shared" si="20"/>
        <v/>
      </c>
      <c r="Q180" s="15" t="str">
        <f t="shared" si="21"/>
        <v/>
      </c>
      <c r="R180" s="15" t="str">
        <f t="shared" si="22"/>
        <v/>
      </c>
      <c r="S180" s="19" t="str">
        <f t="shared" si="23"/>
        <v/>
      </c>
      <c r="T180" s="33"/>
    </row>
    <row r="181" spans="1:20" ht="21.75" customHeight="1">
      <c r="A181" s="16"/>
      <c r="B181" s="33"/>
      <c r="C181" s="10"/>
      <c r="D181" s="10"/>
      <c r="E181" s="10"/>
      <c r="F181" s="10"/>
      <c r="G181" s="10"/>
      <c r="H181" s="10"/>
      <c r="I181" s="10"/>
      <c r="J181" s="10"/>
      <c r="K181" s="16"/>
      <c r="L181" s="15" t="str">
        <f t="shared" si="16"/>
        <v/>
      </c>
      <c r="M181" s="15" t="str">
        <f t="shared" si="17"/>
        <v/>
      </c>
      <c r="N181" s="15" t="str">
        <f t="shared" si="18"/>
        <v/>
      </c>
      <c r="O181" s="15" t="str">
        <f t="shared" si="19"/>
        <v/>
      </c>
      <c r="P181" s="15" t="str">
        <f t="shared" si="20"/>
        <v/>
      </c>
      <c r="Q181" s="15" t="str">
        <f t="shared" si="21"/>
        <v/>
      </c>
      <c r="R181" s="15" t="str">
        <f t="shared" si="22"/>
        <v/>
      </c>
      <c r="S181" s="19" t="str">
        <f t="shared" si="23"/>
        <v/>
      </c>
      <c r="T181" s="33"/>
    </row>
    <row r="182" spans="1:20" ht="21.75" customHeight="1">
      <c r="A182" s="16"/>
      <c r="B182" s="33"/>
      <c r="C182" s="10"/>
      <c r="D182" s="10"/>
      <c r="E182" s="10"/>
      <c r="F182" s="10"/>
      <c r="G182" s="10"/>
      <c r="H182" s="10"/>
      <c r="I182" s="10"/>
      <c r="J182" s="10"/>
      <c r="K182" s="16"/>
      <c r="L182" s="15" t="str">
        <f t="shared" si="16"/>
        <v/>
      </c>
      <c r="M182" s="15" t="str">
        <f t="shared" si="17"/>
        <v/>
      </c>
      <c r="N182" s="15" t="str">
        <f t="shared" si="18"/>
        <v/>
      </c>
      <c r="O182" s="15" t="str">
        <f t="shared" si="19"/>
        <v/>
      </c>
      <c r="P182" s="15" t="str">
        <f t="shared" si="20"/>
        <v/>
      </c>
      <c r="Q182" s="15" t="str">
        <f t="shared" si="21"/>
        <v/>
      </c>
      <c r="R182" s="15" t="str">
        <f t="shared" si="22"/>
        <v/>
      </c>
      <c r="S182" s="19" t="str">
        <f t="shared" si="23"/>
        <v/>
      </c>
      <c r="T182" s="33"/>
    </row>
    <row r="183" spans="1:20" ht="21.75" customHeight="1">
      <c r="A183" s="16"/>
      <c r="B183" s="33"/>
      <c r="C183" s="10"/>
      <c r="D183" s="10"/>
      <c r="E183" s="10"/>
      <c r="F183" s="10"/>
      <c r="G183" s="10"/>
      <c r="H183" s="10"/>
      <c r="I183" s="10"/>
      <c r="J183" s="10"/>
      <c r="K183" s="16"/>
      <c r="L183" s="15" t="str">
        <f t="shared" si="16"/>
        <v/>
      </c>
      <c r="M183" s="15" t="str">
        <f t="shared" si="17"/>
        <v/>
      </c>
      <c r="N183" s="15" t="str">
        <f t="shared" si="18"/>
        <v/>
      </c>
      <c r="O183" s="15" t="str">
        <f t="shared" si="19"/>
        <v/>
      </c>
      <c r="P183" s="15" t="str">
        <f t="shared" si="20"/>
        <v/>
      </c>
      <c r="Q183" s="15" t="str">
        <f t="shared" si="21"/>
        <v/>
      </c>
      <c r="R183" s="15" t="str">
        <f t="shared" si="22"/>
        <v/>
      </c>
      <c r="S183" s="19" t="str">
        <f t="shared" si="23"/>
        <v/>
      </c>
      <c r="T183" s="33"/>
    </row>
    <row r="184" spans="1:20" ht="21.75" customHeight="1">
      <c r="A184" s="16"/>
      <c r="B184" s="33"/>
      <c r="C184" s="10"/>
      <c r="D184" s="10"/>
      <c r="E184" s="10"/>
      <c r="F184" s="10"/>
      <c r="G184" s="10"/>
      <c r="H184" s="10"/>
      <c r="I184" s="10"/>
      <c r="J184" s="10"/>
      <c r="K184" s="16"/>
      <c r="L184" s="15" t="str">
        <f t="shared" si="16"/>
        <v/>
      </c>
      <c r="M184" s="15" t="str">
        <f t="shared" si="17"/>
        <v/>
      </c>
      <c r="N184" s="15" t="str">
        <f t="shared" si="18"/>
        <v/>
      </c>
      <c r="O184" s="15" t="str">
        <f t="shared" si="19"/>
        <v/>
      </c>
      <c r="P184" s="15" t="str">
        <f t="shared" si="20"/>
        <v/>
      </c>
      <c r="Q184" s="15" t="str">
        <f t="shared" si="21"/>
        <v/>
      </c>
      <c r="R184" s="15" t="str">
        <f t="shared" si="22"/>
        <v/>
      </c>
      <c r="S184" s="19" t="str">
        <f t="shared" si="23"/>
        <v/>
      </c>
      <c r="T184" s="33"/>
    </row>
    <row r="185" spans="1:20" ht="21.75" customHeight="1">
      <c r="A185" s="16"/>
      <c r="B185" s="33"/>
      <c r="C185" s="10"/>
      <c r="D185" s="10"/>
      <c r="E185" s="10"/>
      <c r="F185" s="10"/>
      <c r="G185" s="10"/>
      <c r="H185" s="10"/>
      <c r="I185" s="10"/>
      <c r="J185" s="10"/>
      <c r="K185" s="16"/>
      <c r="L185" s="15" t="str">
        <f t="shared" si="16"/>
        <v/>
      </c>
      <c r="M185" s="15" t="str">
        <f t="shared" si="17"/>
        <v/>
      </c>
      <c r="N185" s="15" t="str">
        <f t="shared" si="18"/>
        <v/>
      </c>
      <c r="O185" s="15" t="str">
        <f t="shared" si="19"/>
        <v/>
      </c>
      <c r="P185" s="15" t="str">
        <f t="shared" si="20"/>
        <v/>
      </c>
      <c r="Q185" s="15" t="str">
        <f t="shared" si="21"/>
        <v/>
      </c>
      <c r="R185" s="15" t="str">
        <f t="shared" si="22"/>
        <v/>
      </c>
      <c r="S185" s="19" t="str">
        <f t="shared" si="23"/>
        <v/>
      </c>
      <c r="T185" s="33"/>
    </row>
    <row r="186" spans="1:20" ht="21.75" customHeight="1">
      <c r="A186" s="16"/>
      <c r="B186" s="33"/>
      <c r="C186" s="10"/>
      <c r="D186" s="10"/>
      <c r="E186" s="10"/>
      <c r="F186" s="10"/>
      <c r="G186" s="10"/>
      <c r="H186" s="10"/>
      <c r="I186" s="10"/>
      <c r="J186" s="10"/>
      <c r="K186" s="16"/>
      <c r="L186" s="15" t="str">
        <f t="shared" si="16"/>
        <v/>
      </c>
      <c r="M186" s="15" t="str">
        <f t="shared" si="17"/>
        <v/>
      </c>
      <c r="N186" s="15" t="str">
        <f t="shared" si="18"/>
        <v/>
      </c>
      <c r="O186" s="15" t="str">
        <f t="shared" si="19"/>
        <v/>
      </c>
      <c r="P186" s="15" t="str">
        <f t="shared" si="20"/>
        <v/>
      </c>
      <c r="Q186" s="15" t="str">
        <f t="shared" si="21"/>
        <v/>
      </c>
      <c r="R186" s="15" t="str">
        <f t="shared" si="22"/>
        <v/>
      </c>
      <c r="S186" s="19" t="str">
        <f t="shared" si="23"/>
        <v/>
      </c>
      <c r="T186" s="33"/>
    </row>
    <row r="187" spans="1:20" ht="21.75" customHeight="1">
      <c r="A187" s="16"/>
      <c r="B187" s="33"/>
      <c r="C187" s="10"/>
      <c r="D187" s="10"/>
      <c r="E187" s="10"/>
      <c r="F187" s="10"/>
      <c r="G187" s="10"/>
      <c r="H187" s="10"/>
      <c r="I187" s="10"/>
      <c r="J187" s="10"/>
      <c r="K187" s="16"/>
      <c r="L187" s="15" t="str">
        <f t="shared" si="16"/>
        <v/>
      </c>
      <c r="M187" s="15" t="str">
        <f t="shared" si="17"/>
        <v/>
      </c>
      <c r="N187" s="15" t="str">
        <f t="shared" si="18"/>
        <v/>
      </c>
      <c r="O187" s="15" t="str">
        <f t="shared" si="19"/>
        <v/>
      </c>
      <c r="P187" s="15" t="str">
        <f t="shared" si="20"/>
        <v/>
      </c>
      <c r="Q187" s="15" t="str">
        <f t="shared" si="21"/>
        <v/>
      </c>
      <c r="R187" s="15" t="str">
        <f t="shared" si="22"/>
        <v/>
      </c>
      <c r="S187" s="19" t="str">
        <f t="shared" si="23"/>
        <v/>
      </c>
      <c r="T187" s="33"/>
    </row>
    <row r="188" spans="1:20" ht="21.75" customHeight="1">
      <c r="A188" s="16"/>
      <c r="B188" s="33"/>
      <c r="C188" s="10"/>
      <c r="D188" s="10"/>
      <c r="E188" s="10"/>
      <c r="F188" s="10"/>
      <c r="G188" s="10"/>
      <c r="H188" s="10"/>
      <c r="I188" s="10"/>
      <c r="J188" s="10"/>
      <c r="K188" s="16"/>
      <c r="L188" s="15" t="str">
        <f t="shared" si="16"/>
        <v/>
      </c>
      <c r="M188" s="15" t="str">
        <f t="shared" si="17"/>
        <v/>
      </c>
      <c r="N188" s="15" t="str">
        <f t="shared" si="18"/>
        <v/>
      </c>
      <c r="O188" s="15" t="str">
        <f t="shared" si="19"/>
        <v/>
      </c>
      <c r="P188" s="15" t="str">
        <f t="shared" si="20"/>
        <v/>
      </c>
      <c r="Q188" s="15" t="str">
        <f t="shared" si="21"/>
        <v/>
      </c>
      <c r="R188" s="15" t="str">
        <f t="shared" si="22"/>
        <v/>
      </c>
      <c r="S188" s="19" t="str">
        <f t="shared" si="23"/>
        <v/>
      </c>
      <c r="T188" s="33"/>
    </row>
    <row r="189" spans="1:20" ht="21.75" customHeight="1">
      <c r="A189" s="16"/>
      <c r="B189" s="33"/>
      <c r="C189" s="10"/>
      <c r="D189" s="10"/>
      <c r="E189" s="10"/>
      <c r="F189" s="10"/>
      <c r="G189" s="10"/>
      <c r="H189" s="10"/>
      <c r="I189" s="10"/>
      <c r="J189" s="10"/>
      <c r="K189" s="16"/>
      <c r="L189" s="15" t="str">
        <f t="shared" si="16"/>
        <v/>
      </c>
      <c r="M189" s="15" t="str">
        <f t="shared" si="17"/>
        <v/>
      </c>
      <c r="N189" s="15" t="str">
        <f t="shared" si="18"/>
        <v/>
      </c>
      <c r="O189" s="15" t="str">
        <f t="shared" si="19"/>
        <v/>
      </c>
      <c r="P189" s="15" t="str">
        <f t="shared" si="20"/>
        <v/>
      </c>
      <c r="Q189" s="15" t="str">
        <f t="shared" si="21"/>
        <v/>
      </c>
      <c r="R189" s="15" t="str">
        <f t="shared" si="22"/>
        <v/>
      </c>
      <c r="S189" s="19" t="str">
        <f t="shared" si="23"/>
        <v/>
      </c>
      <c r="T189" s="33"/>
    </row>
    <row r="190" spans="1:20" ht="21.75" customHeight="1">
      <c r="A190" s="16"/>
      <c r="B190" s="33"/>
      <c r="C190" s="10"/>
      <c r="D190" s="10"/>
      <c r="E190" s="10"/>
      <c r="F190" s="10"/>
      <c r="G190" s="10"/>
      <c r="H190" s="10"/>
      <c r="I190" s="10"/>
      <c r="J190" s="10"/>
      <c r="K190" s="16"/>
      <c r="L190" s="15" t="str">
        <f t="shared" si="16"/>
        <v/>
      </c>
      <c r="M190" s="15" t="str">
        <f t="shared" si="17"/>
        <v/>
      </c>
      <c r="N190" s="15" t="str">
        <f t="shared" si="18"/>
        <v/>
      </c>
      <c r="O190" s="15" t="str">
        <f t="shared" si="19"/>
        <v/>
      </c>
      <c r="P190" s="15" t="str">
        <f t="shared" si="20"/>
        <v/>
      </c>
      <c r="Q190" s="15" t="str">
        <f t="shared" si="21"/>
        <v/>
      </c>
      <c r="R190" s="15" t="str">
        <f t="shared" si="22"/>
        <v/>
      </c>
      <c r="S190" s="19" t="str">
        <f t="shared" si="23"/>
        <v/>
      </c>
      <c r="T190" s="33"/>
    </row>
    <row r="191" spans="1:20" ht="21.75" customHeight="1">
      <c r="A191" s="16"/>
      <c r="B191" s="33"/>
      <c r="C191" s="10"/>
      <c r="D191" s="10"/>
      <c r="E191" s="10"/>
      <c r="F191" s="10"/>
      <c r="G191" s="10"/>
      <c r="H191" s="10"/>
      <c r="I191" s="10"/>
      <c r="J191" s="10"/>
      <c r="K191" s="16"/>
      <c r="L191" s="15" t="str">
        <f t="shared" si="16"/>
        <v/>
      </c>
      <c r="M191" s="15" t="str">
        <f t="shared" si="17"/>
        <v/>
      </c>
      <c r="N191" s="15" t="str">
        <f t="shared" si="18"/>
        <v/>
      </c>
      <c r="O191" s="15" t="str">
        <f t="shared" si="19"/>
        <v/>
      </c>
      <c r="P191" s="15" t="str">
        <f t="shared" si="20"/>
        <v/>
      </c>
      <c r="Q191" s="15" t="str">
        <f t="shared" si="21"/>
        <v/>
      </c>
      <c r="R191" s="15" t="str">
        <f t="shared" si="22"/>
        <v/>
      </c>
      <c r="S191" s="19" t="str">
        <f t="shared" si="23"/>
        <v/>
      </c>
      <c r="T191" s="33"/>
    </row>
    <row r="192" spans="1:20" ht="21.75" customHeight="1">
      <c r="A192" s="16"/>
      <c r="B192" s="33"/>
      <c r="C192" s="10"/>
      <c r="D192" s="10"/>
      <c r="E192" s="10"/>
      <c r="F192" s="10"/>
      <c r="G192" s="10"/>
      <c r="H192" s="10"/>
      <c r="I192" s="10"/>
      <c r="J192" s="10"/>
      <c r="K192" s="16"/>
      <c r="L192" s="15" t="str">
        <f t="shared" si="16"/>
        <v/>
      </c>
      <c r="M192" s="15" t="str">
        <f t="shared" si="17"/>
        <v/>
      </c>
      <c r="N192" s="15" t="str">
        <f t="shared" si="18"/>
        <v/>
      </c>
      <c r="O192" s="15" t="str">
        <f t="shared" si="19"/>
        <v/>
      </c>
      <c r="P192" s="15" t="str">
        <f t="shared" si="20"/>
        <v/>
      </c>
      <c r="Q192" s="15" t="str">
        <f t="shared" si="21"/>
        <v/>
      </c>
      <c r="R192" s="15" t="str">
        <f t="shared" si="22"/>
        <v/>
      </c>
      <c r="S192" s="19" t="str">
        <f t="shared" si="23"/>
        <v/>
      </c>
      <c r="T192" s="33"/>
    </row>
    <row r="193" spans="1:20" ht="21.75" customHeight="1">
      <c r="A193" s="16"/>
      <c r="B193" s="33"/>
      <c r="C193" s="10"/>
      <c r="D193" s="10"/>
      <c r="E193" s="10"/>
      <c r="F193" s="10"/>
      <c r="G193" s="10"/>
      <c r="H193" s="10"/>
      <c r="I193" s="10"/>
      <c r="J193" s="10"/>
      <c r="K193" s="16"/>
      <c r="L193" s="15" t="str">
        <f t="shared" si="16"/>
        <v/>
      </c>
      <c r="M193" s="15" t="str">
        <f t="shared" si="17"/>
        <v/>
      </c>
      <c r="N193" s="15" t="str">
        <f t="shared" si="18"/>
        <v/>
      </c>
      <c r="O193" s="15" t="str">
        <f t="shared" si="19"/>
        <v/>
      </c>
      <c r="P193" s="15" t="str">
        <f t="shared" si="20"/>
        <v/>
      </c>
      <c r="Q193" s="15" t="str">
        <f t="shared" si="21"/>
        <v/>
      </c>
      <c r="R193" s="15" t="str">
        <f t="shared" si="22"/>
        <v/>
      </c>
      <c r="S193" s="19" t="str">
        <f t="shared" si="23"/>
        <v/>
      </c>
      <c r="T193" s="33"/>
    </row>
    <row r="194" spans="1:20" ht="21.75" customHeight="1">
      <c r="A194" s="16"/>
      <c r="B194" s="33"/>
      <c r="C194" s="10"/>
      <c r="D194" s="10"/>
      <c r="E194" s="10"/>
      <c r="F194" s="10"/>
      <c r="G194" s="10"/>
      <c r="H194" s="10"/>
      <c r="I194" s="10"/>
      <c r="J194" s="10"/>
      <c r="K194" s="16"/>
      <c r="L194" s="15" t="str">
        <f t="shared" si="16"/>
        <v/>
      </c>
      <c r="M194" s="15" t="str">
        <f t="shared" si="17"/>
        <v/>
      </c>
      <c r="N194" s="15" t="str">
        <f t="shared" si="18"/>
        <v/>
      </c>
      <c r="O194" s="15" t="str">
        <f t="shared" si="19"/>
        <v/>
      </c>
      <c r="P194" s="15" t="str">
        <f t="shared" si="20"/>
        <v/>
      </c>
      <c r="Q194" s="15" t="str">
        <f t="shared" si="21"/>
        <v/>
      </c>
      <c r="R194" s="15" t="str">
        <f t="shared" si="22"/>
        <v/>
      </c>
      <c r="S194" s="19" t="str">
        <f t="shared" si="23"/>
        <v/>
      </c>
      <c r="T194" s="33"/>
    </row>
    <row r="195" spans="1:20" ht="21.75" customHeight="1">
      <c r="A195" s="16"/>
      <c r="B195" s="33"/>
      <c r="C195" s="10"/>
      <c r="D195" s="10"/>
      <c r="E195" s="10"/>
      <c r="F195" s="10"/>
      <c r="G195" s="10"/>
      <c r="H195" s="10"/>
      <c r="I195" s="10"/>
      <c r="J195" s="10"/>
      <c r="K195" s="16"/>
      <c r="L195" s="15" t="str">
        <f t="shared" si="16"/>
        <v/>
      </c>
      <c r="M195" s="15" t="str">
        <f t="shared" si="17"/>
        <v/>
      </c>
      <c r="N195" s="15" t="str">
        <f t="shared" si="18"/>
        <v/>
      </c>
      <c r="O195" s="15" t="str">
        <f t="shared" si="19"/>
        <v/>
      </c>
      <c r="P195" s="15" t="str">
        <f t="shared" si="20"/>
        <v/>
      </c>
      <c r="Q195" s="15" t="str">
        <f t="shared" si="21"/>
        <v/>
      </c>
      <c r="R195" s="15" t="str">
        <f t="shared" si="22"/>
        <v/>
      </c>
      <c r="S195" s="19" t="str">
        <f t="shared" si="23"/>
        <v/>
      </c>
      <c r="T195" s="33"/>
    </row>
    <row r="196" spans="1:20" ht="21.75" customHeight="1">
      <c r="A196" s="16"/>
      <c r="B196" s="33"/>
      <c r="C196" s="10"/>
      <c r="D196" s="10"/>
      <c r="E196" s="10"/>
      <c r="F196" s="10"/>
      <c r="G196" s="10"/>
      <c r="H196" s="10"/>
      <c r="I196" s="10"/>
      <c r="J196" s="10"/>
      <c r="K196" s="16"/>
      <c r="L196" s="15" t="str">
        <f t="shared" si="16"/>
        <v/>
      </c>
      <c r="M196" s="15" t="str">
        <f t="shared" si="17"/>
        <v/>
      </c>
      <c r="N196" s="15" t="str">
        <f t="shared" si="18"/>
        <v/>
      </c>
      <c r="O196" s="15" t="str">
        <f t="shared" si="19"/>
        <v/>
      </c>
      <c r="P196" s="15" t="str">
        <f t="shared" si="20"/>
        <v/>
      </c>
      <c r="Q196" s="15" t="str">
        <f t="shared" si="21"/>
        <v/>
      </c>
      <c r="R196" s="15" t="str">
        <f t="shared" si="22"/>
        <v/>
      </c>
      <c r="S196" s="19" t="str">
        <f t="shared" si="23"/>
        <v/>
      </c>
      <c r="T196" s="33"/>
    </row>
    <row r="197" spans="1:20" ht="21.75" customHeight="1">
      <c r="A197" s="16"/>
      <c r="B197" s="33"/>
      <c r="C197" s="10"/>
      <c r="D197" s="10"/>
      <c r="E197" s="10"/>
      <c r="F197" s="10"/>
      <c r="G197" s="10"/>
      <c r="H197" s="10"/>
      <c r="I197" s="10"/>
      <c r="J197" s="10"/>
      <c r="K197" s="16"/>
      <c r="L197" s="15" t="str">
        <f t="shared" si="16"/>
        <v/>
      </c>
      <c r="M197" s="15" t="str">
        <f t="shared" si="17"/>
        <v/>
      </c>
      <c r="N197" s="15" t="str">
        <f t="shared" si="18"/>
        <v/>
      </c>
      <c r="O197" s="15" t="str">
        <f t="shared" si="19"/>
        <v/>
      </c>
      <c r="P197" s="15" t="str">
        <f t="shared" si="20"/>
        <v/>
      </c>
      <c r="Q197" s="15" t="str">
        <f t="shared" si="21"/>
        <v/>
      </c>
      <c r="R197" s="15" t="str">
        <f t="shared" si="22"/>
        <v/>
      </c>
      <c r="S197" s="19" t="str">
        <f t="shared" si="23"/>
        <v/>
      </c>
      <c r="T197" s="33"/>
    </row>
    <row r="198" spans="1:20" ht="21.75" customHeight="1">
      <c r="A198" s="16"/>
      <c r="B198" s="33"/>
      <c r="C198" s="10"/>
      <c r="D198" s="10"/>
      <c r="E198" s="10"/>
      <c r="F198" s="10"/>
      <c r="G198" s="10"/>
      <c r="H198" s="10"/>
      <c r="I198" s="10"/>
      <c r="J198" s="10"/>
      <c r="K198" s="16"/>
      <c r="L198" s="15" t="str">
        <f t="shared" ref="L198:L245" si="24">IF(OR(C198="",D198="",D198&lt;=0),"",C198/D198)</f>
        <v/>
      </c>
      <c r="M198" s="15" t="str">
        <f t="shared" ref="M198:M245" si="25">IF(OR(F198="",G198=""),"",F198-G198)</f>
        <v/>
      </c>
      <c r="N198" s="15" t="str">
        <f t="shared" ref="N198:N245" si="26">IF(OR(D198="",F198=""),"",D198-F198)</f>
        <v/>
      </c>
      <c r="O198" s="15" t="str">
        <f t="shared" ref="O198:O245" si="27">IF(OR(G198="",H198=""),"",G198-H198-I198)</f>
        <v/>
      </c>
      <c r="P198" s="15" t="str">
        <f t="shared" ref="P198:P245" si="28">IF(OR(H198="",J198="",J198&lt;=0),"",H198/J198)</f>
        <v/>
      </c>
      <c r="Q198" s="15" t="str">
        <f t="shared" ref="Q198:Q245" si="29">IF(S198&lt;&gt;"已完整划转","",C198+E198)</f>
        <v/>
      </c>
      <c r="R198" s="15" t="str">
        <f t="shared" ref="R198:R261" si="30">IF(Q198="","",Q198/J198)</f>
        <v/>
      </c>
      <c r="S198" s="19" t="str">
        <f t="shared" ref="S198:S245" si="31">IF(COUNTA(A198:K198)=0,"",IF(OR(A198="",C198="",D198="",F198="",G198="",H198="",J198="",K198=""),"待补分段记录",IF(OR(C198&lt;=0,D198&lt;=0,J198&lt;=0,E198&lt;0,I198&lt;0,M198&lt; -0.01,N198&lt; -0.01,O198&lt; -0.01),"金额关系待检查",IF(OR(ABS(N198)&gt;0.01,ABS(O198)&gt;0.01),"尚有港元余额","已完整划转"))))</f>
        <v/>
      </c>
      <c r="T198" s="33"/>
    </row>
    <row r="199" spans="1:20" ht="21.75" customHeight="1">
      <c r="A199" s="16"/>
      <c r="B199" s="33"/>
      <c r="C199" s="10"/>
      <c r="D199" s="10"/>
      <c r="E199" s="10"/>
      <c r="F199" s="10"/>
      <c r="G199" s="10"/>
      <c r="H199" s="10"/>
      <c r="I199" s="10"/>
      <c r="J199" s="10"/>
      <c r="K199" s="16"/>
      <c r="L199" s="15" t="str">
        <f t="shared" si="24"/>
        <v/>
      </c>
      <c r="M199" s="15" t="str">
        <f t="shared" si="25"/>
        <v/>
      </c>
      <c r="N199" s="15" t="str">
        <f t="shared" si="26"/>
        <v/>
      </c>
      <c r="O199" s="15" t="str">
        <f t="shared" si="27"/>
        <v/>
      </c>
      <c r="P199" s="15" t="str">
        <f t="shared" si="28"/>
        <v/>
      </c>
      <c r="Q199" s="15" t="str">
        <f t="shared" si="29"/>
        <v/>
      </c>
      <c r="R199" s="15" t="str">
        <f t="shared" si="30"/>
        <v/>
      </c>
      <c r="S199" s="19" t="str">
        <f t="shared" si="31"/>
        <v/>
      </c>
      <c r="T199" s="33"/>
    </row>
    <row r="200" spans="1:20" ht="21.75" customHeight="1">
      <c r="A200" s="16"/>
      <c r="B200" s="33"/>
      <c r="C200" s="10"/>
      <c r="D200" s="10"/>
      <c r="E200" s="10"/>
      <c r="F200" s="10"/>
      <c r="G200" s="10"/>
      <c r="H200" s="10"/>
      <c r="I200" s="10"/>
      <c r="J200" s="10"/>
      <c r="K200" s="16"/>
      <c r="L200" s="15" t="str">
        <f t="shared" si="24"/>
        <v/>
      </c>
      <c r="M200" s="15" t="str">
        <f t="shared" si="25"/>
        <v/>
      </c>
      <c r="N200" s="15" t="str">
        <f t="shared" si="26"/>
        <v/>
      </c>
      <c r="O200" s="15" t="str">
        <f t="shared" si="27"/>
        <v/>
      </c>
      <c r="P200" s="15" t="str">
        <f t="shared" si="28"/>
        <v/>
      </c>
      <c r="Q200" s="15" t="str">
        <f t="shared" si="29"/>
        <v/>
      </c>
      <c r="R200" s="15" t="str">
        <f t="shared" si="30"/>
        <v/>
      </c>
      <c r="S200" s="19" t="str">
        <f t="shared" si="31"/>
        <v/>
      </c>
      <c r="T200" s="33"/>
    </row>
    <row r="201" spans="1:20" ht="21.75" customHeight="1">
      <c r="A201" s="16"/>
      <c r="B201" s="33"/>
      <c r="C201" s="10"/>
      <c r="D201" s="10"/>
      <c r="E201" s="10"/>
      <c r="F201" s="10"/>
      <c r="G201" s="10"/>
      <c r="H201" s="10"/>
      <c r="I201" s="10"/>
      <c r="J201" s="10"/>
      <c r="K201" s="16"/>
      <c r="L201" s="15" t="str">
        <f t="shared" si="24"/>
        <v/>
      </c>
      <c r="M201" s="15" t="str">
        <f t="shared" si="25"/>
        <v/>
      </c>
      <c r="N201" s="15" t="str">
        <f t="shared" si="26"/>
        <v/>
      </c>
      <c r="O201" s="15" t="str">
        <f t="shared" si="27"/>
        <v/>
      </c>
      <c r="P201" s="15" t="str">
        <f t="shared" si="28"/>
        <v/>
      </c>
      <c r="Q201" s="15" t="str">
        <f t="shared" si="29"/>
        <v/>
      </c>
      <c r="R201" s="15" t="str">
        <f t="shared" si="30"/>
        <v/>
      </c>
      <c r="S201" s="19" t="str">
        <f t="shared" si="31"/>
        <v/>
      </c>
      <c r="T201" s="33"/>
    </row>
    <row r="202" spans="1:20" ht="21.75" customHeight="1">
      <c r="A202" s="16"/>
      <c r="B202" s="33"/>
      <c r="C202" s="10"/>
      <c r="D202" s="10"/>
      <c r="E202" s="10"/>
      <c r="F202" s="10"/>
      <c r="G202" s="10"/>
      <c r="H202" s="10"/>
      <c r="I202" s="10"/>
      <c r="J202" s="10"/>
      <c r="K202" s="16"/>
      <c r="L202" s="15" t="str">
        <f t="shared" si="24"/>
        <v/>
      </c>
      <c r="M202" s="15" t="str">
        <f t="shared" si="25"/>
        <v/>
      </c>
      <c r="N202" s="15" t="str">
        <f t="shared" si="26"/>
        <v/>
      </c>
      <c r="O202" s="15" t="str">
        <f t="shared" si="27"/>
        <v/>
      </c>
      <c r="P202" s="15" t="str">
        <f t="shared" si="28"/>
        <v/>
      </c>
      <c r="Q202" s="15" t="str">
        <f t="shared" si="29"/>
        <v/>
      </c>
      <c r="R202" s="15" t="str">
        <f t="shared" si="30"/>
        <v/>
      </c>
      <c r="S202" s="19" t="str">
        <f t="shared" si="31"/>
        <v/>
      </c>
      <c r="T202" s="33"/>
    </row>
    <row r="203" spans="1:20" ht="21.75" customHeight="1">
      <c r="A203" s="16"/>
      <c r="B203" s="33"/>
      <c r="C203" s="10"/>
      <c r="D203" s="10"/>
      <c r="E203" s="10"/>
      <c r="F203" s="10"/>
      <c r="G203" s="10"/>
      <c r="H203" s="10"/>
      <c r="I203" s="10"/>
      <c r="J203" s="10"/>
      <c r="K203" s="16"/>
      <c r="L203" s="15" t="str">
        <f t="shared" si="24"/>
        <v/>
      </c>
      <c r="M203" s="15" t="str">
        <f t="shared" si="25"/>
        <v/>
      </c>
      <c r="N203" s="15" t="str">
        <f t="shared" si="26"/>
        <v/>
      </c>
      <c r="O203" s="15" t="str">
        <f t="shared" si="27"/>
        <v/>
      </c>
      <c r="P203" s="15" t="str">
        <f t="shared" si="28"/>
        <v/>
      </c>
      <c r="Q203" s="15" t="str">
        <f t="shared" si="29"/>
        <v/>
      </c>
      <c r="R203" s="15" t="str">
        <f t="shared" si="30"/>
        <v/>
      </c>
      <c r="S203" s="19" t="str">
        <f t="shared" si="31"/>
        <v/>
      </c>
      <c r="T203" s="33"/>
    </row>
    <row r="204" spans="1:20" ht="21.75" customHeight="1">
      <c r="A204" s="16"/>
      <c r="B204" s="33"/>
      <c r="C204" s="10"/>
      <c r="D204" s="10"/>
      <c r="E204" s="10"/>
      <c r="F204" s="10"/>
      <c r="G204" s="10"/>
      <c r="H204" s="10"/>
      <c r="I204" s="10"/>
      <c r="J204" s="10"/>
      <c r="K204" s="16"/>
      <c r="L204" s="15" t="str">
        <f t="shared" si="24"/>
        <v/>
      </c>
      <c r="M204" s="15" t="str">
        <f t="shared" si="25"/>
        <v/>
      </c>
      <c r="N204" s="15" t="str">
        <f t="shared" si="26"/>
        <v/>
      </c>
      <c r="O204" s="15" t="str">
        <f t="shared" si="27"/>
        <v/>
      </c>
      <c r="P204" s="15" t="str">
        <f t="shared" si="28"/>
        <v/>
      </c>
      <c r="Q204" s="15" t="str">
        <f t="shared" si="29"/>
        <v/>
      </c>
      <c r="R204" s="15" t="str">
        <f t="shared" si="30"/>
        <v/>
      </c>
      <c r="S204" s="19" t="str">
        <f t="shared" si="31"/>
        <v/>
      </c>
      <c r="T204" s="33"/>
    </row>
    <row r="205" spans="1:20" ht="21.75" customHeight="1">
      <c r="A205" s="16"/>
      <c r="B205" s="33"/>
      <c r="C205" s="10"/>
      <c r="D205" s="10"/>
      <c r="E205" s="10"/>
      <c r="F205" s="10"/>
      <c r="G205" s="10"/>
      <c r="H205" s="10"/>
      <c r="I205" s="10"/>
      <c r="J205" s="10"/>
      <c r="K205" s="16"/>
      <c r="L205" s="15" t="str">
        <f t="shared" si="24"/>
        <v/>
      </c>
      <c r="M205" s="15" t="str">
        <f t="shared" si="25"/>
        <v/>
      </c>
      <c r="N205" s="15" t="str">
        <f t="shared" si="26"/>
        <v/>
      </c>
      <c r="O205" s="15" t="str">
        <f t="shared" si="27"/>
        <v/>
      </c>
      <c r="P205" s="15" t="str">
        <f t="shared" si="28"/>
        <v/>
      </c>
      <c r="Q205" s="15" t="str">
        <f t="shared" si="29"/>
        <v/>
      </c>
      <c r="R205" s="15" t="str">
        <f t="shared" si="30"/>
        <v/>
      </c>
      <c r="S205" s="19" t="str">
        <f t="shared" si="31"/>
        <v/>
      </c>
      <c r="T205" s="33"/>
    </row>
    <row r="206" spans="1:20" ht="21.75" customHeight="1">
      <c r="A206" s="16"/>
      <c r="B206" s="33"/>
      <c r="C206" s="10"/>
      <c r="D206" s="10"/>
      <c r="E206" s="10"/>
      <c r="F206" s="10"/>
      <c r="G206" s="10"/>
      <c r="H206" s="10"/>
      <c r="I206" s="10"/>
      <c r="J206" s="10"/>
      <c r="K206" s="16"/>
      <c r="L206" s="15" t="str">
        <f t="shared" si="24"/>
        <v/>
      </c>
      <c r="M206" s="15" t="str">
        <f t="shared" si="25"/>
        <v/>
      </c>
      <c r="N206" s="15" t="str">
        <f t="shared" si="26"/>
        <v/>
      </c>
      <c r="O206" s="15" t="str">
        <f t="shared" si="27"/>
        <v/>
      </c>
      <c r="P206" s="15" t="str">
        <f t="shared" si="28"/>
        <v/>
      </c>
      <c r="Q206" s="15" t="str">
        <f t="shared" si="29"/>
        <v/>
      </c>
      <c r="R206" s="15" t="str">
        <f t="shared" si="30"/>
        <v/>
      </c>
      <c r="S206" s="19" t="str">
        <f t="shared" si="31"/>
        <v/>
      </c>
      <c r="T206" s="33"/>
    </row>
    <row r="207" spans="1:20" ht="21.75" customHeight="1">
      <c r="A207" s="16"/>
      <c r="B207" s="33"/>
      <c r="C207" s="10"/>
      <c r="D207" s="10"/>
      <c r="E207" s="10"/>
      <c r="F207" s="10"/>
      <c r="G207" s="10"/>
      <c r="H207" s="10"/>
      <c r="I207" s="10"/>
      <c r="J207" s="10"/>
      <c r="K207" s="16"/>
      <c r="L207" s="15" t="str">
        <f t="shared" si="24"/>
        <v/>
      </c>
      <c r="M207" s="15" t="str">
        <f t="shared" si="25"/>
        <v/>
      </c>
      <c r="N207" s="15" t="str">
        <f t="shared" si="26"/>
        <v/>
      </c>
      <c r="O207" s="15" t="str">
        <f t="shared" si="27"/>
        <v/>
      </c>
      <c r="P207" s="15" t="str">
        <f t="shared" si="28"/>
        <v/>
      </c>
      <c r="Q207" s="15" t="str">
        <f t="shared" si="29"/>
        <v/>
      </c>
      <c r="R207" s="15" t="str">
        <f t="shared" si="30"/>
        <v/>
      </c>
      <c r="S207" s="19" t="str">
        <f t="shared" si="31"/>
        <v/>
      </c>
      <c r="T207" s="33"/>
    </row>
    <row r="208" spans="1:20" ht="21.75" customHeight="1">
      <c r="A208" s="16"/>
      <c r="B208" s="33"/>
      <c r="C208" s="10"/>
      <c r="D208" s="10"/>
      <c r="E208" s="10"/>
      <c r="F208" s="10"/>
      <c r="G208" s="10"/>
      <c r="H208" s="10"/>
      <c r="I208" s="10"/>
      <c r="J208" s="10"/>
      <c r="K208" s="16"/>
      <c r="L208" s="15" t="str">
        <f t="shared" si="24"/>
        <v/>
      </c>
      <c r="M208" s="15" t="str">
        <f t="shared" si="25"/>
        <v/>
      </c>
      <c r="N208" s="15" t="str">
        <f t="shared" si="26"/>
        <v/>
      </c>
      <c r="O208" s="15" t="str">
        <f t="shared" si="27"/>
        <v/>
      </c>
      <c r="P208" s="15" t="str">
        <f t="shared" si="28"/>
        <v/>
      </c>
      <c r="Q208" s="15" t="str">
        <f t="shared" si="29"/>
        <v/>
      </c>
      <c r="R208" s="15" t="str">
        <f t="shared" si="30"/>
        <v/>
      </c>
      <c r="S208" s="19" t="str">
        <f t="shared" si="31"/>
        <v/>
      </c>
      <c r="T208" s="33"/>
    </row>
    <row r="209" spans="1:20" ht="21.75" customHeight="1">
      <c r="A209" s="16"/>
      <c r="B209" s="33"/>
      <c r="C209" s="10"/>
      <c r="D209" s="10"/>
      <c r="E209" s="10"/>
      <c r="F209" s="10"/>
      <c r="G209" s="10"/>
      <c r="H209" s="10"/>
      <c r="I209" s="10"/>
      <c r="J209" s="10"/>
      <c r="K209" s="16"/>
      <c r="L209" s="15" t="str">
        <f t="shared" si="24"/>
        <v/>
      </c>
      <c r="M209" s="15" t="str">
        <f t="shared" si="25"/>
        <v/>
      </c>
      <c r="N209" s="15" t="str">
        <f t="shared" si="26"/>
        <v/>
      </c>
      <c r="O209" s="15" t="str">
        <f t="shared" si="27"/>
        <v/>
      </c>
      <c r="P209" s="15" t="str">
        <f t="shared" si="28"/>
        <v/>
      </c>
      <c r="Q209" s="15" t="str">
        <f t="shared" si="29"/>
        <v/>
      </c>
      <c r="R209" s="15" t="str">
        <f t="shared" si="30"/>
        <v/>
      </c>
      <c r="S209" s="19" t="str">
        <f t="shared" si="31"/>
        <v/>
      </c>
      <c r="T209" s="33"/>
    </row>
    <row r="210" spans="1:20" ht="21.75" customHeight="1">
      <c r="A210" s="16"/>
      <c r="B210" s="33"/>
      <c r="C210" s="10"/>
      <c r="D210" s="10"/>
      <c r="E210" s="10"/>
      <c r="F210" s="10"/>
      <c r="G210" s="10"/>
      <c r="H210" s="10"/>
      <c r="I210" s="10"/>
      <c r="J210" s="10"/>
      <c r="K210" s="16"/>
      <c r="L210" s="15" t="str">
        <f t="shared" si="24"/>
        <v/>
      </c>
      <c r="M210" s="15" t="str">
        <f t="shared" si="25"/>
        <v/>
      </c>
      <c r="N210" s="15" t="str">
        <f t="shared" si="26"/>
        <v/>
      </c>
      <c r="O210" s="15" t="str">
        <f t="shared" si="27"/>
        <v/>
      </c>
      <c r="P210" s="15" t="str">
        <f t="shared" si="28"/>
        <v/>
      </c>
      <c r="Q210" s="15" t="str">
        <f t="shared" si="29"/>
        <v/>
      </c>
      <c r="R210" s="15" t="str">
        <f t="shared" si="30"/>
        <v/>
      </c>
      <c r="S210" s="19" t="str">
        <f t="shared" si="31"/>
        <v/>
      </c>
      <c r="T210" s="33"/>
    </row>
    <row r="211" spans="1:20" ht="21.75" customHeight="1">
      <c r="A211" s="16"/>
      <c r="B211" s="33"/>
      <c r="C211" s="10"/>
      <c r="D211" s="10"/>
      <c r="E211" s="10"/>
      <c r="F211" s="10"/>
      <c r="G211" s="10"/>
      <c r="H211" s="10"/>
      <c r="I211" s="10"/>
      <c r="J211" s="10"/>
      <c r="K211" s="16"/>
      <c r="L211" s="15" t="str">
        <f t="shared" si="24"/>
        <v/>
      </c>
      <c r="M211" s="15" t="str">
        <f t="shared" si="25"/>
        <v/>
      </c>
      <c r="N211" s="15" t="str">
        <f t="shared" si="26"/>
        <v/>
      </c>
      <c r="O211" s="15" t="str">
        <f t="shared" si="27"/>
        <v/>
      </c>
      <c r="P211" s="15" t="str">
        <f t="shared" si="28"/>
        <v/>
      </c>
      <c r="Q211" s="15" t="str">
        <f t="shared" si="29"/>
        <v/>
      </c>
      <c r="R211" s="15" t="str">
        <f t="shared" si="30"/>
        <v/>
      </c>
      <c r="S211" s="19" t="str">
        <f t="shared" si="31"/>
        <v/>
      </c>
      <c r="T211" s="33"/>
    </row>
    <row r="212" spans="1:20" ht="21.75" customHeight="1">
      <c r="A212" s="16"/>
      <c r="B212" s="33"/>
      <c r="C212" s="10"/>
      <c r="D212" s="10"/>
      <c r="E212" s="10"/>
      <c r="F212" s="10"/>
      <c r="G212" s="10"/>
      <c r="H212" s="10"/>
      <c r="I212" s="10"/>
      <c r="J212" s="10"/>
      <c r="K212" s="16"/>
      <c r="L212" s="15" t="str">
        <f t="shared" si="24"/>
        <v/>
      </c>
      <c r="M212" s="15" t="str">
        <f t="shared" si="25"/>
        <v/>
      </c>
      <c r="N212" s="15" t="str">
        <f t="shared" si="26"/>
        <v/>
      </c>
      <c r="O212" s="15" t="str">
        <f t="shared" si="27"/>
        <v/>
      </c>
      <c r="P212" s="15" t="str">
        <f t="shared" si="28"/>
        <v/>
      </c>
      <c r="Q212" s="15" t="str">
        <f t="shared" si="29"/>
        <v/>
      </c>
      <c r="R212" s="15" t="str">
        <f t="shared" si="30"/>
        <v/>
      </c>
      <c r="S212" s="19" t="str">
        <f t="shared" si="31"/>
        <v/>
      </c>
      <c r="T212" s="33"/>
    </row>
    <row r="213" spans="1:20" ht="21.75" customHeight="1">
      <c r="A213" s="16"/>
      <c r="B213" s="33"/>
      <c r="C213" s="10"/>
      <c r="D213" s="10"/>
      <c r="E213" s="10"/>
      <c r="F213" s="10"/>
      <c r="G213" s="10"/>
      <c r="H213" s="10"/>
      <c r="I213" s="10"/>
      <c r="J213" s="10"/>
      <c r="K213" s="16"/>
      <c r="L213" s="15" t="str">
        <f t="shared" si="24"/>
        <v/>
      </c>
      <c r="M213" s="15" t="str">
        <f t="shared" si="25"/>
        <v/>
      </c>
      <c r="N213" s="15" t="str">
        <f t="shared" si="26"/>
        <v/>
      </c>
      <c r="O213" s="15" t="str">
        <f t="shared" si="27"/>
        <v/>
      </c>
      <c r="P213" s="15" t="str">
        <f t="shared" si="28"/>
        <v/>
      </c>
      <c r="Q213" s="15" t="str">
        <f t="shared" si="29"/>
        <v/>
      </c>
      <c r="R213" s="15" t="str">
        <f t="shared" si="30"/>
        <v/>
      </c>
      <c r="S213" s="19" t="str">
        <f t="shared" si="31"/>
        <v/>
      </c>
      <c r="T213" s="33"/>
    </row>
    <row r="214" spans="1:20" ht="21.75" customHeight="1">
      <c r="A214" s="16"/>
      <c r="B214" s="33"/>
      <c r="C214" s="10"/>
      <c r="D214" s="10"/>
      <c r="E214" s="10"/>
      <c r="F214" s="10"/>
      <c r="G214" s="10"/>
      <c r="H214" s="10"/>
      <c r="I214" s="10"/>
      <c r="J214" s="10"/>
      <c r="K214" s="16"/>
      <c r="L214" s="15" t="str">
        <f t="shared" si="24"/>
        <v/>
      </c>
      <c r="M214" s="15" t="str">
        <f t="shared" si="25"/>
        <v/>
      </c>
      <c r="N214" s="15" t="str">
        <f t="shared" si="26"/>
        <v/>
      </c>
      <c r="O214" s="15" t="str">
        <f t="shared" si="27"/>
        <v/>
      </c>
      <c r="P214" s="15" t="str">
        <f t="shared" si="28"/>
        <v/>
      </c>
      <c r="Q214" s="15" t="str">
        <f t="shared" si="29"/>
        <v/>
      </c>
      <c r="R214" s="15" t="str">
        <f t="shared" si="30"/>
        <v/>
      </c>
      <c r="S214" s="19" t="str">
        <f t="shared" si="31"/>
        <v/>
      </c>
      <c r="T214" s="33"/>
    </row>
    <row r="215" spans="1:20" ht="21.75" customHeight="1">
      <c r="A215" s="16"/>
      <c r="B215" s="33"/>
      <c r="C215" s="10"/>
      <c r="D215" s="10"/>
      <c r="E215" s="10"/>
      <c r="F215" s="10"/>
      <c r="G215" s="10"/>
      <c r="H215" s="10"/>
      <c r="I215" s="10"/>
      <c r="J215" s="10"/>
      <c r="K215" s="16"/>
      <c r="L215" s="15" t="str">
        <f t="shared" si="24"/>
        <v/>
      </c>
      <c r="M215" s="15" t="str">
        <f t="shared" si="25"/>
        <v/>
      </c>
      <c r="N215" s="15" t="str">
        <f t="shared" si="26"/>
        <v/>
      </c>
      <c r="O215" s="15" t="str">
        <f t="shared" si="27"/>
        <v/>
      </c>
      <c r="P215" s="15" t="str">
        <f t="shared" si="28"/>
        <v/>
      </c>
      <c r="Q215" s="15" t="str">
        <f t="shared" si="29"/>
        <v/>
      </c>
      <c r="R215" s="15" t="str">
        <f t="shared" si="30"/>
        <v/>
      </c>
      <c r="S215" s="19" t="str">
        <f t="shared" si="31"/>
        <v/>
      </c>
      <c r="T215" s="33"/>
    </row>
    <row r="216" spans="1:20" ht="21.75" customHeight="1">
      <c r="A216" s="16"/>
      <c r="B216" s="33"/>
      <c r="C216" s="10"/>
      <c r="D216" s="10"/>
      <c r="E216" s="10"/>
      <c r="F216" s="10"/>
      <c r="G216" s="10"/>
      <c r="H216" s="10"/>
      <c r="I216" s="10"/>
      <c r="J216" s="10"/>
      <c r="K216" s="16"/>
      <c r="L216" s="15" t="str">
        <f t="shared" si="24"/>
        <v/>
      </c>
      <c r="M216" s="15" t="str">
        <f t="shared" si="25"/>
        <v/>
      </c>
      <c r="N216" s="15" t="str">
        <f t="shared" si="26"/>
        <v/>
      </c>
      <c r="O216" s="15" t="str">
        <f t="shared" si="27"/>
        <v/>
      </c>
      <c r="P216" s="15" t="str">
        <f t="shared" si="28"/>
        <v/>
      </c>
      <c r="Q216" s="15" t="str">
        <f t="shared" si="29"/>
        <v/>
      </c>
      <c r="R216" s="15" t="str">
        <f t="shared" si="30"/>
        <v/>
      </c>
      <c r="S216" s="19" t="str">
        <f t="shared" si="31"/>
        <v/>
      </c>
      <c r="T216" s="33"/>
    </row>
    <row r="217" spans="1:20" ht="21.75" customHeight="1">
      <c r="A217" s="16"/>
      <c r="B217" s="33"/>
      <c r="C217" s="10"/>
      <c r="D217" s="10"/>
      <c r="E217" s="10"/>
      <c r="F217" s="10"/>
      <c r="G217" s="10"/>
      <c r="H217" s="10"/>
      <c r="I217" s="10"/>
      <c r="J217" s="10"/>
      <c r="K217" s="16"/>
      <c r="L217" s="15" t="str">
        <f t="shared" si="24"/>
        <v/>
      </c>
      <c r="M217" s="15" t="str">
        <f t="shared" si="25"/>
        <v/>
      </c>
      <c r="N217" s="15" t="str">
        <f t="shared" si="26"/>
        <v/>
      </c>
      <c r="O217" s="15" t="str">
        <f t="shared" si="27"/>
        <v/>
      </c>
      <c r="P217" s="15" t="str">
        <f t="shared" si="28"/>
        <v/>
      </c>
      <c r="Q217" s="15" t="str">
        <f t="shared" si="29"/>
        <v/>
      </c>
      <c r="R217" s="15" t="str">
        <f t="shared" si="30"/>
        <v/>
      </c>
      <c r="S217" s="19" t="str">
        <f t="shared" si="31"/>
        <v/>
      </c>
      <c r="T217" s="33"/>
    </row>
    <row r="218" spans="1:20" ht="21.75" customHeight="1">
      <c r="A218" s="16"/>
      <c r="B218" s="33"/>
      <c r="C218" s="10"/>
      <c r="D218" s="10"/>
      <c r="E218" s="10"/>
      <c r="F218" s="10"/>
      <c r="G218" s="10"/>
      <c r="H218" s="10"/>
      <c r="I218" s="10"/>
      <c r="J218" s="10"/>
      <c r="K218" s="16"/>
      <c r="L218" s="15" t="str">
        <f t="shared" si="24"/>
        <v/>
      </c>
      <c r="M218" s="15" t="str">
        <f t="shared" si="25"/>
        <v/>
      </c>
      <c r="N218" s="15" t="str">
        <f t="shared" si="26"/>
        <v/>
      </c>
      <c r="O218" s="15" t="str">
        <f t="shared" si="27"/>
        <v/>
      </c>
      <c r="P218" s="15" t="str">
        <f t="shared" si="28"/>
        <v/>
      </c>
      <c r="Q218" s="15" t="str">
        <f t="shared" si="29"/>
        <v/>
      </c>
      <c r="R218" s="15" t="str">
        <f t="shared" si="30"/>
        <v/>
      </c>
      <c r="S218" s="19" t="str">
        <f t="shared" si="31"/>
        <v/>
      </c>
      <c r="T218" s="33"/>
    </row>
    <row r="219" spans="1:20" ht="21.75" customHeight="1">
      <c r="A219" s="16"/>
      <c r="B219" s="33"/>
      <c r="C219" s="10"/>
      <c r="D219" s="10"/>
      <c r="E219" s="10"/>
      <c r="F219" s="10"/>
      <c r="G219" s="10"/>
      <c r="H219" s="10"/>
      <c r="I219" s="10"/>
      <c r="J219" s="10"/>
      <c r="K219" s="16"/>
      <c r="L219" s="15" t="str">
        <f t="shared" si="24"/>
        <v/>
      </c>
      <c r="M219" s="15" t="str">
        <f t="shared" si="25"/>
        <v/>
      </c>
      <c r="N219" s="15" t="str">
        <f t="shared" si="26"/>
        <v/>
      </c>
      <c r="O219" s="15" t="str">
        <f t="shared" si="27"/>
        <v/>
      </c>
      <c r="P219" s="15" t="str">
        <f t="shared" si="28"/>
        <v/>
      </c>
      <c r="Q219" s="15" t="str">
        <f t="shared" si="29"/>
        <v/>
      </c>
      <c r="R219" s="15" t="str">
        <f t="shared" si="30"/>
        <v/>
      </c>
      <c r="S219" s="19" t="str">
        <f t="shared" si="31"/>
        <v/>
      </c>
      <c r="T219" s="33"/>
    </row>
    <row r="220" spans="1:20" ht="21.75" customHeight="1">
      <c r="A220" s="16"/>
      <c r="B220" s="33"/>
      <c r="C220" s="10"/>
      <c r="D220" s="10"/>
      <c r="E220" s="10"/>
      <c r="F220" s="10"/>
      <c r="G220" s="10"/>
      <c r="H220" s="10"/>
      <c r="I220" s="10"/>
      <c r="J220" s="10"/>
      <c r="K220" s="16"/>
      <c r="L220" s="15" t="str">
        <f t="shared" si="24"/>
        <v/>
      </c>
      <c r="M220" s="15" t="str">
        <f t="shared" si="25"/>
        <v/>
      </c>
      <c r="N220" s="15" t="str">
        <f t="shared" si="26"/>
        <v/>
      </c>
      <c r="O220" s="15" t="str">
        <f t="shared" si="27"/>
        <v/>
      </c>
      <c r="P220" s="15" t="str">
        <f t="shared" si="28"/>
        <v/>
      </c>
      <c r="Q220" s="15" t="str">
        <f t="shared" si="29"/>
        <v/>
      </c>
      <c r="R220" s="15" t="str">
        <f t="shared" si="30"/>
        <v/>
      </c>
      <c r="S220" s="19" t="str">
        <f t="shared" si="31"/>
        <v/>
      </c>
      <c r="T220" s="33"/>
    </row>
    <row r="221" spans="1:20" ht="21.75" customHeight="1">
      <c r="A221" s="16"/>
      <c r="B221" s="33"/>
      <c r="C221" s="10"/>
      <c r="D221" s="10"/>
      <c r="E221" s="10"/>
      <c r="F221" s="10"/>
      <c r="G221" s="10"/>
      <c r="H221" s="10"/>
      <c r="I221" s="10"/>
      <c r="J221" s="10"/>
      <c r="K221" s="16"/>
      <c r="L221" s="15" t="str">
        <f t="shared" si="24"/>
        <v/>
      </c>
      <c r="M221" s="15" t="str">
        <f t="shared" si="25"/>
        <v/>
      </c>
      <c r="N221" s="15" t="str">
        <f t="shared" si="26"/>
        <v/>
      </c>
      <c r="O221" s="15" t="str">
        <f t="shared" si="27"/>
        <v/>
      </c>
      <c r="P221" s="15" t="str">
        <f t="shared" si="28"/>
        <v/>
      </c>
      <c r="Q221" s="15" t="str">
        <f t="shared" si="29"/>
        <v/>
      </c>
      <c r="R221" s="15" t="str">
        <f t="shared" si="30"/>
        <v/>
      </c>
      <c r="S221" s="19" t="str">
        <f t="shared" si="31"/>
        <v/>
      </c>
      <c r="T221" s="33"/>
    </row>
    <row r="222" spans="1:20" ht="21.75" customHeight="1">
      <c r="A222" s="16"/>
      <c r="B222" s="33"/>
      <c r="C222" s="10"/>
      <c r="D222" s="10"/>
      <c r="E222" s="10"/>
      <c r="F222" s="10"/>
      <c r="G222" s="10"/>
      <c r="H222" s="10"/>
      <c r="I222" s="10"/>
      <c r="J222" s="10"/>
      <c r="K222" s="16"/>
      <c r="L222" s="15" t="str">
        <f t="shared" si="24"/>
        <v/>
      </c>
      <c r="M222" s="15" t="str">
        <f t="shared" si="25"/>
        <v/>
      </c>
      <c r="N222" s="15" t="str">
        <f t="shared" si="26"/>
        <v/>
      </c>
      <c r="O222" s="15" t="str">
        <f t="shared" si="27"/>
        <v/>
      </c>
      <c r="P222" s="15" t="str">
        <f t="shared" si="28"/>
        <v/>
      </c>
      <c r="Q222" s="15" t="str">
        <f t="shared" si="29"/>
        <v/>
      </c>
      <c r="R222" s="15" t="str">
        <f t="shared" si="30"/>
        <v/>
      </c>
      <c r="S222" s="19" t="str">
        <f t="shared" si="31"/>
        <v/>
      </c>
      <c r="T222" s="33"/>
    </row>
    <row r="223" spans="1:20" ht="21.75" customHeight="1">
      <c r="A223" s="16"/>
      <c r="B223" s="33"/>
      <c r="C223" s="10"/>
      <c r="D223" s="10"/>
      <c r="E223" s="10"/>
      <c r="F223" s="10"/>
      <c r="G223" s="10"/>
      <c r="H223" s="10"/>
      <c r="I223" s="10"/>
      <c r="J223" s="10"/>
      <c r="K223" s="16"/>
      <c r="L223" s="15" t="str">
        <f t="shared" si="24"/>
        <v/>
      </c>
      <c r="M223" s="15" t="str">
        <f t="shared" si="25"/>
        <v/>
      </c>
      <c r="N223" s="15" t="str">
        <f t="shared" si="26"/>
        <v/>
      </c>
      <c r="O223" s="15" t="str">
        <f t="shared" si="27"/>
        <v/>
      </c>
      <c r="P223" s="15" t="str">
        <f t="shared" si="28"/>
        <v/>
      </c>
      <c r="Q223" s="15" t="str">
        <f t="shared" si="29"/>
        <v/>
      </c>
      <c r="R223" s="15" t="str">
        <f t="shared" si="30"/>
        <v/>
      </c>
      <c r="S223" s="19" t="str">
        <f t="shared" si="31"/>
        <v/>
      </c>
      <c r="T223" s="33"/>
    </row>
    <row r="224" spans="1:20" ht="21.75" customHeight="1">
      <c r="A224" s="16"/>
      <c r="B224" s="33"/>
      <c r="C224" s="10"/>
      <c r="D224" s="10"/>
      <c r="E224" s="10"/>
      <c r="F224" s="10"/>
      <c r="G224" s="10"/>
      <c r="H224" s="10"/>
      <c r="I224" s="10"/>
      <c r="J224" s="10"/>
      <c r="K224" s="16"/>
      <c r="L224" s="15" t="str">
        <f t="shared" si="24"/>
        <v/>
      </c>
      <c r="M224" s="15" t="str">
        <f t="shared" si="25"/>
        <v/>
      </c>
      <c r="N224" s="15" t="str">
        <f t="shared" si="26"/>
        <v/>
      </c>
      <c r="O224" s="15" t="str">
        <f t="shared" si="27"/>
        <v/>
      </c>
      <c r="P224" s="15" t="str">
        <f t="shared" si="28"/>
        <v/>
      </c>
      <c r="Q224" s="15" t="str">
        <f t="shared" si="29"/>
        <v/>
      </c>
      <c r="R224" s="15" t="str">
        <f t="shared" si="30"/>
        <v/>
      </c>
      <c r="S224" s="19" t="str">
        <f t="shared" si="31"/>
        <v/>
      </c>
      <c r="T224" s="33"/>
    </row>
    <row r="225" spans="1:20" ht="21.75" customHeight="1">
      <c r="A225" s="16"/>
      <c r="B225" s="33"/>
      <c r="C225" s="10"/>
      <c r="D225" s="10"/>
      <c r="E225" s="10"/>
      <c r="F225" s="10"/>
      <c r="G225" s="10"/>
      <c r="H225" s="10"/>
      <c r="I225" s="10"/>
      <c r="J225" s="10"/>
      <c r="K225" s="16"/>
      <c r="L225" s="15" t="str">
        <f t="shared" si="24"/>
        <v/>
      </c>
      <c r="M225" s="15" t="str">
        <f t="shared" si="25"/>
        <v/>
      </c>
      <c r="N225" s="15" t="str">
        <f t="shared" si="26"/>
        <v/>
      </c>
      <c r="O225" s="15" t="str">
        <f t="shared" si="27"/>
        <v/>
      </c>
      <c r="P225" s="15" t="str">
        <f t="shared" si="28"/>
        <v/>
      </c>
      <c r="Q225" s="15" t="str">
        <f t="shared" si="29"/>
        <v/>
      </c>
      <c r="R225" s="15" t="str">
        <f t="shared" si="30"/>
        <v/>
      </c>
      <c r="S225" s="19" t="str">
        <f t="shared" si="31"/>
        <v/>
      </c>
      <c r="T225" s="33"/>
    </row>
    <row r="226" spans="1:20" ht="21.75" customHeight="1">
      <c r="A226" s="16"/>
      <c r="B226" s="33"/>
      <c r="C226" s="10"/>
      <c r="D226" s="10"/>
      <c r="E226" s="10"/>
      <c r="F226" s="10"/>
      <c r="G226" s="10"/>
      <c r="H226" s="10"/>
      <c r="I226" s="10"/>
      <c r="J226" s="10"/>
      <c r="K226" s="16"/>
      <c r="L226" s="15" t="str">
        <f t="shared" si="24"/>
        <v/>
      </c>
      <c r="M226" s="15" t="str">
        <f t="shared" si="25"/>
        <v/>
      </c>
      <c r="N226" s="15" t="str">
        <f t="shared" si="26"/>
        <v/>
      </c>
      <c r="O226" s="15" t="str">
        <f t="shared" si="27"/>
        <v/>
      </c>
      <c r="P226" s="15" t="str">
        <f t="shared" si="28"/>
        <v/>
      </c>
      <c r="Q226" s="15" t="str">
        <f t="shared" si="29"/>
        <v/>
      </c>
      <c r="R226" s="15" t="str">
        <f t="shared" si="30"/>
        <v/>
      </c>
      <c r="S226" s="19" t="str">
        <f t="shared" si="31"/>
        <v/>
      </c>
      <c r="T226" s="33"/>
    </row>
    <row r="227" spans="1:20" ht="21.75" customHeight="1">
      <c r="A227" s="16"/>
      <c r="B227" s="33"/>
      <c r="C227" s="10"/>
      <c r="D227" s="10"/>
      <c r="E227" s="10"/>
      <c r="F227" s="10"/>
      <c r="G227" s="10"/>
      <c r="H227" s="10"/>
      <c r="I227" s="10"/>
      <c r="J227" s="10"/>
      <c r="K227" s="16"/>
      <c r="L227" s="15" t="str">
        <f t="shared" si="24"/>
        <v/>
      </c>
      <c r="M227" s="15" t="str">
        <f t="shared" si="25"/>
        <v/>
      </c>
      <c r="N227" s="15" t="str">
        <f t="shared" si="26"/>
        <v/>
      </c>
      <c r="O227" s="15" t="str">
        <f t="shared" si="27"/>
        <v/>
      </c>
      <c r="P227" s="15" t="str">
        <f t="shared" si="28"/>
        <v/>
      </c>
      <c r="Q227" s="15" t="str">
        <f t="shared" si="29"/>
        <v/>
      </c>
      <c r="R227" s="15" t="str">
        <f t="shared" si="30"/>
        <v/>
      </c>
      <c r="S227" s="19" t="str">
        <f t="shared" si="31"/>
        <v/>
      </c>
      <c r="T227" s="33"/>
    </row>
    <row r="228" spans="1:20" ht="21.75" customHeight="1">
      <c r="A228" s="16"/>
      <c r="B228" s="33"/>
      <c r="C228" s="10"/>
      <c r="D228" s="10"/>
      <c r="E228" s="10"/>
      <c r="F228" s="10"/>
      <c r="G228" s="10"/>
      <c r="H228" s="10"/>
      <c r="I228" s="10"/>
      <c r="J228" s="10"/>
      <c r="K228" s="16"/>
      <c r="L228" s="15" t="str">
        <f t="shared" si="24"/>
        <v/>
      </c>
      <c r="M228" s="15" t="str">
        <f t="shared" si="25"/>
        <v/>
      </c>
      <c r="N228" s="15" t="str">
        <f t="shared" si="26"/>
        <v/>
      </c>
      <c r="O228" s="15" t="str">
        <f t="shared" si="27"/>
        <v/>
      </c>
      <c r="P228" s="15" t="str">
        <f t="shared" si="28"/>
        <v/>
      </c>
      <c r="Q228" s="15" t="str">
        <f t="shared" si="29"/>
        <v/>
      </c>
      <c r="R228" s="15" t="str">
        <f t="shared" si="30"/>
        <v/>
      </c>
      <c r="S228" s="19" t="str">
        <f t="shared" si="31"/>
        <v/>
      </c>
      <c r="T228" s="33"/>
    </row>
    <row r="229" spans="1:20" ht="21.75" customHeight="1">
      <c r="A229" s="16"/>
      <c r="B229" s="33"/>
      <c r="C229" s="10"/>
      <c r="D229" s="10"/>
      <c r="E229" s="10"/>
      <c r="F229" s="10"/>
      <c r="G229" s="10"/>
      <c r="H229" s="10"/>
      <c r="I229" s="10"/>
      <c r="J229" s="10"/>
      <c r="K229" s="16"/>
      <c r="L229" s="15" t="str">
        <f t="shared" si="24"/>
        <v/>
      </c>
      <c r="M229" s="15" t="str">
        <f t="shared" si="25"/>
        <v/>
      </c>
      <c r="N229" s="15" t="str">
        <f t="shared" si="26"/>
        <v/>
      </c>
      <c r="O229" s="15" t="str">
        <f t="shared" si="27"/>
        <v/>
      </c>
      <c r="P229" s="15" t="str">
        <f t="shared" si="28"/>
        <v/>
      </c>
      <c r="Q229" s="15" t="str">
        <f t="shared" si="29"/>
        <v/>
      </c>
      <c r="R229" s="15" t="str">
        <f t="shared" si="30"/>
        <v/>
      </c>
      <c r="S229" s="19" t="str">
        <f t="shared" si="31"/>
        <v/>
      </c>
      <c r="T229" s="33"/>
    </row>
    <row r="230" spans="1:20" ht="21.75" customHeight="1">
      <c r="A230" s="16"/>
      <c r="B230" s="33"/>
      <c r="C230" s="10"/>
      <c r="D230" s="10"/>
      <c r="E230" s="10"/>
      <c r="F230" s="10"/>
      <c r="G230" s="10"/>
      <c r="H230" s="10"/>
      <c r="I230" s="10"/>
      <c r="J230" s="10"/>
      <c r="K230" s="16"/>
      <c r="L230" s="15" t="str">
        <f t="shared" si="24"/>
        <v/>
      </c>
      <c r="M230" s="15" t="str">
        <f t="shared" si="25"/>
        <v/>
      </c>
      <c r="N230" s="15" t="str">
        <f t="shared" si="26"/>
        <v/>
      </c>
      <c r="O230" s="15" t="str">
        <f t="shared" si="27"/>
        <v/>
      </c>
      <c r="P230" s="15" t="str">
        <f t="shared" si="28"/>
        <v/>
      </c>
      <c r="Q230" s="15" t="str">
        <f t="shared" si="29"/>
        <v/>
      </c>
      <c r="R230" s="15" t="str">
        <f t="shared" si="30"/>
        <v/>
      </c>
      <c r="S230" s="19" t="str">
        <f t="shared" si="31"/>
        <v/>
      </c>
      <c r="T230" s="33"/>
    </row>
    <row r="231" spans="1:20" ht="21.75" customHeight="1">
      <c r="A231" s="16"/>
      <c r="B231" s="33"/>
      <c r="C231" s="10"/>
      <c r="D231" s="10"/>
      <c r="E231" s="10"/>
      <c r="F231" s="10"/>
      <c r="G231" s="10"/>
      <c r="H231" s="10"/>
      <c r="I231" s="10"/>
      <c r="J231" s="10"/>
      <c r="K231" s="16"/>
      <c r="L231" s="15" t="str">
        <f t="shared" si="24"/>
        <v/>
      </c>
      <c r="M231" s="15" t="str">
        <f t="shared" si="25"/>
        <v/>
      </c>
      <c r="N231" s="15" t="str">
        <f t="shared" si="26"/>
        <v/>
      </c>
      <c r="O231" s="15" t="str">
        <f t="shared" si="27"/>
        <v/>
      </c>
      <c r="P231" s="15" t="str">
        <f t="shared" si="28"/>
        <v/>
      </c>
      <c r="Q231" s="15" t="str">
        <f t="shared" si="29"/>
        <v/>
      </c>
      <c r="R231" s="15" t="str">
        <f t="shared" si="30"/>
        <v/>
      </c>
      <c r="S231" s="19" t="str">
        <f t="shared" si="31"/>
        <v/>
      </c>
      <c r="T231" s="33"/>
    </row>
    <row r="232" spans="1:20" ht="21.75" customHeight="1">
      <c r="A232" s="16"/>
      <c r="B232" s="33"/>
      <c r="C232" s="10"/>
      <c r="D232" s="10"/>
      <c r="E232" s="10"/>
      <c r="F232" s="10"/>
      <c r="G232" s="10"/>
      <c r="H232" s="10"/>
      <c r="I232" s="10"/>
      <c r="J232" s="10"/>
      <c r="K232" s="16"/>
      <c r="L232" s="15" t="str">
        <f t="shared" si="24"/>
        <v/>
      </c>
      <c r="M232" s="15" t="str">
        <f t="shared" si="25"/>
        <v/>
      </c>
      <c r="N232" s="15" t="str">
        <f t="shared" si="26"/>
        <v/>
      </c>
      <c r="O232" s="15" t="str">
        <f t="shared" si="27"/>
        <v/>
      </c>
      <c r="P232" s="15" t="str">
        <f t="shared" si="28"/>
        <v/>
      </c>
      <c r="Q232" s="15" t="str">
        <f t="shared" si="29"/>
        <v/>
      </c>
      <c r="R232" s="15" t="str">
        <f t="shared" si="30"/>
        <v/>
      </c>
      <c r="S232" s="19" t="str">
        <f t="shared" si="31"/>
        <v/>
      </c>
      <c r="T232" s="33"/>
    </row>
    <row r="233" spans="1:20" ht="21.75" customHeight="1">
      <c r="A233" s="16"/>
      <c r="B233" s="33"/>
      <c r="C233" s="10"/>
      <c r="D233" s="10"/>
      <c r="E233" s="10"/>
      <c r="F233" s="10"/>
      <c r="G233" s="10"/>
      <c r="H233" s="10"/>
      <c r="I233" s="10"/>
      <c r="J233" s="10"/>
      <c r="K233" s="16"/>
      <c r="L233" s="15" t="str">
        <f t="shared" si="24"/>
        <v/>
      </c>
      <c r="M233" s="15" t="str">
        <f t="shared" si="25"/>
        <v/>
      </c>
      <c r="N233" s="15" t="str">
        <f t="shared" si="26"/>
        <v/>
      </c>
      <c r="O233" s="15" t="str">
        <f t="shared" si="27"/>
        <v/>
      </c>
      <c r="P233" s="15" t="str">
        <f t="shared" si="28"/>
        <v/>
      </c>
      <c r="Q233" s="15" t="str">
        <f t="shared" si="29"/>
        <v/>
      </c>
      <c r="R233" s="15" t="str">
        <f t="shared" si="30"/>
        <v/>
      </c>
      <c r="S233" s="19" t="str">
        <f t="shared" si="31"/>
        <v/>
      </c>
      <c r="T233" s="33"/>
    </row>
    <row r="234" spans="1:20" ht="21.75" customHeight="1">
      <c r="A234" s="16"/>
      <c r="B234" s="33"/>
      <c r="C234" s="10"/>
      <c r="D234" s="10"/>
      <c r="E234" s="10"/>
      <c r="F234" s="10"/>
      <c r="G234" s="10"/>
      <c r="H234" s="10"/>
      <c r="I234" s="10"/>
      <c r="J234" s="10"/>
      <c r="K234" s="16"/>
      <c r="L234" s="15" t="str">
        <f t="shared" si="24"/>
        <v/>
      </c>
      <c r="M234" s="15" t="str">
        <f t="shared" si="25"/>
        <v/>
      </c>
      <c r="N234" s="15" t="str">
        <f t="shared" si="26"/>
        <v/>
      </c>
      <c r="O234" s="15" t="str">
        <f t="shared" si="27"/>
        <v/>
      </c>
      <c r="P234" s="15" t="str">
        <f t="shared" si="28"/>
        <v/>
      </c>
      <c r="Q234" s="15" t="str">
        <f t="shared" si="29"/>
        <v/>
      </c>
      <c r="R234" s="15" t="str">
        <f t="shared" si="30"/>
        <v/>
      </c>
      <c r="S234" s="19" t="str">
        <f t="shared" si="31"/>
        <v/>
      </c>
      <c r="T234" s="33"/>
    </row>
    <row r="235" spans="1:20" ht="21.75" customHeight="1">
      <c r="A235" s="16"/>
      <c r="B235" s="33"/>
      <c r="C235" s="10"/>
      <c r="D235" s="10"/>
      <c r="E235" s="10"/>
      <c r="F235" s="10"/>
      <c r="G235" s="10"/>
      <c r="H235" s="10"/>
      <c r="I235" s="10"/>
      <c r="J235" s="10"/>
      <c r="K235" s="16"/>
      <c r="L235" s="15" t="str">
        <f t="shared" si="24"/>
        <v/>
      </c>
      <c r="M235" s="15" t="str">
        <f t="shared" si="25"/>
        <v/>
      </c>
      <c r="N235" s="15" t="str">
        <f t="shared" si="26"/>
        <v/>
      </c>
      <c r="O235" s="15" t="str">
        <f t="shared" si="27"/>
        <v/>
      </c>
      <c r="P235" s="15" t="str">
        <f t="shared" si="28"/>
        <v/>
      </c>
      <c r="Q235" s="15" t="str">
        <f t="shared" si="29"/>
        <v/>
      </c>
      <c r="R235" s="15" t="str">
        <f t="shared" si="30"/>
        <v/>
      </c>
      <c r="S235" s="19" t="str">
        <f t="shared" si="31"/>
        <v/>
      </c>
      <c r="T235" s="33"/>
    </row>
    <row r="236" spans="1:20" ht="21.75" customHeight="1">
      <c r="A236" s="16"/>
      <c r="B236" s="33"/>
      <c r="C236" s="10"/>
      <c r="D236" s="10"/>
      <c r="E236" s="10"/>
      <c r="F236" s="10"/>
      <c r="G236" s="10"/>
      <c r="H236" s="10"/>
      <c r="I236" s="10"/>
      <c r="J236" s="10"/>
      <c r="K236" s="16"/>
      <c r="L236" s="15" t="str">
        <f t="shared" si="24"/>
        <v/>
      </c>
      <c r="M236" s="15" t="str">
        <f t="shared" si="25"/>
        <v/>
      </c>
      <c r="N236" s="15" t="str">
        <f t="shared" si="26"/>
        <v/>
      </c>
      <c r="O236" s="15" t="str">
        <f t="shared" si="27"/>
        <v/>
      </c>
      <c r="P236" s="15" t="str">
        <f t="shared" si="28"/>
        <v/>
      </c>
      <c r="Q236" s="15" t="str">
        <f t="shared" si="29"/>
        <v/>
      </c>
      <c r="R236" s="15" t="str">
        <f t="shared" si="30"/>
        <v/>
      </c>
      <c r="S236" s="19" t="str">
        <f t="shared" si="31"/>
        <v/>
      </c>
      <c r="T236" s="33"/>
    </row>
    <row r="237" spans="1:20" ht="21.75" customHeight="1">
      <c r="A237" s="16"/>
      <c r="B237" s="33"/>
      <c r="C237" s="10"/>
      <c r="D237" s="10"/>
      <c r="E237" s="10"/>
      <c r="F237" s="10"/>
      <c r="G237" s="10"/>
      <c r="H237" s="10"/>
      <c r="I237" s="10"/>
      <c r="J237" s="10"/>
      <c r="K237" s="16"/>
      <c r="L237" s="15" t="str">
        <f t="shared" si="24"/>
        <v/>
      </c>
      <c r="M237" s="15" t="str">
        <f t="shared" si="25"/>
        <v/>
      </c>
      <c r="N237" s="15" t="str">
        <f t="shared" si="26"/>
        <v/>
      </c>
      <c r="O237" s="15" t="str">
        <f t="shared" si="27"/>
        <v/>
      </c>
      <c r="P237" s="15" t="str">
        <f t="shared" si="28"/>
        <v/>
      </c>
      <c r="Q237" s="15" t="str">
        <f t="shared" si="29"/>
        <v/>
      </c>
      <c r="R237" s="15" t="str">
        <f t="shared" si="30"/>
        <v/>
      </c>
      <c r="S237" s="19" t="str">
        <f t="shared" si="31"/>
        <v/>
      </c>
      <c r="T237" s="33"/>
    </row>
    <row r="238" spans="1:20" ht="21.75" customHeight="1">
      <c r="A238" s="16"/>
      <c r="B238" s="33"/>
      <c r="C238" s="10"/>
      <c r="D238" s="10"/>
      <c r="E238" s="10"/>
      <c r="F238" s="10"/>
      <c r="G238" s="10"/>
      <c r="H238" s="10"/>
      <c r="I238" s="10"/>
      <c r="J238" s="10"/>
      <c r="K238" s="16"/>
      <c r="L238" s="15" t="str">
        <f t="shared" si="24"/>
        <v/>
      </c>
      <c r="M238" s="15" t="str">
        <f t="shared" si="25"/>
        <v/>
      </c>
      <c r="N238" s="15" t="str">
        <f t="shared" si="26"/>
        <v/>
      </c>
      <c r="O238" s="15" t="str">
        <f t="shared" si="27"/>
        <v/>
      </c>
      <c r="P238" s="15" t="str">
        <f t="shared" si="28"/>
        <v/>
      </c>
      <c r="Q238" s="15" t="str">
        <f t="shared" si="29"/>
        <v/>
      </c>
      <c r="R238" s="15" t="str">
        <f t="shared" si="30"/>
        <v/>
      </c>
      <c r="S238" s="19" t="str">
        <f t="shared" si="31"/>
        <v/>
      </c>
      <c r="T238" s="33"/>
    </row>
    <row r="239" spans="1:20" ht="21.75" customHeight="1">
      <c r="A239" s="16"/>
      <c r="B239" s="33"/>
      <c r="C239" s="10"/>
      <c r="D239" s="10"/>
      <c r="E239" s="10"/>
      <c r="F239" s="10"/>
      <c r="G239" s="10"/>
      <c r="H239" s="10"/>
      <c r="I239" s="10"/>
      <c r="J239" s="10"/>
      <c r="K239" s="16"/>
      <c r="L239" s="15" t="str">
        <f t="shared" si="24"/>
        <v/>
      </c>
      <c r="M239" s="15" t="str">
        <f t="shared" si="25"/>
        <v/>
      </c>
      <c r="N239" s="15" t="str">
        <f t="shared" si="26"/>
        <v/>
      </c>
      <c r="O239" s="15" t="str">
        <f t="shared" si="27"/>
        <v/>
      </c>
      <c r="P239" s="15" t="str">
        <f t="shared" si="28"/>
        <v/>
      </c>
      <c r="Q239" s="15" t="str">
        <f t="shared" si="29"/>
        <v/>
      </c>
      <c r="R239" s="15" t="str">
        <f t="shared" si="30"/>
        <v/>
      </c>
      <c r="S239" s="19" t="str">
        <f t="shared" si="31"/>
        <v/>
      </c>
      <c r="T239" s="33"/>
    </row>
    <row r="240" spans="1:20" ht="21.75" customHeight="1">
      <c r="A240" s="16"/>
      <c r="B240" s="33"/>
      <c r="C240" s="10"/>
      <c r="D240" s="10"/>
      <c r="E240" s="10"/>
      <c r="F240" s="10"/>
      <c r="G240" s="10"/>
      <c r="H240" s="10"/>
      <c r="I240" s="10"/>
      <c r="J240" s="10"/>
      <c r="K240" s="16"/>
      <c r="L240" s="15" t="str">
        <f t="shared" si="24"/>
        <v/>
      </c>
      <c r="M240" s="15" t="str">
        <f t="shared" si="25"/>
        <v/>
      </c>
      <c r="N240" s="15" t="str">
        <f t="shared" si="26"/>
        <v/>
      </c>
      <c r="O240" s="15" t="str">
        <f t="shared" si="27"/>
        <v/>
      </c>
      <c r="P240" s="15" t="str">
        <f t="shared" si="28"/>
        <v/>
      </c>
      <c r="Q240" s="15" t="str">
        <f t="shared" si="29"/>
        <v/>
      </c>
      <c r="R240" s="15" t="str">
        <f t="shared" si="30"/>
        <v/>
      </c>
      <c r="S240" s="19" t="str">
        <f t="shared" si="31"/>
        <v/>
      </c>
      <c r="T240" s="33"/>
    </row>
    <row r="241" spans="1:20" ht="21.75" customHeight="1">
      <c r="A241" s="16"/>
      <c r="B241" s="33"/>
      <c r="C241" s="10"/>
      <c r="D241" s="10"/>
      <c r="E241" s="10"/>
      <c r="F241" s="10"/>
      <c r="G241" s="10"/>
      <c r="H241" s="10"/>
      <c r="I241" s="10"/>
      <c r="J241" s="10"/>
      <c r="K241" s="16"/>
      <c r="L241" s="15" t="str">
        <f t="shared" si="24"/>
        <v/>
      </c>
      <c r="M241" s="15" t="str">
        <f t="shared" si="25"/>
        <v/>
      </c>
      <c r="N241" s="15" t="str">
        <f t="shared" si="26"/>
        <v/>
      </c>
      <c r="O241" s="15" t="str">
        <f t="shared" si="27"/>
        <v/>
      </c>
      <c r="P241" s="15" t="str">
        <f t="shared" si="28"/>
        <v/>
      </c>
      <c r="Q241" s="15" t="str">
        <f t="shared" si="29"/>
        <v/>
      </c>
      <c r="R241" s="15" t="str">
        <f t="shared" si="30"/>
        <v/>
      </c>
      <c r="S241" s="19" t="str">
        <f t="shared" si="31"/>
        <v/>
      </c>
      <c r="T241" s="33"/>
    </row>
    <row r="242" spans="1:20" ht="21.75" customHeight="1">
      <c r="A242" s="16"/>
      <c r="B242" s="33"/>
      <c r="C242" s="10"/>
      <c r="D242" s="10"/>
      <c r="E242" s="10"/>
      <c r="F242" s="10"/>
      <c r="G242" s="10"/>
      <c r="H242" s="10"/>
      <c r="I242" s="10"/>
      <c r="J242" s="10"/>
      <c r="K242" s="16"/>
      <c r="L242" s="15" t="str">
        <f t="shared" si="24"/>
        <v/>
      </c>
      <c r="M242" s="15" t="str">
        <f t="shared" si="25"/>
        <v/>
      </c>
      <c r="N242" s="15" t="str">
        <f t="shared" si="26"/>
        <v/>
      </c>
      <c r="O242" s="15" t="str">
        <f t="shared" si="27"/>
        <v/>
      </c>
      <c r="P242" s="15" t="str">
        <f t="shared" si="28"/>
        <v/>
      </c>
      <c r="Q242" s="15" t="str">
        <f t="shared" si="29"/>
        <v/>
      </c>
      <c r="R242" s="15" t="str">
        <f t="shared" si="30"/>
        <v/>
      </c>
      <c r="S242" s="19" t="str">
        <f t="shared" si="31"/>
        <v/>
      </c>
      <c r="T242" s="33"/>
    </row>
    <row r="243" spans="1:20" ht="21.75" customHeight="1">
      <c r="A243" s="16"/>
      <c r="B243" s="33"/>
      <c r="C243" s="10"/>
      <c r="D243" s="10"/>
      <c r="E243" s="10"/>
      <c r="F243" s="10"/>
      <c r="G243" s="10"/>
      <c r="H243" s="10"/>
      <c r="I243" s="10"/>
      <c r="J243" s="10"/>
      <c r="K243" s="16"/>
      <c r="L243" s="15" t="str">
        <f t="shared" si="24"/>
        <v/>
      </c>
      <c r="M243" s="15" t="str">
        <f t="shared" si="25"/>
        <v/>
      </c>
      <c r="N243" s="15" t="str">
        <f t="shared" si="26"/>
        <v/>
      </c>
      <c r="O243" s="15" t="str">
        <f t="shared" si="27"/>
        <v/>
      </c>
      <c r="P243" s="15" t="str">
        <f t="shared" si="28"/>
        <v/>
      </c>
      <c r="Q243" s="15" t="str">
        <f t="shared" si="29"/>
        <v/>
      </c>
      <c r="R243" s="15" t="str">
        <f t="shared" si="30"/>
        <v/>
      </c>
      <c r="S243" s="19" t="str">
        <f t="shared" si="31"/>
        <v/>
      </c>
      <c r="T243" s="33"/>
    </row>
    <row r="244" spans="1:20" ht="21.75" customHeight="1">
      <c r="A244" s="16"/>
      <c r="B244" s="33"/>
      <c r="C244" s="10"/>
      <c r="D244" s="10"/>
      <c r="E244" s="10"/>
      <c r="F244" s="10"/>
      <c r="G244" s="10"/>
      <c r="H244" s="10"/>
      <c r="I244" s="10"/>
      <c r="J244" s="10"/>
      <c r="K244" s="16"/>
      <c r="L244" s="15" t="str">
        <f t="shared" si="24"/>
        <v/>
      </c>
      <c r="M244" s="15" t="str">
        <f t="shared" si="25"/>
        <v/>
      </c>
      <c r="N244" s="15" t="str">
        <f t="shared" si="26"/>
        <v/>
      </c>
      <c r="O244" s="15" t="str">
        <f t="shared" si="27"/>
        <v/>
      </c>
      <c r="P244" s="15" t="str">
        <f t="shared" si="28"/>
        <v/>
      </c>
      <c r="Q244" s="15" t="str">
        <f t="shared" si="29"/>
        <v/>
      </c>
      <c r="R244" s="15" t="str">
        <f t="shared" si="30"/>
        <v/>
      </c>
      <c r="S244" s="19" t="str">
        <f t="shared" si="31"/>
        <v/>
      </c>
      <c r="T244" s="33"/>
    </row>
    <row r="245" spans="1:20" ht="21.75" customHeight="1">
      <c r="A245" s="16"/>
      <c r="B245" s="33"/>
      <c r="C245" s="10"/>
      <c r="D245" s="10"/>
      <c r="E245" s="10"/>
      <c r="F245" s="10"/>
      <c r="G245" s="10"/>
      <c r="H245" s="10"/>
      <c r="I245" s="10"/>
      <c r="J245" s="10"/>
      <c r="K245" s="16"/>
      <c r="L245" s="15" t="str">
        <f t="shared" si="24"/>
        <v/>
      </c>
      <c r="M245" s="15" t="str">
        <f t="shared" si="25"/>
        <v/>
      </c>
      <c r="N245" s="15" t="str">
        <f t="shared" si="26"/>
        <v/>
      </c>
      <c r="O245" s="15" t="str">
        <f t="shared" si="27"/>
        <v/>
      </c>
      <c r="P245" s="15" t="str">
        <f t="shared" si="28"/>
        <v/>
      </c>
      <c r="Q245" s="15" t="str">
        <f t="shared" si="29"/>
        <v/>
      </c>
      <c r="R245" s="15" t="str">
        <f t="shared" si="30"/>
        <v/>
      </c>
      <c r="S245" s="19" t="str">
        <f t="shared" si="31"/>
        <v/>
      </c>
      <c r="T245" s="33"/>
    </row>
  </sheetData>
  <autoFilter ref="A5:T245" xr:uid="{00000000-0009-0000-0000-000008000000}"/>
  <mergeCells count="2">
    <mergeCell ref="A1:T2"/>
    <mergeCell ref="A3:T3"/>
  </mergeCells>
  <phoneticPr fontId="29" type="noConversion"/>
  <conditionalFormatting sqref="S6:S245">
    <cfRule type="notContainsText" dxfId="0" priority="2" operator="notContains" text="已完整划转">
      <formula>ISERROR(SEARCH("已完整划转",S6))</formula>
    </cfRule>
  </conditionalFormatting>
  <dataValidations count="1">
    <dataValidation type="decimal" operator="greaterThanOrEqual" allowBlank="1" showInputMessage="1" showErrorMessage="1" sqref="C6:J245" xr:uid="{00000000-0002-0000-0800-000000000000}">
      <formula1>0</formula1>
      <formula2>0</formula2>
    </dataValidation>
  </dataValidations>
  <pageMargins left="0.7" right="0.7" top="0.75" bottom="0.75" header="0.3" footer="0.3"/>
  <pageSetup paperSize="9" fitToHeight="0" orientation="landscape" horizontalDpi="300" verticalDpi="300"/>
  <headerFooter>
    <oddHeader>&amp;CETF 长期定投跟踪表</oddHeader>
    <oddFooter>&amp;L手动更新 · 美元记账&amp;R第 &amp;P 页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18</vt:i4>
      </vt:variant>
    </vt:vector>
  </HeadingPairs>
  <TitlesOfParts>
    <vt:vector size="27" baseType="lpstr">
      <vt:lpstr>总览</vt:lpstr>
      <vt:lpstr>回撤计划</vt:lpstr>
      <vt:lpstr>月度计划</vt:lpstr>
      <vt:lpstr>交易记录</vt:lpstr>
      <vt:lpstr>换汇记录</vt:lpstr>
      <vt:lpstr>入金记录</vt:lpstr>
      <vt:lpstr>分红记录</vt:lpstr>
      <vt:lpstr>使用说明</vt:lpstr>
      <vt:lpstr>原入金记录</vt:lpstr>
      <vt:lpstr>分红记录!Print_Area</vt:lpstr>
      <vt:lpstr>换汇记录!Print_Area</vt:lpstr>
      <vt:lpstr>回撤计划!Print_Area</vt:lpstr>
      <vt:lpstr>交易记录!Print_Area</vt:lpstr>
      <vt:lpstr>入金记录!Print_Area</vt:lpstr>
      <vt:lpstr>使用说明!Print_Area</vt:lpstr>
      <vt:lpstr>原入金记录!Print_Area</vt:lpstr>
      <vt:lpstr>月度计划!Print_Area</vt:lpstr>
      <vt:lpstr>总览!Print_Area</vt:lpstr>
      <vt:lpstr>分红记录!Print_Titles</vt:lpstr>
      <vt:lpstr>换汇记录!Print_Titles</vt:lpstr>
      <vt:lpstr>回撤计划!Print_Titles</vt:lpstr>
      <vt:lpstr>交易记录!Print_Titles</vt:lpstr>
      <vt:lpstr>入金记录!Print_Titles</vt:lpstr>
      <vt:lpstr>使用说明!Print_Titles</vt:lpstr>
      <vt:lpstr>原入金记录!Print_Titles</vt:lpstr>
      <vt:lpstr>月度计划!Print_Titles</vt:lpstr>
      <vt:lpstr>总览!Print_Titles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ETF长期定投跟踪表</dc:title>
  <dc:subject>VOO 90% / QQQM 10% · 每月500美元</dc:subject>
  <dc:creator>投资记录</dc:creator>
  <dc:description>手动填写；不含实时行情或交易连接</dc:description>
  <cp:lastModifiedBy>一里 书</cp:lastModifiedBy>
  <cp:revision>0</cp:revision>
  <dcterms:created xsi:type="dcterms:W3CDTF">2026-10-06T09:29:48Z</dcterms:created>
  <dcterms:modified xsi:type="dcterms:W3CDTF">2026-10-06T11:54:37Z</dcterms:modified>
  <dc:language>en-US</dc:language>
</cp:coreProperties>
</file>